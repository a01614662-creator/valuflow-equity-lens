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F1EEB955603D5E3/Documentos/"/>
    </mc:Choice>
  </mc:AlternateContent>
  <xr:revisionPtr revIDLastSave="399" documentId="8_{89B1F7DF-7292-4DCC-85A1-C8B687DAEE43}" xr6:coauthVersionLast="47" xr6:coauthVersionMax="47" xr10:uidLastSave="{3838498F-1D19-4F68-A33F-71638DAA8329}"/>
  <bookViews>
    <workbookView xWindow="-108" yWindow="-108" windowWidth="23256" windowHeight="12456" firstSheet="12" activeTab="15" xr2:uid="{00000000-000D-0000-FFFF-FFFF00000000}"/>
  </bookViews>
  <sheets>
    <sheet name="Comparativo" sheetId="1" r:id="rId1"/>
    <sheet name="Generales" sheetId="2" r:id="rId2"/>
    <sheet name="Datos" sheetId="3" r:id="rId3"/>
    <sheet name="Razones" sheetId="4" r:id="rId4"/>
    <sheet name="WACC" sheetId="5" r:id="rId5"/>
    <sheet name="Valuación" sheetId="6" r:id="rId6"/>
    <sheet name="Proyección Soriana" sheetId="7" r:id="rId7"/>
    <sheet name="MC Soriana" sheetId="8" r:id="rId8"/>
    <sheet name="Variables Externas" sheetId="9" r:id="rId9"/>
    <sheet name="Proyección Final Soriana" sheetId="10" r:id="rId10"/>
    <sheet name="Inflación" sheetId="11" r:id="rId11"/>
    <sheet name="Beta y Kd" sheetId="12" r:id="rId12"/>
    <sheet name="Multiplos" sheetId="13" r:id="rId13"/>
    <sheet name="Transacciones" sheetId="14" r:id="rId14"/>
    <sheet name="Valuación Combinada" sheetId="15" r:id="rId15"/>
    <sheet name="Transacciones SDC" sheetId="18" r:id="rId16"/>
    <sheet name="Validación" sheetId="16" state="hidden" r:id="rId17"/>
    <sheet name="Fuentes" sheetId="17" state="hidden" r:id="rId18"/>
  </sheets>
  <definedNames>
    <definedName name="VF_BETA_HISTORICA">Inflación!$B$260</definedName>
    <definedName name="VF_BETA_U">'Beta y Kd'!$B$19</definedName>
    <definedName name="VF_INF_APLICADA">Inflación!$B$13:$F$13</definedName>
    <definedName name="VF_INF_MODELO_TRIM">Inflación!$G$21</definedName>
    <definedName name="VF_INF_SELECTOR">Inflación!$E$6</definedName>
    <definedName name="VF_PT_VALOR">Transacciones!$E$49</definedName>
    <definedName name="VF_TC_P25">Multiplos!$D$74</definedName>
    <definedName name="VF_TC_P75">Multiplos!$D$75</definedName>
    <definedName name="VF_TC_VALOR">Multiplos!$D$73</definedName>
    <definedName name="VF_VALIDACION_RESUMEN">Validación!$B$63</definedName>
    <definedName name="VF_VC_VALOR">'Valuación Combinada'!$B$9</definedName>
  </definedNames>
  <calcPr calcId="191028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1" i="18" l="1"/>
  <c r="C62" i="18"/>
  <c r="C63" i="18"/>
  <c r="C64" i="18"/>
  <c r="C65" i="18"/>
  <c r="C66" i="18"/>
  <c r="C67" i="18"/>
  <c r="E53" i="18"/>
  <c r="C56" i="18"/>
  <c r="C55" i="18"/>
  <c r="D55" i="18"/>
  <c r="C54" i="18"/>
  <c r="D54" i="18"/>
  <c r="C53" i="18"/>
  <c r="D53" i="18"/>
  <c r="C52" i="18"/>
  <c r="D52" i="18"/>
  <c r="C51" i="18"/>
  <c r="D51" i="18"/>
  <c r="C50" i="18"/>
  <c r="D50" i="18"/>
  <c r="C49" i="18"/>
  <c r="D49" i="18"/>
  <c r="C48" i="18"/>
  <c r="D48" i="18"/>
  <c r="E43" i="18"/>
  <c r="F43" i="18"/>
  <c r="E41" i="18"/>
  <c r="F41" i="18"/>
  <c r="E40" i="18"/>
  <c r="F40" i="18"/>
  <c r="E39" i="18"/>
  <c r="F39" i="18"/>
  <c r="E38" i="18"/>
  <c r="F38" i="18"/>
  <c r="E37" i="18"/>
  <c r="F37" i="18" s="1"/>
  <c r="E36" i="18"/>
  <c r="F36" i="18"/>
  <c r="C44" i="18" a="1"/>
  <c r="D44" i="18" a="1"/>
  <c r="C43" i="18" a="1"/>
  <c r="D43" i="18" a="1"/>
  <c r="C42" i="18"/>
  <c r="D42" i="18"/>
  <c r="C41" i="18" a="1"/>
  <c r="D41" i="18" a="1"/>
  <c r="C40" i="18" a="1"/>
  <c r="D40" i="18" a="1"/>
  <c r="C39" i="18" a="1"/>
  <c r="D39" i="18" a="1"/>
  <c r="C38" i="18" a="1"/>
  <c r="D38" i="18" a="1"/>
  <c r="C37" i="18" a="1"/>
  <c r="D37" i="18" a="1"/>
  <c r="C36" i="18" a="1"/>
  <c r="D36" i="18" a="1"/>
  <c r="A32" i="18"/>
  <c r="J32" i="18"/>
  <c r="K32" i="18"/>
  <c r="L32" i="18"/>
  <c r="A31" i="18"/>
  <c r="J31" i="18"/>
  <c r="K31" i="18"/>
  <c r="L31" i="18"/>
  <c r="A30" i="18"/>
  <c r="J30" i="18"/>
  <c r="K30" i="18"/>
  <c r="L30" i="18"/>
  <c r="A29" i="18"/>
  <c r="J29" i="18"/>
  <c r="K29" i="18"/>
  <c r="L29" i="18"/>
  <c r="A28" i="18"/>
  <c r="J28" i="18"/>
  <c r="K28" i="18"/>
  <c r="L28" i="18"/>
  <c r="A27" i="18"/>
  <c r="J27" i="18"/>
  <c r="K27" i="18"/>
  <c r="L27" i="18"/>
  <c r="A26" i="18"/>
  <c r="K26" i="18" s="1"/>
  <c r="J26" i="18"/>
  <c r="L26" i="18" s="1"/>
  <c r="A25" i="18"/>
  <c r="J25" i="18"/>
  <c r="K25" i="18"/>
  <c r="L25" i="18"/>
  <c r="A24" i="18"/>
  <c r="J24" i="18"/>
  <c r="K24" i="18"/>
  <c r="L24" i="18"/>
  <c r="A23" i="18"/>
  <c r="J23" i="18"/>
  <c r="K23" i="18"/>
  <c r="L23" i="18"/>
  <c r="A22" i="18"/>
  <c r="J22" i="18"/>
  <c r="K22" i="18"/>
  <c r="L22" i="18"/>
  <c r="A21" i="18"/>
  <c r="J21" i="18"/>
  <c r="L21" i="18" s="1"/>
  <c r="K21" i="18"/>
  <c r="A20" i="18"/>
  <c r="J20" i="18"/>
  <c r="K20" i="18"/>
  <c r="L20" i="18"/>
  <c r="A19" i="18"/>
  <c r="J19" i="18"/>
  <c r="K19" i="18"/>
  <c r="L19" i="18"/>
  <c r="A18" i="18"/>
  <c r="J18" i="18"/>
  <c r="K18" i="18"/>
  <c r="L18" i="18"/>
  <c r="A17" i="18"/>
  <c r="J17" i="18"/>
  <c r="K17" i="18"/>
  <c r="L17" i="18"/>
  <c r="A16" i="18"/>
  <c r="J16" i="18"/>
  <c r="K16" i="18"/>
  <c r="L16" i="18"/>
  <c r="A15" i="18"/>
  <c r="J15" i="18"/>
  <c r="K15" i="18"/>
  <c r="L15" i="18"/>
  <c r="A14" i="18"/>
  <c r="K14" i="18" s="1"/>
  <c r="J14" i="18"/>
  <c r="L14" i="18" s="1"/>
  <c r="B62" i="16"/>
  <c r="D62" i="16"/>
  <c r="G62" i="16"/>
  <c r="B48" i="16"/>
  <c r="D48" i="16" s="1"/>
  <c r="G48" i="16" s="1"/>
  <c r="B49" i="16"/>
  <c r="C49" i="16"/>
  <c r="D49" i="16" s="1"/>
  <c r="G49" i="16" s="1"/>
  <c r="B36" i="5"/>
  <c r="B37" i="5"/>
  <c r="B38" i="5"/>
  <c r="B39" i="5"/>
  <c r="B40" i="5"/>
  <c r="B41" i="5"/>
  <c r="A27" i="17"/>
  <c r="A28" i="17"/>
  <c r="C50" i="10"/>
  <c r="D50" i="10"/>
  <c r="E50" i="10"/>
  <c r="F50" i="10"/>
  <c r="G50" i="10"/>
  <c r="C45" i="10"/>
  <c r="D45" i="10"/>
  <c r="E45" i="10"/>
  <c r="F45" i="10"/>
  <c r="G45" i="10"/>
  <c r="C40" i="10"/>
  <c r="D40" i="10"/>
  <c r="E40" i="10"/>
  <c r="F40" i="10"/>
  <c r="G40" i="10"/>
  <c r="C26" i="10"/>
  <c r="C54" i="10"/>
  <c r="D54" i="10"/>
  <c r="E54" i="10"/>
  <c r="F54" i="10"/>
  <c r="G54" i="10"/>
  <c r="C37" i="16"/>
  <c r="B207" i="10"/>
  <c r="B19" i="12"/>
  <c r="B9" i="5" s="1"/>
  <c r="B18" i="15"/>
  <c r="D18" i="15"/>
  <c r="B19" i="15"/>
  <c r="D19" i="15"/>
  <c r="B20" i="15"/>
  <c r="D20" i="15"/>
  <c r="G6" i="15"/>
  <c r="B22" i="13"/>
  <c r="B14" i="12"/>
  <c r="C14" i="12" s="1"/>
  <c r="B46" i="13"/>
  <c r="B45" i="13"/>
  <c r="B61" i="16"/>
  <c r="D61" i="16" s="1"/>
  <c r="G61" i="16" s="1"/>
  <c r="C55" i="16"/>
  <c r="C54" i="16"/>
  <c r="C50" i="16"/>
  <c r="B41" i="16"/>
  <c r="C36" i="16"/>
  <c r="B35" i="16"/>
  <c r="D35" i="16" s="1"/>
  <c r="G35" i="16" s="1"/>
  <c r="B34" i="16"/>
  <c r="D34" i="16" s="1"/>
  <c r="G34" i="16" s="1"/>
  <c r="C33" i="16"/>
  <c r="C7" i="15"/>
  <c r="B56" i="16" s="1"/>
  <c r="D56" i="16" s="1"/>
  <c r="G56" i="16" s="1"/>
  <c r="D6" i="15"/>
  <c r="G5" i="15"/>
  <c r="D5" i="15"/>
  <c r="G4" i="15"/>
  <c r="D4" i="15"/>
  <c r="C25" i="14"/>
  <c r="B25" i="14"/>
  <c r="A25" i="14"/>
  <c r="C24" i="14"/>
  <c r="B24" i="14"/>
  <c r="A24" i="14"/>
  <c r="C23" i="14"/>
  <c r="C34" i="14" s="1"/>
  <c r="B23" i="14"/>
  <c r="A23" i="14"/>
  <c r="E19" i="14"/>
  <c r="D19" i="14"/>
  <c r="C19" i="14"/>
  <c r="C18" i="14"/>
  <c r="M14" i="14"/>
  <c r="L14" i="14"/>
  <c r="M13" i="14"/>
  <c r="L13" i="14"/>
  <c r="M12" i="14"/>
  <c r="L12" i="14"/>
  <c r="D78" i="13"/>
  <c r="E54" i="13"/>
  <c r="D54" i="13"/>
  <c r="C54" i="13"/>
  <c r="B54" i="13"/>
  <c r="A54" i="13"/>
  <c r="E53" i="13"/>
  <c r="D53" i="13"/>
  <c r="C53" i="13"/>
  <c r="B53" i="13"/>
  <c r="A53" i="13"/>
  <c r="E52" i="13"/>
  <c r="D52" i="13"/>
  <c r="C52" i="13"/>
  <c r="B52" i="13"/>
  <c r="A52" i="13"/>
  <c r="E51" i="13"/>
  <c r="D51" i="13"/>
  <c r="C51" i="13"/>
  <c r="B51" i="13"/>
  <c r="A51" i="13"/>
  <c r="E50" i="13"/>
  <c r="D50" i="13"/>
  <c r="C50" i="13"/>
  <c r="B50" i="13"/>
  <c r="A50" i="13"/>
  <c r="E49" i="13"/>
  <c r="D49" i="13"/>
  <c r="C49" i="13"/>
  <c r="B49" i="13"/>
  <c r="A49" i="13"/>
  <c r="E48" i="13"/>
  <c r="D48" i="13"/>
  <c r="C48" i="13"/>
  <c r="B48" i="13"/>
  <c r="A48" i="13"/>
  <c r="E47" i="13"/>
  <c r="D47" i="13"/>
  <c r="C47" i="13"/>
  <c r="B47" i="13"/>
  <c r="A47" i="13"/>
  <c r="E46" i="13"/>
  <c r="D46" i="13"/>
  <c r="C46" i="13"/>
  <c r="A46" i="13"/>
  <c r="E45" i="13"/>
  <c r="D45" i="13"/>
  <c r="D61" i="13" s="1"/>
  <c r="C45" i="13"/>
  <c r="A45" i="13"/>
  <c r="B27" i="13"/>
  <c r="B26" i="13"/>
  <c r="B25" i="13"/>
  <c r="B30" i="13" s="1"/>
  <c r="B20" i="13"/>
  <c r="B19" i="13"/>
  <c r="B18" i="13"/>
  <c r="C37" i="13" s="1"/>
  <c r="B48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D39" i="12" s="1"/>
  <c r="C38" i="12"/>
  <c r="B38" i="12"/>
  <c r="C37" i="12"/>
  <c r="B37" i="12"/>
  <c r="C36" i="12"/>
  <c r="B36" i="12"/>
  <c r="B27" i="12"/>
  <c r="B25" i="12"/>
  <c r="B36" i="16"/>
  <c r="B262" i="11"/>
  <c r="B261" i="11"/>
  <c r="B260" i="11"/>
  <c r="B47" i="16" s="1"/>
  <c r="D47" i="16" s="1"/>
  <c r="G47" i="16" s="1"/>
  <c r="C192" i="11"/>
  <c r="B192" i="11"/>
  <c r="C191" i="11"/>
  <c r="B191" i="11"/>
  <c r="C190" i="11"/>
  <c r="B190" i="11"/>
  <c r="C189" i="11"/>
  <c r="B189" i="11"/>
  <c r="F158" i="11"/>
  <c r="D158" i="11"/>
  <c r="F157" i="11"/>
  <c r="D157" i="11"/>
  <c r="F156" i="11"/>
  <c r="D156" i="11"/>
  <c r="F155" i="11"/>
  <c r="D155" i="11"/>
  <c r="F154" i="11"/>
  <c r="D154" i="11"/>
  <c r="F153" i="11"/>
  <c r="D153" i="11"/>
  <c r="F152" i="11"/>
  <c r="D152" i="11"/>
  <c r="F151" i="11"/>
  <c r="D151" i="11"/>
  <c r="F150" i="11"/>
  <c r="D150" i="11"/>
  <c r="F149" i="11"/>
  <c r="D149" i="11"/>
  <c r="F148" i="11"/>
  <c r="D148" i="11"/>
  <c r="F147" i="11"/>
  <c r="D147" i="11"/>
  <c r="F146" i="11"/>
  <c r="D146" i="11"/>
  <c r="F145" i="11"/>
  <c r="D145" i="11"/>
  <c r="F144" i="11"/>
  <c r="D144" i="11"/>
  <c r="F143" i="11"/>
  <c r="D143" i="11"/>
  <c r="F142" i="11"/>
  <c r="D142" i="11"/>
  <c r="F141" i="11"/>
  <c r="D141" i="11"/>
  <c r="F140" i="11"/>
  <c r="D140" i="11"/>
  <c r="F139" i="11"/>
  <c r="D139" i="11"/>
  <c r="F138" i="11"/>
  <c r="D138" i="11"/>
  <c r="F137" i="11"/>
  <c r="D137" i="11"/>
  <c r="F136" i="11"/>
  <c r="D136" i="11"/>
  <c r="F135" i="11"/>
  <c r="D135" i="11"/>
  <c r="F134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C22" i="11" s="1"/>
  <c r="D28" i="11"/>
  <c r="E26" i="11"/>
  <c r="E28" i="11" s="1"/>
  <c r="D26" i="11"/>
  <c r="C26" i="11"/>
  <c r="C28" i="11" s="1"/>
  <c r="B26" i="11"/>
  <c r="B28" i="11" s="1"/>
  <c r="G23" i="11"/>
  <c r="G24" i="11" s="1"/>
  <c r="B46" i="16" s="1"/>
  <c r="D46" i="16" s="1"/>
  <c r="G46" i="16" s="1"/>
  <c r="B22" i="11"/>
  <c r="B20" i="11"/>
  <c r="F12" i="11"/>
  <c r="E12" i="11"/>
  <c r="D12" i="11"/>
  <c r="C12" i="11"/>
  <c r="B12" i="11"/>
  <c r="F10" i="11"/>
  <c r="E10" i="11"/>
  <c r="D10" i="11"/>
  <c r="C10" i="11"/>
  <c r="B10" i="11"/>
  <c r="F6" i="11"/>
  <c r="B269" i="10"/>
  <c r="B261" i="10"/>
  <c r="B260" i="10"/>
  <c r="B259" i="10"/>
  <c r="B253" i="10"/>
  <c r="B252" i="10"/>
  <c r="C4" i="14" s="1"/>
  <c r="C6" i="14" s="1"/>
  <c r="B251" i="10"/>
  <c r="B254" i="10" s="1"/>
  <c r="B250" i="10"/>
  <c r="B244" i="10"/>
  <c r="D230" i="10"/>
  <c r="C230" i="10"/>
  <c r="B230" i="10"/>
  <c r="B210" i="10"/>
  <c r="B206" i="10"/>
  <c r="B162" i="10"/>
  <c r="C162" i="10" s="1"/>
  <c r="D162" i="10" s="1"/>
  <c r="E162" i="10" s="1"/>
  <c r="F162" i="10" s="1"/>
  <c r="G118" i="10"/>
  <c r="D118" i="10"/>
  <c r="E118" i="10" s="1"/>
  <c r="F118" i="10" s="1"/>
  <c r="B77" i="10"/>
  <c r="B75" i="10"/>
  <c r="B74" i="10"/>
  <c r="B73" i="10"/>
  <c r="B76" i="10" s="1"/>
  <c r="B78" i="10" s="1"/>
  <c r="B81" i="10" s="1"/>
  <c r="B72" i="10"/>
  <c r="B70" i="10"/>
  <c r="B68" i="10"/>
  <c r="B69" i="10" s="1"/>
  <c r="B71" i="10" s="1"/>
  <c r="B80" i="10" s="1"/>
  <c r="B67" i="10"/>
  <c r="B60" i="10"/>
  <c r="B59" i="10"/>
  <c r="G53" i="10"/>
  <c r="F53" i="10"/>
  <c r="E53" i="10"/>
  <c r="D53" i="10"/>
  <c r="C53" i="10"/>
  <c r="E31" i="10"/>
  <c r="G7" i="10"/>
  <c r="F7" i="10"/>
  <c r="E7" i="10"/>
  <c r="D7" i="10"/>
  <c r="C7" i="10"/>
  <c r="J22" i="9"/>
  <c r="B21" i="8" s="1"/>
  <c r="I22" i="9"/>
  <c r="H22" i="9"/>
  <c r="B130" i="8"/>
  <c r="F128" i="8"/>
  <c r="D128" i="8"/>
  <c r="C128" i="8"/>
  <c r="A128" i="8"/>
  <c r="F127" i="8"/>
  <c r="D127" i="8"/>
  <c r="C127" i="8"/>
  <c r="E127" i="8" s="1"/>
  <c r="A127" i="8"/>
  <c r="D126" i="8"/>
  <c r="E126" i="8" s="1"/>
  <c r="C126" i="8"/>
  <c r="F126" i="8" s="1"/>
  <c r="A126" i="8"/>
  <c r="F125" i="8"/>
  <c r="D125" i="8"/>
  <c r="C125" i="8"/>
  <c r="A125" i="8"/>
  <c r="I124" i="8"/>
  <c r="I125" i="8" s="1"/>
  <c r="I126" i="8" s="1"/>
  <c r="I127" i="8" s="1"/>
  <c r="E124" i="8"/>
  <c r="D124" i="8"/>
  <c r="B134" i="8" s="1"/>
  <c r="C124" i="8"/>
  <c r="F124" i="8" s="1"/>
  <c r="A124" i="8"/>
  <c r="B113" i="8"/>
  <c r="C112" i="8"/>
  <c r="B114" i="8" s="1"/>
  <c r="F111" i="8"/>
  <c r="C111" i="8"/>
  <c r="A111" i="8"/>
  <c r="C110" i="8"/>
  <c r="A110" i="8"/>
  <c r="F109" i="8"/>
  <c r="C109" i="8"/>
  <c r="A109" i="8"/>
  <c r="F108" i="8"/>
  <c r="C108" i="8"/>
  <c r="A108" i="8"/>
  <c r="F107" i="8"/>
  <c r="C107" i="8"/>
  <c r="A107" i="8"/>
  <c r="B96" i="8"/>
  <c r="D94" i="8"/>
  <c r="C94" i="8"/>
  <c r="A94" i="8"/>
  <c r="F93" i="8"/>
  <c r="D93" i="8"/>
  <c r="C93" i="8"/>
  <c r="A93" i="8"/>
  <c r="E92" i="8"/>
  <c r="D92" i="8"/>
  <c r="C92" i="8"/>
  <c r="F92" i="8" s="1"/>
  <c r="A92" i="8"/>
  <c r="F91" i="8"/>
  <c r="D91" i="8"/>
  <c r="C91" i="8"/>
  <c r="E91" i="8" s="1"/>
  <c r="A91" i="8"/>
  <c r="D90" i="8"/>
  <c r="C90" i="8"/>
  <c r="A90" i="8"/>
  <c r="B79" i="8"/>
  <c r="C78" i="8"/>
  <c r="B80" i="8" s="1"/>
  <c r="F77" i="8"/>
  <c r="D77" i="8"/>
  <c r="E77" i="8" s="1"/>
  <c r="C77" i="8"/>
  <c r="A77" i="8"/>
  <c r="F76" i="8"/>
  <c r="D76" i="8"/>
  <c r="E76" i="8" s="1"/>
  <c r="C76" i="8"/>
  <c r="A76" i="8"/>
  <c r="D75" i="8"/>
  <c r="E75" i="8" s="1"/>
  <c r="C75" i="8"/>
  <c r="F75" i="8" s="1"/>
  <c r="A75" i="8"/>
  <c r="E74" i="8"/>
  <c r="D74" i="8"/>
  <c r="C74" i="8"/>
  <c r="F74" i="8" s="1"/>
  <c r="A74" i="8"/>
  <c r="D73" i="8"/>
  <c r="C73" i="8"/>
  <c r="A73" i="8"/>
  <c r="B62" i="8"/>
  <c r="D60" i="8"/>
  <c r="C60" i="8"/>
  <c r="A60" i="8"/>
  <c r="F59" i="8"/>
  <c r="D59" i="8"/>
  <c r="C59" i="8"/>
  <c r="A59" i="8"/>
  <c r="F58" i="8"/>
  <c r="E58" i="8"/>
  <c r="D58" i="8"/>
  <c r="C58" i="8"/>
  <c r="A58" i="8"/>
  <c r="F57" i="8"/>
  <c r="E57" i="8"/>
  <c r="D57" i="8"/>
  <c r="C57" i="8"/>
  <c r="A57" i="8"/>
  <c r="F56" i="8"/>
  <c r="D56" i="8"/>
  <c r="C56" i="8"/>
  <c r="A56" i="8"/>
  <c r="B49" i="8"/>
  <c r="B45" i="8"/>
  <c r="F43" i="8"/>
  <c r="E43" i="8"/>
  <c r="D43" i="8"/>
  <c r="C43" i="8"/>
  <c r="A43" i="8"/>
  <c r="E42" i="8"/>
  <c r="D42" i="8"/>
  <c r="C42" i="8"/>
  <c r="F42" i="8" s="1"/>
  <c r="A42" i="8"/>
  <c r="D41" i="8"/>
  <c r="D44" i="8" s="1"/>
  <c r="B48" i="8" s="1"/>
  <c r="C41" i="8"/>
  <c r="A41" i="8"/>
  <c r="I40" i="8"/>
  <c r="I41" i="8" s="1"/>
  <c r="F40" i="8"/>
  <c r="D40" i="8"/>
  <c r="C40" i="8"/>
  <c r="E40" i="8" s="1"/>
  <c r="A40" i="8"/>
  <c r="I39" i="8"/>
  <c r="F39" i="8"/>
  <c r="E39" i="8"/>
  <c r="D39" i="8"/>
  <c r="C39" i="8"/>
  <c r="A39" i="8"/>
  <c r="B20" i="8"/>
  <c r="B19" i="8"/>
  <c r="G15" i="8"/>
  <c r="G14" i="8"/>
  <c r="G12" i="8"/>
  <c r="G10" i="8"/>
  <c r="G7" i="8"/>
  <c r="G6" i="8"/>
  <c r="B26" i="10" s="1"/>
  <c r="B5" i="8"/>
  <c r="G66" i="7"/>
  <c r="D66" i="7"/>
  <c r="E66" i="7" s="1"/>
  <c r="F66" i="7" s="1"/>
  <c r="B29" i="7"/>
  <c r="B27" i="7"/>
  <c r="B26" i="7"/>
  <c r="B24" i="7"/>
  <c r="B22" i="7"/>
  <c r="B20" i="7"/>
  <c r="B19" i="7"/>
  <c r="G16" i="7"/>
  <c r="E16" i="7"/>
  <c r="B8" i="7"/>
  <c r="E4" i="7"/>
  <c r="D4" i="7"/>
  <c r="C4" i="7"/>
  <c r="B156" i="6"/>
  <c r="B135" i="6"/>
  <c r="C134" i="6"/>
  <c r="B134" i="6"/>
  <c r="B130" i="6"/>
  <c r="B124" i="6"/>
  <c r="B123" i="6"/>
  <c r="B118" i="6"/>
  <c r="B113" i="6"/>
  <c r="C102" i="6"/>
  <c r="B100" i="6"/>
  <c r="B97" i="6"/>
  <c r="B96" i="6"/>
  <c r="C96" i="6" s="1"/>
  <c r="B92" i="6"/>
  <c r="B90" i="6"/>
  <c r="B98" i="6" s="1"/>
  <c r="B88" i="6"/>
  <c r="C101" i="6" s="1"/>
  <c r="B87" i="6"/>
  <c r="B86" i="6"/>
  <c r="B85" i="6"/>
  <c r="B80" i="6"/>
  <c r="B78" i="6"/>
  <c r="B63" i="6"/>
  <c r="B62" i="6"/>
  <c r="B59" i="6"/>
  <c r="B58" i="6"/>
  <c r="B54" i="6"/>
  <c r="B52" i="6"/>
  <c r="B50" i="6"/>
  <c r="B49" i="6"/>
  <c r="B48" i="6"/>
  <c r="B47" i="6"/>
  <c r="C58" i="6" s="1"/>
  <c r="D58" i="6" s="1"/>
  <c r="B42" i="6"/>
  <c r="C25" i="6"/>
  <c r="B25" i="6"/>
  <c r="B24" i="6"/>
  <c r="B21" i="6"/>
  <c r="B20" i="6"/>
  <c r="C20" i="6" s="1"/>
  <c r="B16" i="6"/>
  <c r="F16" i="7" s="1"/>
  <c r="B14" i="6"/>
  <c r="B10" i="7" s="1"/>
  <c r="B12" i="6"/>
  <c r="B11" i="6"/>
  <c r="B10" i="6"/>
  <c r="B31" i="10" s="1"/>
  <c r="C31" i="10" s="1"/>
  <c r="D31" i="10" s="1"/>
  <c r="B9" i="6"/>
  <c r="F4" i="7" s="1"/>
  <c r="E30" i="5"/>
  <c r="D30" i="5"/>
  <c r="C30" i="5"/>
  <c r="B30" i="5"/>
  <c r="D22" i="5"/>
  <c r="D228" i="10" s="1"/>
  <c r="B22" i="5"/>
  <c r="D21" i="5"/>
  <c r="E17" i="5"/>
  <c r="D17" i="5"/>
  <c r="C17" i="5"/>
  <c r="B17" i="5"/>
  <c r="E10" i="5"/>
  <c r="B128" i="6" s="1"/>
  <c r="D10" i="5"/>
  <c r="C10" i="5"/>
  <c r="E8" i="5"/>
  <c r="B8" i="5"/>
  <c r="B211" i="10" s="1"/>
  <c r="C28" i="12" s="1"/>
  <c r="E7" i="5"/>
  <c r="D7" i="5"/>
  <c r="C7" i="5"/>
  <c r="E6" i="5"/>
  <c r="D6" i="5"/>
  <c r="D8" i="5" s="1"/>
  <c r="C6" i="5"/>
  <c r="C8" i="5" s="1"/>
  <c r="E5" i="5"/>
  <c r="D5" i="5"/>
  <c r="C5" i="5"/>
  <c r="F67" i="4"/>
  <c r="E67" i="4"/>
  <c r="C67" i="4"/>
  <c r="F66" i="4"/>
  <c r="E66" i="4"/>
  <c r="C66" i="4"/>
  <c r="B66" i="4"/>
  <c r="F65" i="4"/>
  <c r="E65" i="4"/>
  <c r="C65" i="4"/>
  <c r="B65" i="4"/>
  <c r="F64" i="4"/>
  <c r="E64" i="4"/>
  <c r="C64" i="4"/>
  <c r="B64" i="4"/>
  <c r="F63" i="4"/>
  <c r="E63" i="4"/>
  <c r="C63" i="4"/>
  <c r="B63" i="4"/>
  <c r="F62" i="4"/>
  <c r="E62" i="4"/>
  <c r="C62" i="4"/>
  <c r="B62" i="4"/>
  <c r="F61" i="4"/>
  <c r="E61" i="4"/>
  <c r="C61" i="4"/>
  <c r="B61" i="4"/>
  <c r="F60" i="4"/>
  <c r="E60" i="4"/>
  <c r="C60" i="4"/>
  <c r="B60" i="4"/>
  <c r="F59" i="4"/>
  <c r="E59" i="4"/>
  <c r="D59" i="4"/>
  <c r="C59" i="4"/>
  <c r="G59" i="4" s="1"/>
  <c r="E26" i="1" s="1"/>
  <c r="B59" i="4"/>
  <c r="F58" i="4"/>
  <c r="E58" i="4"/>
  <c r="D58" i="4"/>
  <c r="C58" i="4"/>
  <c r="B58" i="4"/>
  <c r="F57" i="4"/>
  <c r="E57" i="4"/>
  <c r="D57" i="4"/>
  <c r="C57" i="4"/>
  <c r="B57" i="4"/>
  <c r="G56" i="4"/>
  <c r="F56" i="4"/>
  <c r="E56" i="4"/>
  <c r="D56" i="4"/>
  <c r="C56" i="4"/>
  <c r="B56" i="4"/>
  <c r="F55" i="4"/>
  <c r="E55" i="4"/>
  <c r="D55" i="4"/>
  <c r="C55" i="4"/>
  <c r="B55" i="4"/>
  <c r="G55" i="4" s="1"/>
  <c r="B51" i="4"/>
  <c r="G50" i="4"/>
  <c r="D33" i="1" s="1"/>
  <c r="F50" i="4"/>
  <c r="E50" i="4"/>
  <c r="D50" i="4"/>
  <c r="C50" i="4"/>
  <c r="B50" i="4"/>
  <c r="F49" i="4"/>
  <c r="E49" i="4"/>
  <c r="D49" i="4"/>
  <c r="G49" i="4" s="1"/>
  <c r="D32" i="1" s="1"/>
  <c r="C49" i="4"/>
  <c r="B49" i="4"/>
  <c r="F48" i="4"/>
  <c r="E48" i="4"/>
  <c r="D48" i="4"/>
  <c r="C48" i="4"/>
  <c r="G48" i="4" s="1"/>
  <c r="D31" i="1" s="1"/>
  <c r="B48" i="4"/>
  <c r="F47" i="4"/>
  <c r="E47" i="4"/>
  <c r="D47" i="4"/>
  <c r="C47" i="4"/>
  <c r="B47" i="4"/>
  <c r="F46" i="4"/>
  <c r="G46" i="4" s="1"/>
  <c r="D29" i="1" s="1"/>
  <c r="E46" i="4"/>
  <c r="D46" i="4"/>
  <c r="C46" i="4"/>
  <c r="B46" i="4"/>
  <c r="F45" i="4"/>
  <c r="E45" i="4"/>
  <c r="D45" i="4"/>
  <c r="G45" i="4" s="1"/>
  <c r="D28" i="1" s="1"/>
  <c r="C45" i="4"/>
  <c r="B45" i="4"/>
  <c r="G44" i="4"/>
  <c r="D27" i="1" s="1"/>
  <c r="F44" i="4"/>
  <c r="E44" i="4"/>
  <c r="D44" i="4"/>
  <c r="C44" i="4"/>
  <c r="B44" i="4"/>
  <c r="F43" i="4"/>
  <c r="E43" i="4"/>
  <c r="D43" i="4"/>
  <c r="C43" i="4"/>
  <c r="B43" i="4"/>
  <c r="F42" i="4"/>
  <c r="F41" i="4"/>
  <c r="E41" i="4"/>
  <c r="G41" i="4" s="1"/>
  <c r="D24" i="1" s="1"/>
  <c r="D41" i="4"/>
  <c r="C41" i="4"/>
  <c r="B41" i="4"/>
  <c r="F40" i="4"/>
  <c r="E40" i="4"/>
  <c r="D40" i="4"/>
  <c r="G40" i="4" s="1"/>
  <c r="D23" i="1" s="1"/>
  <c r="C40" i="4"/>
  <c r="B40" i="4"/>
  <c r="F39" i="4"/>
  <c r="E39" i="4"/>
  <c r="D39" i="4"/>
  <c r="C39" i="4"/>
  <c r="B39" i="4"/>
  <c r="F35" i="4"/>
  <c r="F34" i="4"/>
  <c r="G34" i="4" s="1"/>
  <c r="C33" i="1" s="1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G32" i="4" s="1"/>
  <c r="C31" i="1" s="1"/>
  <c r="G31" i="4"/>
  <c r="C30" i="1" s="1"/>
  <c r="F31" i="4"/>
  <c r="E31" i="4"/>
  <c r="D31" i="4"/>
  <c r="C31" i="4"/>
  <c r="B31" i="4"/>
  <c r="F30" i="4"/>
  <c r="E30" i="4"/>
  <c r="D30" i="4"/>
  <c r="G30" i="4" s="1"/>
  <c r="C29" i="1" s="1"/>
  <c r="C30" i="4"/>
  <c r="B30" i="4"/>
  <c r="F29" i="4"/>
  <c r="E29" i="4"/>
  <c r="D29" i="4"/>
  <c r="C29" i="4"/>
  <c r="G29" i="4" s="1"/>
  <c r="C28" i="1" s="1"/>
  <c r="B29" i="4"/>
  <c r="F28" i="4"/>
  <c r="E28" i="4"/>
  <c r="D28" i="4"/>
  <c r="C28" i="4"/>
  <c r="B28" i="4"/>
  <c r="F27" i="4"/>
  <c r="E27" i="4"/>
  <c r="D27" i="4"/>
  <c r="C27" i="4"/>
  <c r="G27" i="4" s="1"/>
  <c r="C26" i="1" s="1"/>
  <c r="B27" i="4"/>
  <c r="F26" i="4"/>
  <c r="E26" i="4"/>
  <c r="D26" i="4"/>
  <c r="G26" i="4" s="1"/>
  <c r="C25" i="1" s="1"/>
  <c r="C26" i="4"/>
  <c r="B26" i="4"/>
  <c r="G25" i="4"/>
  <c r="C24" i="1" s="1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G23" i="4" s="1"/>
  <c r="D19" i="4"/>
  <c r="G18" i="4"/>
  <c r="B33" i="1" s="1"/>
  <c r="F18" i="4"/>
  <c r="E18" i="4"/>
  <c r="D18" i="4"/>
  <c r="C18" i="4"/>
  <c r="B18" i="4"/>
  <c r="E17" i="4"/>
  <c r="D17" i="4"/>
  <c r="C17" i="4"/>
  <c r="B17" i="4"/>
  <c r="F16" i="4"/>
  <c r="E16" i="4"/>
  <c r="D16" i="4"/>
  <c r="C16" i="4"/>
  <c r="B16" i="4"/>
  <c r="G16" i="4" s="1"/>
  <c r="G15" i="4"/>
  <c r="F15" i="4"/>
  <c r="E15" i="4"/>
  <c r="D15" i="4"/>
  <c r="C15" i="4"/>
  <c r="B15" i="4"/>
  <c r="E14" i="4"/>
  <c r="D14" i="4"/>
  <c r="C14" i="4"/>
  <c r="B14" i="4"/>
  <c r="F13" i="4"/>
  <c r="E13" i="4"/>
  <c r="D13" i="4"/>
  <c r="C13" i="4"/>
  <c r="B13" i="4"/>
  <c r="G13" i="4" s="1"/>
  <c r="B28" i="1" s="1"/>
  <c r="F12" i="4"/>
  <c r="G12" i="4" s="1"/>
  <c r="B27" i="1" s="1"/>
  <c r="E12" i="4"/>
  <c r="D12" i="4"/>
  <c r="C12" i="4"/>
  <c r="B12" i="4"/>
  <c r="F11" i="4"/>
  <c r="G11" i="4" s="1"/>
  <c r="B26" i="1" s="1"/>
  <c r="E11" i="4"/>
  <c r="D11" i="4"/>
  <c r="C11" i="4"/>
  <c r="B11" i="4"/>
  <c r="E10" i="4"/>
  <c r="D10" i="4"/>
  <c r="C10" i="4"/>
  <c r="B10" i="4"/>
  <c r="E9" i="4"/>
  <c r="D9" i="4"/>
  <c r="C9" i="4"/>
  <c r="B9" i="4"/>
  <c r="F8" i="4"/>
  <c r="E8" i="4"/>
  <c r="D8" i="4"/>
  <c r="C8" i="4"/>
  <c r="G8" i="4" s="1"/>
  <c r="B23" i="1" s="1"/>
  <c r="B8" i="4"/>
  <c r="F7" i="4"/>
  <c r="E7" i="4"/>
  <c r="D7" i="4"/>
  <c r="C7" i="4"/>
  <c r="B7" i="4"/>
  <c r="F109" i="3"/>
  <c r="E109" i="3"/>
  <c r="D109" i="3"/>
  <c r="C109" i="3"/>
  <c r="B109" i="3"/>
  <c r="F107" i="3"/>
  <c r="E107" i="3"/>
  <c r="D107" i="3"/>
  <c r="D67" i="4" s="1"/>
  <c r="C107" i="3"/>
  <c r="B107" i="3"/>
  <c r="B67" i="4" s="1"/>
  <c r="G106" i="3"/>
  <c r="G105" i="3"/>
  <c r="G104" i="3"/>
  <c r="G107" i="3" s="1"/>
  <c r="G103" i="3"/>
  <c r="G102" i="3"/>
  <c r="G101" i="3"/>
  <c r="G100" i="3"/>
  <c r="B100" i="3"/>
  <c r="G99" i="3"/>
  <c r="G98" i="3"/>
  <c r="E40" i="1" s="1"/>
  <c r="G97" i="3"/>
  <c r="G96" i="3"/>
  <c r="G95" i="3"/>
  <c r="E22" i="5" s="1"/>
  <c r="E228" i="10" s="1"/>
  <c r="G94" i="3"/>
  <c r="F94" i="3"/>
  <c r="E94" i="3"/>
  <c r="D94" i="3"/>
  <c r="C94" i="3"/>
  <c r="B94" i="3"/>
  <c r="G93" i="3"/>
  <c r="G92" i="3"/>
  <c r="D91" i="3"/>
  <c r="D66" i="4" s="1"/>
  <c r="D90" i="3"/>
  <c r="D89" i="3"/>
  <c r="D87" i="3"/>
  <c r="D86" i="3"/>
  <c r="D63" i="4" s="1"/>
  <c r="G63" i="4" s="1"/>
  <c r="D85" i="3"/>
  <c r="D84" i="3"/>
  <c r="D62" i="4" s="1"/>
  <c r="F81" i="3"/>
  <c r="F51" i="4" s="1"/>
  <c r="E81" i="3"/>
  <c r="E51" i="4" s="1"/>
  <c r="D81" i="3"/>
  <c r="D51" i="4" s="1"/>
  <c r="C81" i="3"/>
  <c r="C51" i="4" s="1"/>
  <c r="B81" i="3"/>
  <c r="G80" i="3"/>
  <c r="G79" i="3"/>
  <c r="G78" i="3"/>
  <c r="G77" i="3"/>
  <c r="G74" i="3"/>
  <c r="D40" i="1" s="1"/>
  <c r="F74" i="3"/>
  <c r="E74" i="3"/>
  <c r="E42" i="4" s="1"/>
  <c r="D74" i="3"/>
  <c r="D42" i="4" s="1"/>
  <c r="C74" i="3"/>
  <c r="C42" i="4" s="1"/>
  <c r="B74" i="3"/>
  <c r="B42" i="4" s="1"/>
  <c r="G70" i="3"/>
  <c r="G68" i="3"/>
  <c r="B101" i="6" s="1"/>
  <c r="F68" i="3"/>
  <c r="E68" i="3"/>
  <c r="D68" i="3"/>
  <c r="C68" i="3"/>
  <c r="B68" i="3"/>
  <c r="F55" i="3"/>
  <c r="E55" i="3"/>
  <c r="E35" i="4" s="1"/>
  <c r="D55" i="3"/>
  <c r="D35" i="4" s="1"/>
  <c r="C55" i="3"/>
  <c r="C35" i="4" s="1"/>
  <c r="B55" i="3"/>
  <c r="B35" i="4" s="1"/>
  <c r="G35" i="4" s="1"/>
  <c r="C34" i="1" s="1"/>
  <c r="G54" i="3"/>
  <c r="G53" i="3"/>
  <c r="G52" i="3"/>
  <c r="G55" i="3" s="1"/>
  <c r="G51" i="3"/>
  <c r="G50" i="3"/>
  <c r="G49" i="3"/>
  <c r="C39" i="1" s="1"/>
  <c r="G48" i="3"/>
  <c r="G47" i="3"/>
  <c r="G46" i="3"/>
  <c r="G45" i="3"/>
  <c r="G44" i="3"/>
  <c r="G43" i="3"/>
  <c r="C22" i="5" s="1"/>
  <c r="C228" i="10" s="1"/>
  <c r="F42" i="3"/>
  <c r="E42" i="3"/>
  <c r="D42" i="3"/>
  <c r="C42" i="3"/>
  <c r="B42" i="3"/>
  <c r="F29" i="3"/>
  <c r="E29" i="3"/>
  <c r="E19" i="4" s="1"/>
  <c r="D29" i="3"/>
  <c r="C29" i="3"/>
  <c r="C19" i="4" s="1"/>
  <c r="B29" i="3"/>
  <c r="B19" i="4" s="1"/>
  <c r="G28" i="3"/>
  <c r="G27" i="3"/>
  <c r="B42" i="7" s="1"/>
  <c r="B81" i="7" s="1"/>
  <c r="G26" i="3"/>
  <c r="G29" i="3" s="1"/>
  <c r="G25" i="3"/>
  <c r="G24" i="3"/>
  <c r="G23" i="3"/>
  <c r="G22" i="3"/>
  <c r="B40" i="1" s="1"/>
  <c r="F22" i="3"/>
  <c r="F10" i="4" s="1"/>
  <c r="G21" i="3"/>
  <c r="G20" i="3"/>
  <c r="F20" i="3"/>
  <c r="G19" i="3"/>
  <c r="B36" i="7" s="1"/>
  <c r="B12" i="7" s="1"/>
  <c r="G18" i="3"/>
  <c r="G17" i="3"/>
  <c r="F16" i="3"/>
  <c r="D111" i="8" s="1"/>
  <c r="E16" i="3"/>
  <c r="D16" i="3"/>
  <c r="D109" i="8" s="1"/>
  <c r="E109" i="8" s="1"/>
  <c r="C16" i="3"/>
  <c r="D108" i="8" s="1"/>
  <c r="B16" i="3"/>
  <c r="D107" i="8" s="1"/>
  <c r="E97" i="2"/>
  <c r="D97" i="2"/>
  <c r="C97" i="2"/>
  <c r="B97" i="2"/>
  <c r="B95" i="2"/>
  <c r="B92" i="2"/>
  <c r="E90" i="2"/>
  <c r="D90" i="2"/>
  <c r="E89" i="2"/>
  <c r="D89" i="2"/>
  <c r="C89" i="2"/>
  <c r="B89" i="2"/>
  <c r="B78" i="2"/>
  <c r="B74" i="2"/>
  <c r="B69" i="2"/>
  <c r="B67" i="2"/>
  <c r="B63" i="2"/>
  <c r="B91" i="2" s="1"/>
  <c r="B57" i="2"/>
  <c r="B58" i="2" s="1"/>
  <c r="B56" i="2"/>
  <c r="B90" i="2" s="1"/>
  <c r="B52" i="2"/>
  <c r="B51" i="2"/>
  <c r="B53" i="2" s="1"/>
  <c r="B48" i="2"/>
  <c r="B46" i="2"/>
  <c r="B45" i="2"/>
  <c r="B44" i="2"/>
  <c r="B41" i="2"/>
  <c r="B40" i="2"/>
  <c r="B39" i="2"/>
  <c r="B38" i="2"/>
  <c r="B37" i="2"/>
  <c r="B36" i="2"/>
  <c r="B33" i="2"/>
  <c r="B32" i="2"/>
  <c r="B31" i="2"/>
  <c r="B30" i="2"/>
  <c r="B29" i="2"/>
  <c r="B28" i="2"/>
  <c r="B27" i="2"/>
  <c r="B11" i="2"/>
  <c r="D49" i="1"/>
  <c r="E48" i="1"/>
  <c r="D48" i="1"/>
  <c r="C48" i="1"/>
  <c r="B48" i="1"/>
  <c r="B59" i="2" s="1"/>
  <c r="E47" i="1"/>
  <c r="D47" i="1"/>
  <c r="C47" i="1"/>
  <c r="B47" i="1"/>
  <c r="E46" i="1"/>
  <c r="D46" i="1"/>
  <c r="C46" i="1"/>
  <c r="B46" i="1"/>
  <c r="E45" i="1"/>
  <c r="D45" i="1"/>
  <c r="C45" i="1"/>
  <c r="B45" i="1"/>
  <c r="D44" i="1"/>
  <c r="C44" i="1"/>
  <c r="B44" i="1"/>
  <c r="E43" i="1"/>
  <c r="D43" i="1"/>
  <c r="B43" i="1"/>
  <c r="E42" i="1"/>
  <c r="D42" i="1"/>
  <c r="B42" i="1"/>
  <c r="E41" i="1"/>
  <c r="D41" i="1"/>
  <c r="C41" i="1"/>
  <c r="B41" i="1"/>
  <c r="C40" i="1"/>
  <c r="E39" i="1"/>
  <c r="D39" i="1"/>
  <c r="B39" i="1"/>
  <c r="E38" i="1"/>
  <c r="D38" i="1"/>
  <c r="B38" i="1"/>
  <c r="E37" i="1"/>
  <c r="D37" i="1"/>
  <c r="B37" i="1"/>
  <c r="B31" i="1"/>
  <c r="E30" i="1"/>
  <c r="B30" i="1"/>
  <c r="E23" i="1"/>
  <c r="E22" i="1"/>
  <c r="C22" i="1"/>
  <c r="B18" i="1"/>
  <c r="E16" i="1"/>
  <c r="D16" i="1"/>
  <c r="C16" i="1"/>
  <c r="B16" i="1"/>
  <c r="D13" i="1"/>
  <c r="E6" i="1"/>
  <c r="D6" i="1"/>
  <c r="C6" i="1"/>
  <c r="B6" i="1"/>
  <c r="D37" i="12" l="1"/>
  <c r="D40" i="12"/>
  <c r="D41" i="12"/>
  <c r="D7" i="15"/>
  <c r="C35" i="13"/>
  <c r="B21" i="13"/>
  <c r="B59" i="13"/>
  <c r="D44" i="12"/>
  <c r="D45" i="12"/>
  <c r="D43" i="12"/>
  <c r="D42" i="12"/>
  <c r="D38" i="12"/>
  <c r="D36" i="12"/>
  <c r="D36" i="16"/>
  <c r="G36" i="16" s="1"/>
  <c r="C29" i="14"/>
  <c r="B34" i="14"/>
  <c r="B29" i="14"/>
  <c r="C17" i="14"/>
  <c r="C20" i="11"/>
  <c r="E22" i="11"/>
  <c r="D58" i="13"/>
  <c r="D64" i="13"/>
  <c r="D63" i="13"/>
  <c r="D60" i="13"/>
  <c r="D62" i="13"/>
  <c r="D67" i="13"/>
  <c r="C34" i="13"/>
  <c r="B64" i="13"/>
  <c r="C64" i="13"/>
  <c r="B53" i="16" s="1"/>
  <c r="D53" i="16" s="1"/>
  <c r="G53" i="16" s="1"/>
  <c r="D21" i="11"/>
  <c r="B21" i="11"/>
  <c r="E21" i="5"/>
  <c r="E49" i="1"/>
  <c r="D12" i="7"/>
  <c r="E12" i="7"/>
  <c r="C12" i="7"/>
  <c r="G12" i="7"/>
  <c r="F12" i="7"/>
  <c r="D63" i="6"/>
  <c r="D59" i="6"/>
  <c r="D62" i="6"/>
  <c r="E58" i="6"/>
  <c r="D64" i="6"/>
  <c r="B49" i="1"/>
  <c r="B21" i="5"/>
  <c r="C21" i="5"/>
  <c r="C49" i="1"/>
  <c r="E107" i="8"/>
  <c r="F17" i="4"/>
  <c r="F9" i="4"/>
  <c r="C38" i="1"/>
  <c r="C37" i="1"/>
  <c r="G33" i="4"/>
  <c r="C32" i="1" s="1"/>
  <c r="C18" i="5"/>
  <c r="C90" i="2"/>
  <c r="C140" i="6"/>
  <c r="D134" i="6"/>
  <c r="C135" i="6"/>
  <c r="C139" i="6"/>
  <c r="G51" i="4"/>
  <c r="D34" i="1" s="1"/>
  <c r="C31" i="16"/>
  <c r="B257" i="10"/>
  <c r="B31" i="16" s="1"/>
  <c r="D31" i="16" s="1"/>
  <c r="G31" i="16" s="1"/>
  <c r="D110" i="8"/>
  <c r="B117" i="8" s="1"/>
  <c r="B70" i="2"/>
  <c r="B266" i="11"/>
  <c r="B212" i="10"/>
  <c r="D9" i="5"/>
  <c r="C9" i="5"/>
  <c r="E9" i="5"/>
  <c r="D65" i="4"/>
  <c r="G65" i="4" s="1"/>
  <c r="E32" i="1" s="1"/>
  <c r="D64" i="4"/>
  <c r="G64" i="4" s="1"/>
  <c r="E31" i="1" s="1"/>
  <c r="B126" i="6"/>
  <c r="B139" i="6"/>
  <c r="G10" i="4"/>
  <c r="B25" i="1" s="1"/>
  <c r="F14" i="4"/>
  <c r="G14" i="4" s="1"/>
  <c r="B29" i="1" s="1"/>
  <c r="C62" i="6"/>
  <c r="C59" i="6"/>
  <c r="C63" i="6"/>
  <c r="G67" i="4"/>
  <c r="E34" i="1" s="1"/>
  <c r="B31" i="5"/>
  <c r="E44" i="1"/>
  <c r="E44" i="10"/>
  <c r="D44" i="10"/>
  <c r="C44" i="10"/>
  <c r="G44" i="10"/>
  <c r="F44" i="10"/>
  <c r="B61" i="6"/>
  <c r="B65" i="6" s="1"/>
  <c r="C7" i="1" s="1"/>
  <c r="B60" i="6"/>
  <c r="G57" i="4"/>
  <c r="E24" i="1" s="1"/>
  <c r="G62" i="4"/>
  <c r="E29" i="1" s="1"/>
  <c r="B228" i="10"/>
  <c r="B37" i="6"/>
  <c r="B13" i="1" s="1"/>
  <c r="C64" i="6"/>
  <c r="B86" i="10"/>
  <c r="B57" i="10"/>
  <c r="B61" i="10"/>
  <c r="B91" i="10"/>
  <c r="B47" i="2"/>
  <c r="B41" i="7"/>
  <c r="B49" i="12"/>
  <c r="B50" i="12" s="1"/>
  <c r="C41" i="16"/>
  <c r="F19" i="4"/>
  <c r="G19" i="4" s="1"/>
  <c r="B34" i="1" s="1"/>
  <c r="C42" i="1"/>
  <c r="C43" i="1"/>
  <c r="G42" i="4"/>
  <c r="D25" i="1" s="1"/>
  <c r="D61" i="4"/>
  <c r="G61" i="4" s="1"/>
  <c r="E28" i="1" s="1"/>
  <c r="D60" i="4"/>
  <c r="G60" i="4" s="1"/>
  <c r="E27" i="1" s="1"/>
  <c r="G7" i="4"/>
  <c r="B22" i="1" s="1"/>
  <c r="B23" i="13"/>
  <c r="B24" i="13" s="1"/>
  <c r="B40" i="6"/>
  <c r="B18" i="5"/>
  <c r="D10" i="7"/>
  <c r="F10" i="7"/>
  <c r="E10" i="7"/>
  <c r="G10" i="7"/>
  <c r="C10" i="7"/>
  <c r="D8" i="7"/>
  <c r="G8" i="7"/>
  <c r="F8" i="7"/>
  <c r="C8" i="7"/>
  <c r="B7" i="7"/>
  <c r="B21" i="7"/>
  <c r="B23" i="7" s="1"/>
  <c r="B25" i="7" s="1"/>
  <c r="B28" i="7" s="1"/>
  <c r="B30" i="7" s="1"/>
  <c r="F61" i="8"/>
  <c r="I73" i="8"/>
  <c r="I74" i="8" s="1"/>
  <c r="I75" i="8" s="1"/>
  <c r="I76" i="8" s="1"/>
  <c r="E73" i="8"/>
  <c r="E78" i="8" s="1"/>
  <c r="B81" i="8" s="1"/>
  <c r="F73" i="8"/>
  <c r="F78" i="8" s="1"/>
  <c r="E8" i="7"/>
  <c r="C19" i="7"/>
  <c r="B84" i="10"/>
  <c r="B34" i="7"/>
  <c r="B93" i="10"/>
  <c r="C93" i="10" s="1"/>
  <c r="D93" i="10" s="1"/>
  <c r="E93" i="10" s="1"/>
  <c r="F93" i="10" s="1"/>
  <c r="G93" i="10" s="1"/>
  <c r="B43" i="7"/>
  <c r="C43" i="7" s="1"/>
  <c r="D43" i="7" s="1"/>
  <c r="E43" i="7" s="1"/>
  <c r="F43" i="7" s="1"/>
  <c r="G43" i="7" s="1"/>
  <c r="E230" i="10"/>
  <c r="B138" i="6"/>
  <c r="B125" i="6"/>
  <c r="C138" i="6" s="1"/>
  <c r="G39" i="4"/>
  <c r="D22" i="1" s="1"/>
  <c r="F49" i="10"/>
  <c r="E49" i="10"/>
  <c r="D49" i="10"/>
  <c r="G49" i="10"/>
  <c r="B6" i="7"/>
  <c r="C5" i="8"/>
  <c r="G8" i="8"/>
  <c r="F31" i="10"/>
  <c r="I60" i="13"/>
  <c r="D70" i="13" s="1"/>
  <c r="D68" i="13"/>
  <c r="D69" i="13" s="1"/>
  <c r="B85" i="10"/>
  <c r="B56" i="10"/>
  <c r="B35" i="7"/>
  <c r="B11" i="7" s="1"/>
  <c r="B95" i="10"/>
  <c r="B45" i="7"/>
  <c r="G17" i="4"/>
  <c r="B32" i="1" s="1"/>
  <c r="G58" i="4"/>
  <c r="E25" i="1" s="1"/>
  <c r="D227" i="10"/>
  <c r="B112" i="6"/>
  <c r="D24" i="5"/>
  <c r="B75" i="6"/>
  <c r="C13" i="1" s="1"/>
  <c r="B99" i="6"/>
  <c r="B103" i="6" s="1"/>
  <c r="D7" i="1" s="1"/>
  <c r="C42" i="7"/>
  <c r="D42" i="7" s="1"/>
  <c r="E42" i="7" s="1"/>
  <c r="F42" i="7" s="1"/>
  <c r="G42" i="7" s="1"/>
  <c r="F94" i="8"/>
  <c r="E94" i="8"/>
  <c r="B92" i="10"/>
  <c r="F112" i="8"/>
  <c r="D5" i="8"/>
  <c r="I42" i="8"/>
  <c r="E5" i="8" s="1"/>
  <c r="D78" i="8"/>
  <c r="B82" i="8" s="1"/>
  <c r="G9" i="4"/>
  <c r="B24" i="1" s="1"/>
  <c r="G28" i="4"/>
  <c r="C27" i="1" s="1"/>
  <c r="G47" i="4"/>
  <c r="D30" i="1" s="1"/>
  <c r="B116" i="6"/>
  <c r="D18" i="5"/>
  <c r="D31" i="5"/>
  <c r="D32" i="5" s="1"/>
  <c r="C24" i="6"/>
  <c r="C21" i="6"/>
  <c r="B22" i="6"/>
  <c r="B23" i="6" s="1"/>
  <c r="B27" i="6" s="1"/>
  <c r="B7" i="1" s="1"/>
  <c r="B151" i="6"/>
  <c r="E13" i="1" s="1"/>
  <c r="G13" i="8"/>
  <c r="B88" i="10"/>
  <c r="B38" i="7"/>
  <c r="B90" i="10"/>
  <c r="B94" i="10" s="1"/>
  <c r="B96" i="10" s="1"/>
  <c r="B40" i="7"/>
  <c r="B58" i="10"/>
  <c r="G24" i="4"/>
  <c r="C23" i="1" s="1"/>
  <c r="G43" i="4"/>
  <c r="D26" i="1" s="1"/>
  <c r="G66" i="4"/>
  <c r="E33" i="1" s="1"/>
  <c r="E18" i="5"/>
  <c r="B154" i="6"/>
  <c r="D20" i="6"/>
  <c r="D96" i="6"/>
  <c r="C100" i="6"/>
  <c r="C97" i="6"/>
  <c r="G4" i="7"/>
  <c r="B66" i="8"/>
  <c r="D61" i="8"/>
  <c r="B65" i="8" s="1"/>
  <c r="E56" i="8"/>
  <c r="D76" i="13"/>
  <c r="B10" i="15"/>
  <c r="B151" i="10"/>
  <c r="B266" i="10" s="1"/>
  <c r="B86" i="7"/>
  <c r="E41" i="8"/>
  <c r="E44" i="8" s="1"/>
  <c r="F41" i="8"/>
  <c r="F44" i="8" s="1"/>
  <c r="F60" i="8"/>
  <c r="E60" i="8"/>
  <c r="B83" i="8"/>
  <c r="E108" i="8"/>
  <c r="C16" i="7"/>
  <c r="C95" i="8"/>
  <c r="B97" i="8" s="1"/>
  <c r="F90" i="8"/>
  <c r="E90" i="8"/>
  <c r="I90" i="8"/>
  <c r="I91" i="8" s="1"/>
  <c r="I92" i="8" s="1"/>
  <c r="I93" i="8" s="1"/>
  <c r="E110" i="8"/>
  <c r="C129" i="8"/>
  <c r="B131" i="8" s="1"/>
  <c r="B136" i="6"/>
  <c r="B137" i="6" s="1"/>
  <c r="B141" i="6" s="1"/>
  <c r="E7" i="1" s="1"/>
  <c r="D16" i="7"/>
  <c r="B5" i="7"/>
  <c r="B100" i="8"/>
  <c r="F110" i="8"/>
  <c r="C23" i="12"/>
  <c r="B23" i="12"/>
  <c r="B37" i="16"/>
  <c r="D37" i="16" s="1"/>
  <c r="G37" i="16" s="1"/>
  <c r="F129" i="8"/>
  <c r="B32" i="12"/>
  <c r="B28" i="12"/>
  <c r="C61" i="8"/>
  <c r="B63" i="8" s="1"/>
  <c r="I56" i="8"/>
  <c r="I57" i="8" s="1"/>
  <c r="I58" i="8" s="1"/>
  <c r="I59" i="8" s="1"/>
  <c r="K13" i="14"/>
  <c r="K12" i="14"/>
  <c r="K14" i="14"/>
  <c r="E20" i="11"/>
  <c r="D20" i="11"/>
  <c r="C44" i="8"/>
  <c r="B46" i="8" s="1"/>
  <c r="E59" i="8"/>
  <c r="E93" i="8"/>
  <c r="I107" i="8"/>
  <c r="I108" i="8" s="1"/>
  <c r="I109" i="8" s="1"/>
  <c r="I110" i="8" s="1"/>
  <c r="E111" i="8"/>
  <c r="E125" i="8"/>
  <c r="E129" i="8" s="1"/>
  <c r="B132" i="8" s="1"/>
  <c r="E128" i="8"/>
  <c r="I63" i="13"/>
  <c r="D41" i="16"/>
  <c r="G41" i="16" s="1"/>
  <c r="C21" i="11"/>
  <c r="E21" i="11"/>
  <c r="D129" i="8"/>
  <c r="B133" i="8" s="1"/>
  <c r="D22" i="11"/>
  <c r="G22" i="11" s="1"/>
  <c r="C40" i="14"/>
  <c r="B40" i="14"/>
  <c r="D59" i="13"/>
  <c r="I59" i="13" s="1"/>
  <c r="E64" i="13"/>
  <c r="E63" i="13"/>
  <c r="E62" i="13"/>
  <c r="E61" i="13"/>
  <c r="E60" i="13"/>
  <c r="E69" i="13" s="1"/>
  <c r="E59" i="13"/>
  <c r="E58" i="13"/>
  <c r="C61" i="13"/>
  <c r="C60" i="13"/>
  <c r="C59" i="13"/>
  <c r="C58" i="13"/>
  <c r="D95" i="8"/>
  <c r="B99" i="8" s="1"/>
  <c r="C27" i="12"/>
  <c r="I61" i="13"/>
  <c r="B31" i="14"/>
  <c r="D31" i="14" s="1"/>
  <c r="B33" i="14"/>
  <c r="D33" i="14" s="1"/>
  <c r="B38" i="14"/>
  <c r="B58" i="13"/>
  <c r="B60" i="13"/>
  <c r="B61" i="13"/>
  <c r="G61" i="13" s="1"/>
  <c r="B62" i="13"/>
  <c r="G62" i="13" s="1"/>
  <c r="B63" i="13"/>
  <c r="G63" i="13" s="1"/>
  <c r="C31" i="14"/>
  <c r="C33" i="14"/>
  <c r="C62" i="13"/>
  <c r="C63" i="13"/>
  <c r="B28" i="14"/>
  <c r="D28" i="14" s="1"/>
  <c r="B30" i="14"/>
  <c r="B32" i="14"/>
  <c r="D32" i="14" s="1"/>
  <c r="B67" i="13"/>
  <c r="C28" i="14"/>
  <c r="C30" i="14"/>
  <c r="C32" i="14"/>
  <c r="I62" i="13" l="1"/>
  <c r="D29" i="14"/>
  <c r="G20" i="11"/>
  <c r="B45" i="16" s="1"/>
  <c r="D45" i="16" s="1"/>
  <c r="G45" i="16" s="1"/>
  <c r="C16" i="14"/>
  <c r="J58" i="13"/>
  <c r="I58" i="13"/>
  <c r="G59" i="13"/>
  <c r="G58" i="13"/>
  <c r="H61" i="13"/>
  <c r="H63" i="13"/>
  <c r="J61" i="13"/>
  <c r="H62" i="13"/>
  <c r="H58" i="13"/>
  <c r="E29" i="14"/>
  <c r="H59" i="13"/>
  <c r="J63" i="13"/>
  <c r="C38" i="14"/>
  <c r="J59" i="13"/>
  <c r="E32" i="14"/>
  <c r="E33" i="14"/>
  <c r="F50" i="14" s="1"/>
  <c r="E28" i="14"/>
  <c r="E50" i="14" s="1"/>
  <c r="E31" i="14"/>
  <c r="C67" i="13"/>
  <c r="B47" i="8"/>
  <c r="G9" i="8"/>
  <c r="G11" i="8"/>
  <c r="G16" i="8" s="1"/>
  <c r="F5" i="7"/>
  <c r="D5" i="7"/>
  <c r="C5" i="7"/>
  <c r="G5" i="7"/>
  <c r="E5" i="7"/>
  <c r="C92" i="10"/>
  <c r="D92" i="10" s="1"/>
  <c r="E92" i="10" s="1"/>
  <c r="F92" i="10" s="1"/>
  <c r="G92" i="10" s="1"/>
  <c r="B142" i="10"/>
  <c r="B114" i="6"/>
  <c r="D12" i="1"/>
  <c r="C37" i="14"/>
  <c r="E30" i="14"/>
  <c r="C58" i="16"/>
  <c r="B54" i="16"/>
  <c r="D54" i="16" s="1"/>
  <c r="G54" i="16" s="1"/>
  <c r="J60" i="13"/>
  <c r="E70" i="13" s="1"/>
  <c r="C99" i="6"/>
  <c r="C103" i="6" s="1"/>
  <c r="C98" i="6"/>
  <c r="C41" i="7"/>
  <c r="D41" i="7" s="1"/>
  <c r="E41" i="7" s="1"/>
  <c r="F41" i="7" s="1"/>
  <c r="G41" i="7" s="1"/>
  <c r="B80" i="7"/>
  <c r="B9" i="7"/>
  <c r="C136" i="6"/>
  <c r="C137" i="6" s="1"/>
  <c r="C141" i="6" s="1"/>
  <c r="C227" i="10"/>
  <c r="C24" i="5"/>
  <c r="B74" i="6"/>
  <c r="C31" i="5"/>
  <c r="C32" i="5" s="1"/>
  <c r="C23" i="5"/>
  <c r="C28" i="5" s="1"/>
  <c r="C29" i="5" s="1"/>
  <c r="G58" i="10"/>
  <c r="F58" i="10"/>
  <c r="C58" i="10"/>
  <c r="E58" i="10"/>
  <c r="D58" i="10"/>
  <c r="C22" i="6"/>
  <c r="C23" i="6" s="1"/>
  <c r="D6" i="7"/>
  <c r="G6" i="7"/>
  <c r="E6" i="7"/>
  <c r="C6" i="7"/>
  <c r="F6" i="7"/>
  <c r="F7" i="7"/>
  <c r="C7" i="7"/>
  <c r="C24" i="7" s="1"/>
  <c r="C51" i="7" s="1"/>
  <c r="C62" i="7" s="1"/>
  <c r="G7" i="7"/>
  <c r="E7" i="7"/>
  <c r="D7" i="7"/>
  <c r="D139" i="6"/>
  <c r="E134" i="6"/>
  <c r="D138" i="6"/>
  <c r="D140" i="6"/>
  <c r="D135" i="6"/>
  <c r="B23" i="5"/>
  <c r="B36" i="6"/>
  <c r="B227" i="10"/>
  <c r="B24" i="5"/>
  <c r="J62" i="13"/>
  <c r="D100" i="6"/>
  <c r="D102" i="6"/>
  <c r="D101" i="6"/>
  <c r="E96" i="6"/>
  <c r="D97" i="6"/>
  <c r="B44" i="7"/>
  <c r="B46" i="7" s="1"/>
  <c r="B13" i="7"/>
  <c r="H78" i="8"/>
  <c r="J74" i="8"/>
  <c r="C10" i="8" s="1"/>
  <c r="C28" i="8" s="1"/>
  <c r="J76" i="8"/>
  <c r="E10" i="8" s="1"/>
  <c r="E28" i="8" s="1"/>
  <c r="J75" i="8"/>
  <c r="D10" i="8" s="1"/>
  <c r="D28" i="8" s="1"/>
  <c r="J73" i="8"/>
  <c r="B10" i="8" s="1"/>
  <c r="B28" i="8" s="1"/>
  <c r="B209" i="10"/>
  <c r="C74" i="10"/>
  <c r="B141" i="10"/>
  <c r="C91" i="10"/>
  <c r="D21" i="6"/>
  <c r="D24" i="6"/>
  <c r="D25" i="6"/>
  <c r="E20" i="6"/>
  <c r="B51" i="12"/>
  <c r="B32" i="5"/>
  <c r="B37" i="14"/>
  <c r="B39" i="14" s="1"/>
  <c r="B41" i="14" s="1"/>
  <c r="D30" i="14"/>
  <c r="B42" i="14" s="1"/>
  <c r="B55" i="16"/>
  <c r="D55" i="16" s="1"/>
  <c r="G55" i="16" s="1"/>
  <c r="C51" i="16"/>
  <c r="H60" i="13"/>
  <c r="B50" i="16"/>
  <c r="D50" i="16" s="1"/>
  <c r="G50" i="16" s="1"/>
  <c r="C68" i="13"/>
  <c r="B226" i="10"/>
  <c r="B229" i="10" s="1"/>
  <c r="B231" i="10" s="1"/>
  <c r="B25" i="5"/>
  <c r="B12" i="2"/>
  <c r="F57" i="10"/>
  <c r="E57" i="10"/>
  <c r="D57" i="10"/>
  <c r="G57" i="10"/>
  <c r="C57" i="10"/>
  <c r="C226" i="10"/>
  <c r="C229" i="10" s="1"/>
  <c r="C231" i="10" s="1"/>
  <c r="C25" i="5"/>
  <c r="E112" i="8"/>
  <c r="B115" i="8" s="1"/>
  <c r="E59" i="6"/>
  <c r="E62" i="6"/>
  <c r="E64" i="6"/>
  <c r="E63" i="6"/>
  <c r="F58" i="6"/>
  <c r="C43" i="16"/>
  <c r="G21" i="11"/>
  <c r="C36" i="13"/>
  <c r="E67" i="13"/>
  <c r="E61" i="8"/>
  <c r="B64" i="8" s="1"/>
  <c r="J58" i="8" s="1"/>
  <c r="D7" i="8" s="1"/>
  <c r="D25" i="8" s="1"/>
  <c r="G31" i="10"/>
  <c r="B37" i="7"/>
  <c r="B39" i="7" s="1"/>
  <c r="B47" i="7" s="1"/>
  <c r="B82" i="7"/>
  <c r="G60" i="13"/>
  <c r="B68" i="13"/>
  <c r="B69" i="13" s="1"/>
  <c r="E95" i="8"/>
  <c r="J59" i="8"/>
  <c r="E7" i="8" s="1"/>
  <c r="E25" i="8" s="1"/>
  <c r="E226" i="10"/>
  <c r="E25" i="5"/>
  <c r="D226" i="10"/>
  <c r="D229" i="10" s="1"/>
  <c r="D231" i="10" s="1"/>
  <c r="D23" i="5"/>
  <c r="D28" i="5" s="1"/>
  <c r="D29" i="5" s="1"/>
  <c r="D25" i="5"/>
  <c r="F11" i="7"/>
  <c r="G11" i="7"/>
  <c r="E11" i="7"/>
  <c r="D11" i="7"/>
  <c r="C11" i="7"/>
  <c r="B143" i="10"/>
  <c r="B87" i="10"/>
  <c r="B89" i="10" s="1"/>
  <c r="B97" i="10" s="1"/>
  <c r="B149" i="10"/>
  <c r="B264" i="10" s="1"/>
  <c r="B84" i="7"/>
  <c r="B14" i="7"/>
  <c r="D112" i="8"/>
  <c r="B116" i="8" s="1"/>
  <c r="J126" i="8"/>
  <c r="D14" i="8" s="1"/>
  <c r="J124" i="8"/>
  <c r="B14" i="8" s="1"/>
  <c r="B15" i="8" s="1"/>
  <c r="H129" i="8"/>
  <c r="J127" i="8"/>
  <c r="E14" i="8" s="1"/>
  <c r="J125" i="8"/>
  <c r="C14" i="8" s="1"/>
  <c r="C15" i="8" s="1"/>
  <c r="C32" i="8" s="1"/>
  <c r="F95" i="8"/>
  <c r="D19" i="7"/>
  <c r="C36" i="7"/>
  <c r="C53" i="7" s="1"/>
  <c r="C54" i="7"/>
  <c r="C63" i="7" s="1"/>
  <c r="C22" i="7"/>
  <c r="C20" i="7"/>
  <c r="C35" i="7" s="1"/>
  <c r="C52" i="7" s="1"/>
  <c r="C60" i="6"/>
  <c r="C61" i="6" s="1"/>
  <c r="C65" i="6" s="1"/>
  <c r="E28" i="5"/>
  <c r="E29" i="5" s="1"/>
  <c r="D60" i="6"/>
  <c r="D61" i="6"/>
  <c r="D65" i="6" s="1"/>
  <c r="E227" i="10"/>
  <c r="B150" i="6"/>
  <c r="E24" i="5"/>
  <c r="E31" i="5"/>
  <c r="E32" i="5" s="1"/>
  <c r="E23" i="5"/>
  <c r="D75" i="13" l="1"/>
  <c r="E33" i="5"/>
  <c r="B129" i="6" s="1"/>
  <c r="C39" i="14"/>
  <c r="D74" i="13"/>
  <c r="H61" i="8"/>
  <c r="J57" i="8"/>
  <c r="C7" i="8" s="1"/>
  <c r="C25" i="8" s="1"/>
  <c r="E60" i="6"/>
  <c r="E61" i="6"/>
  <c r="E65" i="6" s="1"/>
  <c r="E102" i="6"/>
  <c r="E97" i="6"/>
  <c r="E100" i="6"/>
  <c r="E101" i="6"/>
  <c r="F96" i="6"/>
  <c r="B38" i="6"/>
  <c r="B12" i="1"/>
  <c r="E49" i="14"/>
  <c r="B6" i="15" s="1"/>
  <c r="C20" i="15" s="1"/>
  <c r="C42" i="14"/>
  <c r="B58" i="16"/>
  <c r="D58" i="16" s="1"/>
  <c r="G58" i="16" s="1"/>
  <c r="B32" i="8"/>
  <c r="B152" i="6"/>
  <c r="E12" i="1"/>
  <c r="H112" i="8"/>
  <c r="J108" i="8"/>
  <c r="C13" i="8" s="1"/>
  <c r="C31" i="8" s="1"/>
  <c r="J109" i="8"/>
  <c r="D13" i="8" s="1"/>
  <c r="D31" i="8" s="1"/>
  <c r="J107" i="8"/>
  <c r="B13" i="8" s="1"/>
  <c r="J110" i="8"/>
  <c r="E13" i="8" s="1"/>
  <c r="E31" i="8" s="1"/>
  <c r="J56" i="8"/>
  <c r="B7" i="8" s="1"/>
  <c r="C41" i="14"/>
  <c r="B59" i="16" s="1"/>
  <c r="C59" i="16"/>
  <c r="B63" i="10"/>
  <c r="D14" i="7"/>
  <c r="C14" i="7"/>
  <c r="G14" i="7"/>
  <c r="F14" i="7"/>
  <c r="E14" i="7"/>
  <c r="D22" i="6"/>
  <c r="D23" i="6"/>
  <c r="B24" i="12"/>
  <c r="B26" i="12" s="1"/>
  <c r="C38" i="16"/>
  <c r="B28" i="5"/>
  <c r="C21" i="7"/>
  <c r="C23" i="7" s="1"/>
  <c r="C25" i="7" s="1"/>
  <c r="B98" i="8"/>
  <c r="B44" i="16"/>
  <c r="D44" i="16" s="1"/>
  <c r="G44" i="16" s="1"/>
  <c r="B34" i="11"/>
  <c r="C33" i="5"/>
  <c r="B53" i="6" s="1"/>
  <c r="D136" i="6"/>
  <c r="D137" i="6" s="1"/>
  <c r="D141" i="6" s="1"/>
  <c r="F9" i="7"/>
  <c r="F26" i="7" s="1"/>
  <c r="G9" i="7"/>
  <c r="G26" i="7" s="1"/>
  <c r="D9" i="7"/>
  <c r="D26" i="7" s="1"/>
  <c r="C9" i="7"/>
  <c r="C26" i="7" s="1"/>
  <c r="E9" i="7"/>
  <c r="E26" i="7" s="1"/>
  <c r="B232" i="10"/>
  <c r="B234" i="10" s="1"/>
  <c r="B76" i="6"/>
  <c r="C12" i="1"/>
  <c r="F14" i="8"/>
  <c r="E15" i="8"/>
  <c r="E32" i="8" s="1"/>
  <c r="E229" i="10"/>
  <c r="E231" i="10" s="1"/>
  <c r="D73" i="13"/>
  <c r="B70" i="13"/>
  <c r="C38" i="7"/>
  <c r="F63" i="6"/>
  <c r="G58" i="6"/>
  <c r="F64" i="6"/>
  <c r="F62" i="6"/>
  <c r="F59" i="6"/>
  <c r="C69" i="13"/>
  <c r="B60" i="16" s="1"/>
  <c r="C60" i="16"/>
  <c r="B144" i="10"/>
  <c r="D91" i="10"/>
  <c r="C107" i="10"/>
  <c r="D74" i="10"/>
  <c r="E25" i="6"/>
  <c r="E21" i="6"/>
  <c r="E24" i="6"/>
  <c r="F20" i="6"/>
  <c r="F13" i="7"/>
  <c r="E13" i="7"/>
  <c r="D13" i="7"/>
  <c r="D40" i="7" s="1"/>
  <c r="C13" i="7"/>
  <c r="C40" i="7" s="1"/>
  <c r="G13" i="7"/>
  <c r="F134" i="6"/>
  <c r="E139" i="6"/>
  <c r="E138" i="6"/>
  <c r="E140" i="6"/>
  <c r="E135" i="6"/>
  <c r="B51" i="16"/>
  <c r="D51" i="16" s="1"/>
  <c r="G51" i="16" s="1"/>
  <c r="C52" i="16"/>
  <c r="C70" i="13"/>
  <c r="D54" i="7"/>
  <c r="D63" i="7" s="1"/>
  <c r="D36" i="7"/>
  <c r="D53" i="7" s="1"/>
  <c r="D21" i="7"/>
  <c r="D23" i="7" s="1"/>
  <c r="D25" i="7" s="1"/>
  <c r="E19" i="7"/>
  <c r="D20" i="7"/>
  <c r="D35" i="7" s="1"/>
  <c r="D52" i="7" s="1"/>
  <c r="D24" i="7"/>
  <c r="D51" i="7" s="1"/>
  <c r="D62" i="7" s="1"/>
  <c r="D22" i="7"/>
  <c r="D15" i="8"/>
  <c r="D32" i="8" s="1"/>
  <c r="D33" i="5"/>
  <c r="B91" i="6" s="1"/>
  <c r="D99" i="6"/>
  <c r="D103" i="6" s="1"/>
  <c r="D98" i="6"/>
  <c r="J39" i="8"/>
  <c r="B6" i="8" s="1"/>
  <c r="J41" i="8"/>
  <c r="D6" i="8" s="1"/>
  <c r="H44" i="8"/>
  <c r="J40" i="8"/>
  <c r="C6" i="8" s="1"/>
  <c r="J42" i="8"/>
  <c r="E6" i="8" s="1"/>
  <c r="G142" i="6" l="1"/>
  <c r="E142" i="6"/>
  <c r="E5" i="1"/>
  <c r="C142" i="6"/>
  <c r="C143" i="6" s="1"/>
  <c r="F142" i="6"/>
  <c r="D142" i="6"/>
  <c r="D143" i="6" s="1"/>
  <c r="D59" i="16"/>
  <c r="G59" i="16" s="1"/>
  <c r="D60" i="16"/>
  <c r="G60" i="16" s="1"/>
  <c r="D55" i="7"/>
  <c r="D44" i="7"/>
  <c r="B31" i="12"/>
  <c r="B29" i="12"/>
  <c r="E63" i="10"/>
  <c r="G63" i="10"/>
  <c r="F63" i="10"/>
  <c r="C63" i="10"/>
  <c r="D63" i="10"/>
  <c r="F24" i="6"/>
  <c r="F25" i="6"/>
  <c r="G20" i="6"/>
  <c r="F21" i="6"/>
  <c r="D38" i="7"/>
  <c r="E11" i="11"/>
  <c r="E13" i="11" s="1"/>
  <c r="F10" i="10" s="1"/>
  <c r="F14" i="10" s="1"/>
  <c r="F23" i="10" s="1"/>
  <c r="B43" i="16"/>
  <c r="D43" i="16" s="1"/>
  <c r="G43" i="16" s="1"/>
  <c r="B11" i="11"/>
  <c r="B13" i="11" s="1"/>
  <c r="C10" i="10" s="1"/>
  <c r="F11" i="11"/>
  <c r="F13" i="11" s="1"/>
  <c r="G10" i="10" s="1"/>
  <c r="G14" i="10" s="1"/>
  <c r="G23" i="10" s="1"/>
  <c r="D11" i="11"/>
  <c r="D13" i="11" s="1"/>
  <c r="E10" i="10" s="1"/>
  <c r="E14" i="10" s="1"/>
  <c r="E23" i="10" s="1"/>
  <c r="C11" i="11"/>
  <c r="C13" i="11" s="1"/>
  <c r="D10" i="10" s="1"/>
  <c r="E6" i="15"/>
  <c r="D66" i="6"/>
  <c r="D67" i="6" s="1"/>
  <c r="F66" i="6"/>
  <c r="C66" i="6"/>
  <c r="C67" i="6" s="1"/>
  <c r="E66" i="6"/>
  <c r="E67" i="6" s="1"/>
  <c r="C5" i="1"/>
  <c r="G66" i="6"/>
  <c r="F104" i="6"/>
  <c r="C104" i="6"/>
  <c r="C105" i="6" s="1"/>
  <c r="G104" i="6"/>
  <c r="E104" i="6"/>
  <c r="D5" i="1"/>
  <c r="D104" i="6"/>
  <c r="D105" i="6" s="1"/>
  <c r="E8" i="8"/>
  <c r="E24" i="8"/>
  <c r="E26" i="8" s="1"/>
  <c r="C24" i="8"/>
  <c r="C26" i="8" s="1"/>
  <c r="C8" i="8"/>
  <c r="F138" i="6"/>
  <c r="G134" i="6"/>
  <c r="F140" i="6"/>
  <c r="F139" i="6"/>
  <c r="F135" i="6"/>
  <c r="J91" i="8"/>
  <c r="C12" i="8" s="1"/>
  <c r="C30" i="8" s="1"/>
  <c r="J93" i="8"/>
  <c r="E12" i="8" s="1"/>
  <c r="E30" i="8" s="1"/>
  <c r="H95" i="8"/>
  <c r="J92" i="8"/>
  <c r="D12" i="8" s="1"/>
  <c r="D30" i="8" s="1"/>
  <c r="J90" i="8"/>
  <c r="B12" i="8" s="1"/>
  <c r="B25" i="8"/>
  <c r="F25" i="8" s="1"/>
  <c r="F7" i="8"/>
  <c r="F101" i="6"/>
  <c r="F97" i="6"/>
  <c r="F100" i="6"/>
  <c r="G96" i="6"/>
  <c r="F102" i="6"/>
  <c r="B52" i="16"/>
  <c r="D52" i="16" s="1"/>
  <c r="G52" i="16" s="1"/>
  <c r="B5" i="15"/>
  <c r="C19" i="15" s="1"/>
  <c r="D77" i="13"/>
  <c r="F32" i="8"/>
  <c r="D28" i="7"/>
  <c r="D59" i="7"/>
  <c r="E91" i="10"/>
  <c r="E74" i="10"/>
  <c r="D107" i="10"/>
  <c r="D8" i="8"/>
  <c r="D24" i="8"/>
  <c r="D26" i="8" s="1"/>
  <c r="D64" i="7"/>
  <c r="C55" i="7"/>
  <c r="C64" i="7" s="1"/>
  <c r="C44" i="7"/>
  <c r="C28" i="7"/>
  <c r="C59" i="7"/>
  <c r="B8" i="8"/>
  <c r="F6" i="8"/>
  <c r="B24" i="8"/>
  <c r="B38" i="16"/>
  <c r="D38" i="16" s="1"/>
  <c r="G38" i="16" s="1"/>
  <c r="B29" i="5"/>
  <c r="B33" i="5" s="1"/>
  <c r="B31" i="8"/>
  <c r="F31" i="8" s="1"/>
  <c r="F13" i="8"/>
  <c r="F15" i="8"/>
  <c r="G32" i="8" s="1"/>
  <c r="E23" i="6"/>
  <c r="E22" i="6"/>
  <c r="F60" i="6"/>
  <c r="F61" i="6" s="1"/>
  <c r="F65" i="6" s="1"/>
  <c r="E40" i="7"/>
  <c r="E36" i="7"/>
  <c r="E53" i="7" s="1"/>
  <c r="E24" i="7"/>
  <c r="E51" i="7" s="1"/>
  <c r="E62" i="7" s="1"/>
  <c r="E21" i="7"/>
  <c r="E22" i="7"/>
  <c r="E54" i="7"/>
  <c r="E63" i="7" s="1"/>
  <c r="E20" i="7"/>
  <c r="E35" i="7" s="1"/>
  <c r="E52" i="7" s="1"/>
  <c r="F19" i="7"/>
  <c r="E136" i="6"/>
  <c r="E137" i="6" s="1"/>
  <c r="E141" i="6" s="1"/>
  <c r="G64" i="6"/>
  <c r="G63" i="6"/>
  <c r="G59" i="6"/>
  <c r="G62" i="6"/>
  <c r="E99" i="6"/>
  <c r="E103" i="6" s="1"/>
  <c r="E98" i="6"/>
  <c r="D14" i="10" l="1"/>
  <c r="D23" i="10" s="1"/>
  <c r="D26" i="10"/>
  <c r="E26" i="10" s="1"/>
  <c r="F26" i="10" s="1"/>
  <c r="G26" i="10" s="1"/>
  <c r="F67" i="6"/>
  <c r="E143" i="6"/>
  <c r="E105" i="6"/>
  <c r="D11" i="8"/>
  <c r="D16" i="8" s="1"/>
  <c r="D9" i="8"/>
  <c r="E5" i="15"/>
  <c r="E23" i="7"/>
  <c r="E25" i="7" s="1"/>
  <c r="E64" i="7"/>
  <c r="F136" i="6"/>
  <c r="F137" i="6" s="1"/>
  <c r="F141" i="6" s="1"/>
  <c r="F143" i="6" s="1"/>
  <c r="E9" i="8"/>
  <c r="E11" i="8"/>
  <c r="E16" i="8" s="1"/>
  <c r="E38" i="7"/>
  <c r="G24" i="8"/>
  <c r="H6" i="8"/>
  <c r="F24" i="8"/>
  <c r="B26" i="8"/>
  <c r="D29" i="8"/>
  <c r="D33" i="8" s="1"/>
  <c r="D27" i="8"/>
  <c r="G25" i="8"/>
  <c r="H25" i="8" s="1"/>
  <c r="H7" i="8"/>
  <c r="F22" i="6"/>
  <c r="F23" i="6"/>
  <c r="G60" i="6"/>
  <c r="G61" i="6"/>
  <c r="G65" i="6" s="1"/>
  <c r="G25" i="6"/>
  <c r="G24" i="6"/>
  <c r="G21" i="6"/>
  <c r="B42" i="16"/>
  <c r="D42" i="16" s="1"/>
  <c r="G42" i="16" s="1"/>
  <c r="C14" i="10"/>
  <c r="C23" i="10" s="1"/>
  <c r="G51" i="10"/>
  <c r="D51" i="10"/>
  <c r="G31" i="8"/>
  <c r="H31" i="8" s="1"/>
  <c r="F51" i="10"/>
  <c r="H13" i="8"/>
  <c r="E51" i="10"/>
  <c r="C30" i="7"/>
  <c r="C29" i="7"/>
  <c r="F91" i="10"/>
  <c r="E107" i="10"/>
  <c r="F74" i="10"/>
  <c r="G100" i="6"/>
  <c r="G97" i="6"/>
  <c r="G101" i="6"/>
  <c r="G102" i="6"/>
  <c r="C9" i="8"/>
  <c r="C11" i="8"/>
  <c r="C16" i="8" s="1"/>
  <c r="E55" i="7"/>
  <c r="E44" i="7"/>
  <c r="D60" i="7"/>
  <c r="D61" i="7"/>
  <c r="D65" i="7" s="1"/>
  <c r="C29" i="8"/>
  <c r="C33" i="8" s="1"/>
  <c r="C27" i="8"/>
  <c r="B11" i="8"/>
  <c r="B9" i="8"/>
  <c r="F8" i="8"/>
  <c r="B30" i="8"/>
  <c r="F30" i="8" s="1"/>
  <c r="F12" i="8"/>
  <c r="G135" i="6"/>
  <c r="G139" i="6"/>
  <c r="G140" i="6"/>
  <c r="G138" i="6"/>
  <c r="C60" i="7"/>
  <c r="C61" i="7"/>
  <c r="C65" i="7" s="1"/>
  <c r="F54" i="7"/>
  <c r="F63" i="7" s="1"/>
  <c r="F24" i="7"/>
  <c r="F51" i="7" s="1"/>
  <c r="F62" i="7" s="1"/>
  <c r="F20" i="7"/>
  <c r="F35" i="7" s="1"/>
  <c r="F52" i="7" s="1"/>
  <c r="F22" i="7"/>
  <c r="G19" i="7"/>
  <c r="F40" i="7"/>
  <c r="F36" i="7"/>
  <c r="F53" i="7" s="1"/>
  <c r="B214" i="10"/>
  <c r="B30" i="12"/>
  <c r="B15" i="6"/>
  <c r="D29" i="7"/>
  <c r="D30" i="7"/>
  <c r="F98" i="6"/>
  <c r="F99" i="6"/>
  <c r="F103" i="6" s="1"/>
  <c r="F105" i="6" s="1"/>
  <c r="E29" i="8"/>
  <c r="E33" i="8" s="1"/>
  <c r="E27" i="8"/>
  <c r="G15" i="7" l="1"/>
  <c r="G67" i="7" s="1"/>
  <c r="E28" i="6"/>
  <c r="C15" i="7"/>
  <c r="C67" i="7" s="1"/>
  <c r="C68" i="7" s="1"/>
  <c r="E15" i="7"/>
  <c r="E67" i="7" s="1"/>
  <c r="G28" i="6"/>
  <c r="F15" i="7"/>
  <c r="F67" i="7" s="1"/>
  <c r="F28" i="6"/>
  <c r="D28" i="6"/>
  <c r="D15" i="7"/>
  <c r="D67" i="7" s="1"/>
  <c r="D68" i="7" s="1"/>
  <c r="B5" i="1"/>
  <c r="C28" i="6"/>
  <c r="G136" i="6"/>
  <c r="G137" i="6" s="1"/>
  <c r="G141" i="6" s="1"/>
  <c r="H30" i="8"/>
  <c r="F64" i="7"/>
  <c r="G46" i="10"/>
  <c r="F46" i="10"/>
  <c r="C46" i="10"/>
  <c r="G30" i="8"/>
  <c r="E46" i="10"/>
  <c r="D46" i="10"/>
  <c r="H12" i="8"/>
  <c r="F107" i="10"/>
  <c r="G91" i="10"/>
  <c r="G107" i="10" s="1"/>
  <c r="G74" i="10"/>
  <c r="E59" i="7"/>
  <c r="E28" i="7"/>
  <c r="C27" i="10"/>
  <c r="C28" i="10" s="1"/>
  <c r="C67" i="10" s="1"/>
  <c r="C50" i="7"/>
  <c r="C31" i="7"/>
  <c r="C56" i="7" s="1"/>
  <c r="C34" i="7" s="1"/>
  <c r="F38" i="7"/>
  <c r="G98" i="6"/>
  <c r="G99" i="6" s="1"/>
  <c r="G103" i="6" s="1"/>
  <c r="G22" i="6"/>
  <c r="G23" i="6" s="1"/>
  <c r="B27" i="8"/>
  <c r="B29" i="8"/>
  <c r="F26" i="8"/>
  <c r="D50" i="7"/>
  <c r="D31" i="7"/>
  <c r="D56" i="7" s="1"/>
  <c r="F21" i="7"/>
  <c r="F23" i="7" s="1"/>
  <c r="F25" i="7" s="1"/>
  <c r="H24" i="8"/>
  <c r="G67" i="6"/>
  <c r="B69" i="6" s="1"/>
  <c r="B70" i="6"/>
  <c r="B71" i="6" s="1"/>
  <c r="F9" i="8"/>
  <c r="H8" i="8"/>
  <c r="G26" i="8"/>
  <c r="F55" i="7"/>
  <c r="F44" i="7"/>
  <c r="G54" i="7"/>
  <c r="G63" i="7" s="1"/>
  <c r="G40" i="7"/>
  <c r="G24" i="7"/>
  <c r="G51" i="7" s="1"/>
  <c r="G62" i="7" s="1"/>
  <c r="G20" i="7"/>
  <c r="G35" i="7" s="1"/>
  <c r="G52" i="7" s="1"/>
  <c r="G36" i="7"/>
  <c r="G53" i="7" s="1"/>
  <c r="G22" i="7"/>
  <c r="B16" i="8"/>
  <c r="F11" i="8"/>
  <c r="C90" i="10" l="1"/>
  <c r="C86" i="10"/>
  <c r="C103" i="10" s="1"/>
  <c r="C49" i="10"/>
  <c r="C51" i="10" s="1"/>
  <c r="C104" i="10" s="1"/>
  <c r="C72" i="10"/>
  <c r="C101" i="10" s="1"/>
  <c r="C114" i="10" s="1"/>
  <c r="C68" i="10"/>
  <c r="C85" i="10" s="1"/>
  <c r="C102" i="10" s="1"/>
  <c r="G143" i="6"/>
  <c r="B145" i="6" s="1"/>
  <c r="B146" i="6"/>
  <c r="B147" i="6" s="1"/>
  <c r="B108" i="6"/>
  <c r="B109" i="6" s="1"/>
  <c r="G105" i="6"/>
  <c r="B107" i="6" s="1"/>
  <c r="D34" i="7"/>
  <c r="C37" i="7"/>
  <c r="C39" i="7" s="1"/>
  <c r="D27" i="10"/>
  <c r="D28" i="10" s="1"/>
  <c r="D67" i="10" s="1"/>
  <c r="H26" i="8"/>
  <c r="F27" i="8"/>
  <c r="G38" i="7"/>
  <c r="E61" i="7"/>
  <c r="E65" i="7" s="1"/>
  <c r="E68" i="7" s="1"/>
  <c r="E60" i="7"/>
  <c r="F59" i="7"/>
  <c r="F28" i="7"/>
  <c r="G64" i="7"/>
  <c r="B13" i="6" s="1"/>
  <c r="G41" i="10"/>
  <c r="G60" i="10" s="1"/>
  <c r="F41" i="10"/>
  <c r="F60" i="10" s="1"/>
  <c r="E41" i="10"/>
  <c r="E60" i="10" s="1"/>
  <c r="G27" i="8"/>
  <c r="D41" i="10"/>
  <c r="D60" i="10" s="1"/>
  <c r="C41" i="10"/>
  <c r="C60" i="10" s="1"/>
  <c r="C70" i="10" s="1"/>
  <c r="E29" i="7"/>
  <c r="E30" i="7"/>
  <c r="F16" i="8"/>
  <c r="H11" i="8"/>
  <c r="F10" i="8"/>
  <c r="G29" i="8"/>
  <c r="G44" i="7"/>
  <c r="G55" i="7"/>
  <c r="B72" i="6"/>
  <c r="C9" i="1"/>
  <c r="C8" i="1"/>
  <c r="F29" i="8"/>
  <c r="B33" i="8"/>
  <c r="F33" i="8" s="1"/>
  <c r="G21" i="7"/>
  <c r="G23" i="7" s="1"/>
  <c r="G25" i="7" s="1"/>
  <c r="C45" i="7"/>
  <c r="C69" i="10" l="1"/>
  <c r="C71" i="10" s="1"/>
  <c r="D90" i="10"/>
  <c r="D86" i="10"/>
  <c r="D103" i="10" s="1"/>
  <c r="D104" i="10"/>
  <c r="D115" i="10" s="1"/>
  <c r="D72" i="10"/>
  <c r="D101" i="10" s="1"/>
  <c r="D114" i="10" s="1"/>
  <c r="D68" i="10"/>
  <c r="D70" i="10"/>
  <c r="C115" i="10"/>
  <c r="C88" i="10"/>
  <c r="C26" i="6"/>
  <c r="C27" i="6" s="1"/>
  <c r="C29" i="6" s="1"/>
  <c r="D26" i="6"/>
  <c r="D27" i="6" s="1"/>
  <c r="D29" i="6" s="1"/>
  <c r="E26" i="6"/>
  <c r="E27" i="6" s="1"/>
  <c r="E29" i="6" s="1"/>
  <c r="F26" i="6"/>
  <c r="F27" i="6" s="1"/>
  <c r="F29" i="6" s="1"/>
  <c r="G26" i="6"/>
  <c r="G27" i="6" s="1"/>
  <c r="D8" i="1"/>
  <c r="D45" i="7"/>
  <c r="C46" i="7"/>
  <c r="C47" i="7" s="1"/>
  <c r="D9" i="1"/>
  <c r="B110" i="6"/>
  <c r="G59" i="7"/>
  <c r="G28" i="7"/>
  <c r="C10" i="1"/>
  <c r="E50" i="7"/>
  <c r="E31" i="7"/>
  <c r="E56" i="7" s="1"/>
  <c r="E34" i="7" s="1"/>
  <c r="D37" i="7"/>
  <c r="D39" i="7" s="1"/>
  <c r="F28" i="8"/>
  <c r="H29" i="8"/>
  <c r="E27" i="10"/>
  <c r="E28" i="10" s="1"/>
  <c r="E67" i="10" s="1"/>
  <c r="E8" i="1"/>
  <c r="C94" i="10"/>
  <c r="C105" i="10"/>
  <c r="C116" i="10" s="1"/>
  <c r="F29" i="7"/>
  <c r="F30" i="7" s="1"/>
  <c r="F60" i="7"/>
  <c r="F61" i="7" s="1"/>
  <c r="F65" i="7" s="1"/>
  <c r="F68" i="7" s="1"/>
  <c r="B148" i="6"/>
  <c r="E9" i="1"/>
  <c r="E55" i="10"/>
  <c r="G55" i="10"/>
  <c r="F55" i="10"/>
  <c r="D55" i="10"/>
  <c r="C55" i="10"/>
  <c r="G28" i="8"/>
  <c r="B73" i="6"/>
  <c r="H16" i="8"/>
  <c r="G33" i="8"/>
  <c r="H33" i="8" s="1"/>
  <c r="D85" i="10" l="1"/>
  <c r="D102" i="10" s="1"/>
  <c r="D69" i="10"/>
  <c r="D71" i="10" s="1"/>
  <c r="F31" i="7"/>
  <c r="F50" i="7"/>
  <c r="E37" i="7"/>
  <c r="E39" i="7" s="1"/>
  <c r="B32" i="6"/>
  <c r="B33" i="6" s="1"/>
  <c r="G29" i="6"/>
  <c r="B31" i="6" s="1"/>
  <c r="D47" i="7"/>
  <c r="G60" i="7"/>
  <c r="G61" i="7" s="1"/>
  <c r="G65" i="7" s="1"/>
  <c r="C80" i="10"/>
  <c r="C73" i="10"/>
  <c r="E104" i="10"/>
  <c r="E115" i="10" s="1"/>
  <c r="E72" i="10"/>
  <c r="E101" i="10" s="1"/>
  <c r="E114" i="10" s="1"/>
  <c r="E68" i="10"/>
  <c r="E85" i="10" s="1"/>
  <c r="E70" i="10"/>
  <c r="E90" i="10"/>
  <c r="E86" i="10"/>
  <c r="E103" i="10" s="1"/>
  <c r="C11" i="1"/>
  <c r="B77" i="6"/>
  <c r="E10" i="1"/>
  <c r="B149" i="6"/>
  <c r="B82" i="6"/>
  <c r="D88" i="10"/>
  <c r="D10" i="1"/>
  <c r="F27" i="10"/>
  <c r="F28" i="10" s="1"/>
  <c r="F67" i="10" s="1"/>
  <c r="G27" i="10"/>
  <c r="G28" i="10" s="1"/>
  <c r="E45" i="7"/>
  <c r="D46" i="7"/>
  <c r="C25" i="12"/>
  <c r="B208" i="10"/>
  <c r="G29" i="7"/>
  <c r="G30" i="7" s="1"/>
  <c r="B111" i="6"/>
  <c r="B120" i="6" s="1"/>
  <c r="D94" i="10"/>
  <c r="D105" i="10"/>
  <c r="E102" i="10" l="1"/>
  <c r="D116" i="10"/>
  <c r="B72" i="7"/>
  <c r="B73" i="7" s="1"/>
  <c r="B74" i="7" s="1"/>
  <c r="G68" i="7"/>
  <c r="B71" i="7" s="1"/>
  <c r="G31" i="7"/>
  <c r="G50" i="7"/>
  <c r="B8" i="1"/>
  <c r="F104" i="10"/>
  <c r="F115" i="10" s="1"/>
  <c r="F72" i="10"/>
  <c r="F101" i="10" s="1"/>
  <c r="F114" i="10" s="1"/>
  <c r="F68" i="10"/>
  <c r="G67" i="10"/>
  <c r="F70" i="10"/>
  <c r="F90" i="10"/>
  <c r="F86" i="10"/>
  <c r="F103" i="10" s="1"/>
  <c r="B34" i="6"/>
  <c r="B35" i="6" s="1"/>
  <c r="B9" i="1"/>
  <c r="C76" i="10"/>
  <c r="C111" i="10"/>
  <c r="E88" i="10"/>
  <c r="E105" i="10"/>
  <c r="E94" i="10"/>
  <c r="B115" i="6"/>
  <c r="D11" i="1"/>
  <c r="D80" i="10"/>
  <c r="D73" i="10"/>
  <c r="B79" i="6"/>
  <c r="C14" i="1"/>
  <c r="F45" i="7"/>
  <c r="E46" i="7"/>
  <c r="E47" i="7" s="1"/>
  <c r="E11" i="1"/>
  <c r="B153" i="6"/>
  <c r="E69" i="10"/>
  <c r="E71" i="10" s="1"/>
  <c r="B158" i="6"/>
  <c r="F56" i="7"/>
  <c r="F34" i="7" s="1"/>
  <c r="E116" i="10" l="1"/>
  <c r="B75" i="7"/>
  <c r="F85" i="10"/>
  <c r="F102" i="10" s="1"/>
  <c r="F69" i="10"/>
  <c r="F71" i="10" s="1"/>
  <c r="B117" i="6"/>
  <c r="D14" i="1"/>
  <c r="C112" i="10"/>
  <c r="C113" i="10" s="1"/>
  <c r="C117" i="10" s="1"/>
  <c r="C77" i="10"/>
  <c r="C78" i="10" s="1"/>
  <c r="G45" i="7"/>
  <c r="G46" i="7" s="1"/>
  <c r="F46" i="7"/>
  <c r="F37" i="7"/>
  <c r="F39" i="7" s="1"/>
  <c r="F47" i="7" s="1"/>
  <c r="B39" i="6"/>
  <c r="B11" i="1"/>
  <c r="F88" i="10"/>
  <c r="F105" i="10"/>
  <c r="F94" i="10"/>
  <c r="E73" i="10"/>
  <c r="E80" i="10"/>
  <c r="B81" i="6"/>
  <c r="C17" i="1" s="1"/>
  <c r="C15" i="1"/>
  <c r="E14" i="1"/>
  <c r="B155" i="6"/>
  <c r="D111" i="10"/>
  <c r="D76" i="10"/>
  <c r="G90" i="10"/>
  <c r="G86" i="10"/>
  <c r="G103" i="10" s="1"/>
  <c r="G72" i="10"/>
  <c r="G101" i="10" s="1"/>
  <c r="G114" i="10" s="1"/>
  <c r="G68" i="10"/>
  <c r="G85" i="10" s="1"/>
  <c r="G104" i="10"/>
  <c r="G115" i="10" s="1"/>
  <c r="G70" i="10"/>
  <c r="G56" i="7"/>
  <c r="G34" i="7" s="1"/>
  <c r="G37" i="7" s="1"/>
  <c r="G39" i="7" s="1"/>
  <c r="G47" i="7" s="1"/>
  <c r="B44" i="6"/>
  <c r="B10" i="1"/>
  <c r="G102" i="10" l="1"/>
  <c r="B79" i="7"/>
  <c r="B83" i="7" s="1"/>
  <c r="B85" i="7" s="1"/>
  <c r="B76" i="7"/>
  <c r="F116" i="10"/>
  <c r="G69" i="10"/>
  <c r="G71" i="10" s="1"/>
  <c r="G105" i="10"/>
  <c r="G94" i="10"/>
  <c r="B157" i="6"/>
  <c r="E17" i="1" s="1"/>
  <c r="E15" i="1"/>
  <c r="G88" i="10"/>
  <c r="B14" i="1"/>
  <c r="B41" i="6"/>
  <c r="F73" i="10"/>
  <c r="F80" i="10"/>
  <c r="E111" i="10"/>
  <c r="E76" i="10"/>
  <c r="C100" i="10"/>
  <c r="C79" i="10"/>
  <c r="C81" i="10"/>
  <c r="D77" i="10"/>
  <c r="D78" i="10" s="1"/>
  <c r="D112" i="10"/>
  <c r="D113" i="10" s="1"/>
  <c r="D117" i="10" s="1"/>
  <c r="B119" i="6"/>
  <c r="D17" i="1" s="1"/>
  <c r="D15" i="1"/>
  <c r="C106" i="10" l="1"/>
  <c r="C95" i="10"/>
  <c r="C96" i="10" s="1"/>
  <c r="G116" i="10"/>
  <c r="B87" i="7"/>
  <c r="E41" i="6"/>
  <c r="B153" i="10"/>
  <c r="G73" i="10"/>
  <c r="G80" i="10"/>
  <c r="B235" i="10"/>
  <c r="B236" i="10" s="1"/>
  <c r="C108" i="10"/>
  <c r="C84" i="10" s="1"/>
  <c r="C87" i="10" s="1"/>
  <c r="C89" i="10" s="1"/>
  <c r="F111" i="10"/>
  <c r="F76" i="10"/>
  <c r="E77" i="10"/>
  <c r="E78" i="10" s="1"/>
  <c r="D81" i="10"/>
  <c r="D100" i="10"/>
  <c r="D79" i="10"/>
  <c r="D106" i="10" s="1"/>
  <c r="B43" i="6"/>
  <c r="B17" i="1" s="1"/>
  <c r="B15" i="1"/>
  <c r="E112" i="10"/>
  <c r="E113" i="10" s="1"/>
  <c r="E117" i="10" s="1"/>
  <c r="E43" i="6" l="1"/>
  <c r="E42" i="6"/>
  <c r="C29" i="16"/>
  <c r="G111" i="10"/>
  <c r="G112" i="10" s="1"/>
  <c r="G113" i="10" s="1"/>
  <c r="G76" i="10"/>
  <c r="G77" i="10" s="1"/>
  <c r="G78" i="10" s="1"/>
  <c r="D95" i="10"/>
  <c r="E81" i="10"/>
  <c r="E100" i="10"/>
  <c r="E79" i="10"/>
  <c r="E106" i="10" s="1"/>
  <c r="F77" i="10"/>
  <c r="F78" i="10" s="1"/>
  <c r="C97" i="10"/>
  <c r="D108" i="10"/>
  <c r="D84" i="10" s="1"/>
  <c r="F112" i="10"/>
  <c r="F113" i="10" s="1"/>
  <c r="F117" i="10" s="1"/>
  <c r="E95" i="10" l="1"/>
  <c r="E96" i="10" s="1"/>
  <c r="D96" i="10"/>
  <c r="G117" i="10"/>
  <c r="B127" i="10"/>
  <c r="B128" i="10" s="1"/>
  <c r="G100" i="10"/>
  <c r="G79" i="10"/>
  <c r="G106" i="10" s="1"/>
  <c r="G81" i="10"/>
  <c r="F81" i="10"/>
  <c r="F100" i="10"/>
  <c r="F79" i="10"/>
  <c r="F106" i="10" s="1"/>
  <c r="D87" i="10"/>
  <c r="D89" i="10" s="1"/>
  <c r="E108" i="10"/>
  <c r="E84" i="10" s="1"/>
  <c r="B29" i="16" l="1"/>
  <c r="D29" i="16" s="1"/>
  <c r="G29" i="16" s="1"/>
  <c r="C214" i="10" a="1"/>
  <c r="D214" i="10" s="1"/>
  <c r="E214" i="10" s="1"/>
  <c r="F214" i="10" s="1"/>
  <c r="G214" i="10" s="1"/>
  <c r="B215" i="10" s="1"/>
  <c r="C215" i="10" s="1" a="1"/>
  <c r="D97" i="10"/>
  <c r="E87" i="10"/>
  <c r="E89" i="10" s="1"/>
  <c r="E97" i="10" s="1"/>
  <c r="F95" i="10"/>
  <c r="F108" i="10"/>
  <c r="F84" i="10" s="1"/>
  <c r="G108" i="10"/>
  <c r="D215" i="10" l="1"/>
  <c r="E215" i="10" s="1"/>
  <c r="F215" i="10" s="1"/>
  <c r="G215" i="10" s="1"/>
  <c r="B216" i="10" s="1"/>
  <c r="C216" i="10" s="1" a="1"/>
  <c r="F87" i="10"/>
  <c r="F89" i="10" s="1"/>
  <c r="G84" i="10"/>
  <c r="G87" i="10" s="1"/>
  <c r="G89" i="10" s="1"/>
  <c r="G95" i="10"/>
  <c r="G96" i="10" s="1"/>
  <c r="F96" i="10"/>
  <c r="D216" i="10" l="1"/>
  <c r="E216" i="10" s="1"/>
  <c r="F216" i="10" s="1"/>
  <c r="G216" i="10" s="1"/>
  <c r="B217" i="10" s="1"/>
  <c r="C217" i="10" s="1" a="1"/>
  <c r="F97" i="10"/>
  <c r="G97" i="10"/>
  <c r="B157" i="10" l="1" a="1"/>
  <c r="B157" i="10" s="1"/>
  <c r="B23" i="16"/>
  <c r="D23" i="16" s="1"/>
  <c r="G23" i="16" s="1"/>
  <c r="D217" i="10"/>
  <c r="E217" i="10" s="1"/>
  <c r="F217" i="10" s="1"/>
  <c r="G217" i="10" s="1"/>
  <c r="B218" i="10" s="1"/>
  <c r="C218" i="10" s="1" a="1"/>
  <c r="D218" i="10" l="1"/>
  <c r="E218" i="10" s="1"/>
  <c r="F218" i="10" s="1"/>
  <c r="G218" i="10" s="1"/>
  <c r="B219" i="10" s="1"/>
  <c r="C219" i="10" s="1" a="1"/>
  <c r="D219" i="10" l="1"/>
  <c r="C39" i="16"/>
  <c r="C24" i="12" l="1"/>
  <c r="C26" i="12" s="1"/>
  <c r="E219" i="10"/>
  <c r="B39" i="16" l="1"/>
  <c r="D39" i="16" s="1"/>
  <c r="G39" i="16" s="1"/>
  <c r="F219" i="10"/>
  <c r="C40" i="16"/>
  <c r="C31" i="12"/>
  <c r="C29" i="12"/>
  <c r="B40" i="16" l="1"/>
  <c r="D40" i="16" s="1"/>
  <c r="G40" i="16" s="1"/>
  <c r="B221" i="10"/>
  <c r="G219" i="10"/>
  <c r="B25" i="16" l="1"/>
  <c r="D25" i="16" s="1"/>
  <c r="G25" i="16" s="1"/>
  <c r="B220" i="10"/>
  <c r="B124" i="10" s="1"/>
  <c r="B126" i="10" s="1"/>
  <c r="C28" i="16" s="1"/>
  <c r="B222" i="10"/>
  <c r="C27" i="16" l="1"/>
  <c r="E119" i="10"/>
  <c r="E120" i="10" s="1"/>
  <c r="B24" i="16"/>
  <c r="G24" i="16" s="1"/>
  <c r="F119" i="10"/>
  <c r="F120" i="10" s="1"/>
  <c r="D119" i="10"/>
  <c r="D120" i="10" s="1"/>
  <c r="B158" i="10"/>
  <c r="C119" i="10"/>
  <c r="A163" i="10"/>
  <c r="C30" i="12"/>
  <c r="B129" i="10"/>
  <c r="G119" i="10"/>
  <c r="B242" i="10"/>
  <c r="B163" i="10" l="1" a="1"/>
  <c r="E163" i="10" a="1"/>
  <c r="F163" i="10" a="1"/>
  <c r="D163" i="10" a="1"/>
  <c r="C163" i="10" a="1"/>
  <c r="A164" i="10"/>
  <c r="C26" i="16"/>
  <c r="C120" i="10"/>
  <c r="B27" i="16"/>
  <c r="D27" i="16" s="1"/>
  <c r="G27" i="16" s="1"/>
  <c r="B130" i="10"/>
  <c r="B131" i="10" s="1"/>
  <c r="B135" i="10" s="1"/>
  <c r="B237" i="10"/>
  <c r="G120" i="10"/>
  <c r="B28" i="16"/>
  <c r="D28" i="16" s="1"/>
  <c r="G28" i="16" s="1"/>
  <c r="B241" i="10"/>
  <c r="B164" i="10" l="1" a="1"/>
  <c r="D164" i="10" a="1"/>
  <c r="C164" i="10" a="1"/>
  <c r="E164" i="10" a="1"/>
  <c r="F164" i="10" a="1"/>
  <c r="B134" i="10"/>
  <c r="A165" i="10"/>
  <c r="B165" i="10" l="1" a="1"/>
  <c r="D165" i="10" a="1"/>
  <c r="C165" i="10" a="1"/>
  <c r="F165" i="10" a="1"/>
  <c r="E165" i="10" a="1"/>
  <c r="B26" i="16"/>
  <c r="D26" i="16" s="1"/>
  <c r="G26" i="16" s="1"/>
  <c r="B238" i="10"/>
  <c r="B239" i="10" s="1"/>
  <c r="B240" i="10" s="1"/>
  <c r="B136" i="10"/>
  <c r="A166" i="10"/>
  <c r="B166" i="10" l="1" a="1"/>
  <c r="E166" i="10" a="1"/>
  <c r="D166" i="10" a="1"/>
  <c r="C166" i="10" a="1"/>
  <c r="F166" i="10" a="1"/>
  <c r="B245" i="10"/>
  <c r="B255" i="10" s="1"/>
  <c r="B256" i="10" s="1"/>
  <c r="B258" i="10" s="1"/>
  <c r="B140" i="10"/>
  <c r="B145" i="10" s="1"/>
  <c r="B148" i="10" s="1"/>
  <c r="B150" i="10" s="1"/>
  <c r="B137" i="10"/>
  <c r="A167" i="10"/>
  <c r="E167" i="10" l="1" a="1"/>
  <c r="B167" i="10" a="1"/>
  <c r="C167" i="10" a="1"/>
  <c r="D167" i="10" a="1"/>
  <c r="F167" i="10" a="1"/>
  <c r="C30" i="16"/>
  <c r="B262" i="10"/>
  <c r="B154" i="10"/>
  <c r="B246" i="10"/>
  <c r="B152" i="10"/>
  <c r="B156" i="10" s="1"/>
  <c r="B168" i="10"/>
  <c r="B30" i="16" l="1"/>
  <c r="D30" i="16" s="1"/>
  <c r="G30" i="16" s="1"/>
  <c r="B263" i="10"/>
  <c r="C32" i="16" l="1"/>
  <c r="B265" i="10"/>
  <c r="B33" i="16" s="1"/>
  <c r="D33" i="16" s="1"/>
  <c r="G33" i="16" s="1"/>
  <c r="B4" i="15" l="1"/>
  <c r="B32" i="16"/>
  <c r="D32" i="16" s="1"/>
  <c r="G32" i="16" s="1"/>
  <c r="B267" i="10"/>
  <c r="B268" i="10" s="1"/>
  <c r="B270" i="10"/>
  <c r="C18" i="15" l="1"/>
  <c r="B14" i="15"/>
  <c r="E4" i="15"/>
  <c r="C57" i="16"/>
  <c r="B9" i="15"/>
  <c r="B57" i="16" l="1"/>
  <c r="D57" i="16" s="1"/>
  <c r="G57" i="16" s="1"/>
  <c r="B63" i="16" s="1"/>
  <c r="B12" i="15"/>
  <c r="B11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syax ⠀</author>
  </authors>
  <commentList>
    <comment ref="B5" authorId="0" shapeId="0" xr:uid="{6B59FC1E-10C3-4D33-AE3B-EC7DAC9AFCD8}">
      <text>
        <r>
          <rPr>
            <b/>
            <sz val="9"/>
            <color indexed="81"/>
            <rFont val="Tahoma"/>
            <family val="2"/>
          </rPr>
          <t>syax ⠀:</t>
        </r>
        <r>
          <rPr>
            <sz val="9"/>
            <color indexed="81"/>
            <rFont val="Tahoma"/>
            <family val="2"/>
          </rPr>
          <t xml:space="preserve">
Source: Investing.com (unofficial), Mexico 10-Year Bond Yield historical data, close 25-sep-2026 = 9.517%, https://www.investing.com/rates-bonds/mexico-10-year-historical-data. Confirmar en Banxico SIE.</t>
        </r>
      </text>
    </comment>
    <comment ref="B6" authorId="0" shapeId="0" xr:uid="{3157F74A-9C7E-45A7-B91B-7A8C2A962655}">
      <text>
        <r>
          <rPr>
            <b/>
            <sz val="9"/>
            <color indexed="81"/>
            <rFont val="Tahoma"/>
            <family val="2"/>
          </rPr>
          <t>syax ⠀:</t>
        </r>
        <r>
          <rPr>
            <sz val="9"/>
            <color indexed="81"/>
            <rFont val="Tahoma"/>
            <family val="2"/>
          </rPr>
          <t xml:space="preserve">
Source: Damodaran Online, Historical Implied Equity Risk Premiums, Jan-2026 (4.23%), https://pages.stern.nyu.edu/~adamodar/New_Home_Page/datafile/histimpl.html</t>
        </r>
      </text>
    </comment>
    <comment ref="B7" authorId="0" shapeId="0" xr:uid="{835180F5-5E65-43D9-BE84-38F4546D9151}">
      <text>
        <r>
          <rPr>
            <b/>
            <sz val="9"/>
            <color indexed="81"/>
            <rFont val="Tahoma"/>
            <family val="2"/>
          </rPr>
          <t>syax ⠀:</t>
        </r>
        <r>
          <rPr>
            <sz val="9"/>
            <color indexed="81"/>
            <rFont val="Tahoma"/>
            <family val="2"/>
          </rPr>
          <t xml:space="preserve">
Source: Damodaran Online, Country Default Spreads and Risk Premiums, 5-Jan-2026, Mexico Baa2 CRP 2.46%, https://pages.stern.nyu.edu/~adamodar/New_Home_Page/datafile/ctryprem.html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800-000001000000}">
      <text>
        <r>
          <rPr>
            <sz val="10"/>
            <rFont val="Arial"/>
            <family val="2"/>
          </rPr>
          <t>syax ⠀:
Source: El Financiero, 26-ago-2026, https://www.elfinanciero.com.mx/economia/2026/08/26/banxico-le-apuesta-a-que-pib-de-mexico-crecera-15-en-2026/</t>
        </r>
      </text>
    </comment>
    <comment ref="D6" authorId="0" shapeId="0" xr:uid="{00000000-0006-0000-0800-000002000000}">
      <text>
        <r>
          <rPr>
            <sz val="10"/>
            <rFont val="Arial"/>
            <family val="2"/>
          </rPr>
          <t>syax ⠀:
Source: Mexconomy (comunicado Banxico 24-sep-2026), https://www.mexconomy.com/2026/09/banxico-mantiene-tasa-en-650-con.html</t>
        </r>
      </text>
    </comment>
    <comment ref="D7" authorId="0" shapeId="0" xr:uid="{00000000-0006-0000-0800-000003000000}">
      <text>
        <r>
          <rPr>
            <sz val="10"/>
            <rFont val="Arial"/>
            <family val="2"/>
          </rPr>
          <t>syax ⠀:
Source: Banco de México, Comunicado de prensa 24-sep-2026, https://www.banxico.org.mx/canales/%7B64E93EB1-E9FF-891E-60C6-9BBC812A50C6%7D.pdf</t>
        </r>
      </text>
    </comment>
    <comment ref="D8" authorId="0" shapeId="0" xr:uid="{00000000-0006-0000-0800-000004000000}">
      <text>
        <r>
          <rPr>
            <sz val="10"/>
            <rFont val="Arial"/>
            <family val="2"/>
          </rPr>
          <t>syax ⠀:
Source: El Mañana (dato Banxico), 30-sep-2026, https://elmanana.com.mx/nacional/2026/9/30/precio-del-dolar-al-cierre-hoy-30-de-septiembre-de-2026-en-mexico-181626.html</t>
        </r>
      </text>
    </comment>
    <comment ref="D9" authorId="0" shapeId="0" xr:uid="{00000000-0006-0000-0800-000005000000}">
      <text>
        <r>
          <rPr>
            <sz val="10"/>
            <rFont val="Arial"/>
            <family val="2"/>
          </rPr>
          <t>syax ⠀:
Source: Alto Nivel (dato Banxico), https://www.altonivel.com.mx/remesas-a-mexico-suben-1-4-en-primer-trimestre-de-2026-tras-un-ano-de-descensos/</t>
        </r>
      </text>
    </comment>
    <comment ref="D10" authorId="0" shapeId="0" xr:uid="{00000000-0006-0000-0800-000006000000}">
      <text>
        <r>
          <rPr>
            <sz val="10"/>
            <rFont val="Arial"/>
            <family val="2"/>
          </rPr>
          <t>syax ⠀:
Source: El Universal, dic-2025, https://www.eluniversal.com.mx/nacion/sheinbaum-anuncia-aumento-al-salario-minimo-para-2026-destaca-acuerdo-de-jornada-laboral-de-40-horas/</t>
        </r>
      </text>
    </comment>
    <comment ref="D11" authorId="0" shapeId="0" xr:uid="{00000000-0006-0000-0800-000007000000}">
      <text>
        <r>
          <rPr>
            <sz val="10"/>
            <rFont val="Arial"/>
            <family val="2"/>
          </rPr>
          <t>syax ⠀:
Source: ABC7 / AP, 3-dic-2025, https://abc7.com/post/mexico-aumentara-13-por-ciento-el-salario-minimo-en-2026-reducira-jornada-laboral-semanal/18255647/</t>
        </r>
      </text>
    </comment>
    <comment ref="D12" authorId="0" shapeId="0" xr:uid="{00000000-0006-0000-0800-000008000000}">
      <text>
        <r>
          <rPr>
            <sz val="10"/>
            <rFont val="Arial"/>
            <family val="2"/>
          </rPr>
          <t>syax ⠀:
Source: Forbes México (minuta Banxico), https://forbes.com.mx/alza-de-impuestos-y-aranceles-a-productos-chinos-impactaran-transitoriamente-a-la-inflacion-dice-banxico/</t>
        </r>
      </text>
    </comment>
    <comment ref="D13" authorId="0" shapeId="0" xr:uid="{00000000-0006-0000-0800-000009000000}">
      <text>
        <r>
          <rPr>
            <sz val="10"/>
            <rFont val="Arial"/>
            <family val="2"/>
          </rPr>
          <t>syax ⠀:
Source: TV Azteca, https://www.tvazteca.com/aztecanoticias/los-26-nuevos-impuestos-para-2026-suben-refrescos-sueros-orales-y-entradas-a-museos</t>
        </r>
      </text>
    </comment>
    <comment ref="D14" authorId="0" shapeId="0" xr:uid="{00000000-0006-0000-0800-00000A000000}">
      <text>
        <r>
          <rPr>
            <sz val="10"/>
            <rFont val="Arial"/>
            <family val="2"/>
          </rPr>
          <t>syax ⠀:
Source: El Diario / Agencia Reforma, 26-ago-2026, https://diario.mx/economia/2026/aug/26/sube-banxico-a-15-pronostico-de-pib-para-2026-1135214.html</t>
        </r>
      </text>
    </comment>
    <comment ref="D15" authorId="0" shapeId="0" xr:uid="{00000000-0006-0000-0800-00000B000000}">
      <text>
        <r>
          <rPr>
            <sz val="10"/>
            <rFont val="Arial"/>
            <family val="2"/>
          </rPr>
          <t>syax ⠀:
Source: La Jornada, 2-ago-2026, https://www.jornada.com.mx/noticia/2026/08/02/economia/el-tmec-ventaja-de-mexico-frente-a-la-guerra-de-aranceles</t>
        </r>
      </text>
    </comment>
    <comment ref="D16" authorId="0" shapeId="0" xr:uid="{00000000-0006-0000-0800-00000C000000}">
      <text>
        <r>
          <rPr>
            <sz val="10"/>
            <rFont val="Arial"/>
            <family val="2"/>
          </rPr>
          <t>syax ⠀:
Source: Infobae, 30-sep-2026, https://www.infobae.com/mexico/2026/09/30/dolar-hoy-en-mexico-cotizacion-de-apertura-del-30-de-septiembre/</t>
        </r>
      </text>
    </comment>
    <comment ref="D17" authorId="0" shapeId="0" xr:uid="{00000000-0006-0000-0800-00000D000000}">
      <text>
        <r>
          <rPr>
            <sz val="10"/>
            <rFont val="Arial"/>
            <family val="2"/>
          </rPr>
          <t>syax ⠀:
Source: ANTAD, Ventas de Agosto 2026, https://antad.net/cadenas-asociadas-a-la-antad-ventas-de-agosto-2026/ ; dato de autoservicio: Retailers, https://retailers.mx/antad-crece-1-7-a-tiendas-iguales-en-agosto/</t>
        </r>
      </text>
    </comment>
    <comment ref="D18" authorId="0" shapeId="0" xr:uid="{00000000-0006-0000-0800-00000E000000}">
      <text>
        <r>
          <rPr>
            <sz val="10"/>
            <rFont val="Arial"/>
            <family val="2"/>
          </rPr>
          <t>syax ⠀:
Source: La Razón, 26-jun-2026, https://www.razon.com.mx/negocios/2026/06/26/tiendas-3b-avanza-en-el-mercado-arrebata-participacion-a-bodega-aurrera/</t>
        </r>
      </text>
    </comment>
    <comment ref="D19" authorId="0" shapeId="0" xr:uid="{00000000-0006-0000-0800-00000F000000}">
      <text>
        <r>
          <rPr>
            <sz val="10"/>
            <rFont val="Arial"/>
            <family val="2"/>
          </rPr>
          <t>syax ⠀:
Source: ANTAD informa, https://antad.net/category/antad-informa/</t>
        </r>
      </text>
    </comment>
    <comment ref="D20" authorId="0" shapeId="0" xr:uid="{00000000-0006-0000-0800-000010000000}">
      <text>
        <r>
          <rPr>
            <sz val="10"/>
            <rFont val="Arial"/>
            <family val="2"/>
          </rPr>
          <t>syax ⠀:
Source: El Financiero, 14-ago-2026, https://www.elfinanciero.com.mx/empresas/2026/08/14/rentas-de-locales-comerciales-se-disparan-11-por-ciento-en-el-primer-semestre/</t>
        </r>
      </text>
    </comment>
    <comment ref="D21" authorId="0" shapeId="0" xr:uid="{00000000-0006-0000-0800-000011000000}">
      <text>
        <r>
          <rPr>
            <sz val="10"/>
            <rFont val="Arial"/>
            <family val="2"/>
          </rPr>
          <t>syax ⠀:
Source: El Financiero, 17-sep-2026, https://www.elfinanciero.com.mx/opinion/claudia-olguin/2026/09/17/centros-comerciales-mantienen-selectividad-en-la-expansion/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0" authorId="0" shapeId="0" xr:uid="{00000000-0006-0000-0900-000002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Encuesta Citi de Expectativas, 22-sep-2026 (inflación cierre 2026 3.93%, 2027 3.83%, prom. 2028–32 3.75%), https://www.imagenradio.com.mx/finanzas/banxico-mantendra-congelada-tasa-6-50-que-resta-2026-encuesta-citi ; https://www.elfinanciero.com.mx/economia/2026/09/04/racha-positiva-para-el-peso-mexicano-en-2026-analistas-de-encuesta-citi/</t>
        </r>
      </text>
    </comment>
    <comment ref="C11" authorId="0" shapeId="0" xr:uid="{00000000-0006-0000-0900-000003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Encuesta Citi, 22-sep-2026 (PIB 2026 1.4%, 2027 1.8%), https://revistafortuna.com.mx/2026/09/22/eleva-sondeo-de-citi-mexico-estimado-de-pib-de-2026-de-1-3-a-1-4-vendria-acompanado-de-una-menor-inflacion/ . 2028–2030 = supuesto del analista.</t>
        </r>
      </text>
    </comment>
    <comment ref="C13" authorId="0" shapeId="0" xr:uid="{00000000-0006-0000-0900-000004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del analista basado en ANTAD ago-2026 (autoservicio −0.7% tiendas iguales), https://retailers.mx/antad-crece-1-7-a-tiendas-iguales-en-agosto/ y Walmex 2T26 (ANTAD autoservicio ~0%), https://files.walmex.mx/upload/files/2026/ES/Trimestral/2T26/WALMEX%202T26%20BMV.pdf</t>
        </r>
      </text>
    </comment>
    <comment ref="C15" authorId="0" shapeId="0" xr:uid="{00000000-0006-0000-0900-000005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del analista basado en VMT 2T26: Soriana −4.5% (https://expansion.mx/empresas/2026/07/31/soriana-utilidad-crece-ventas-caen-segundo-trimestre-2026), Walmex +1.8%, La Comer +2.9%, Chedraui +1.3% (https://elceo.com/negocios/el-consumo-se-enfria-y-pega-a-los-supermercados-walmart-chedraui-y-la-comer-desaceleran-ventas/)</t>
        </r>
      </text>
    </comment>
    <comment ref="C16" authorId="0" shapeId="0" xr:uid="{00000000-0006-0000-0900-000006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812 vs 820 tiendas y plan de 20 cierres / 60 reducciones, https://www.informador.mx/economia/soriana-transformara-60-tiendas-en-mexico-y-cerrara-otras-20-durante-2026-asi-cambiara-su-negocio-20260826-0109.html</t>
        </r>
      </text>
    </comment>
    <comment ref="C32" authorId="0" shapeId="0" xr:uid="{00000000-0006-0000-0900-000007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gasto operativo −1.2% 2T26 y margen EBITDA 1S26 6.9% (+20 pb), https://expansion.mx/empresas/2026/07/31/soriana-utilidad-crece-ventas-caen-segundo-trimestre-2026</t>
        </r>
      </text>
    </comment>
    <comment ref="C33" authorId="0" shapeId="0" xr:uid="{00000000-0006-0000-0900-000008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salario mínimo +13% (2026) y jornada de 40 h, https://www.eluniversal.com.mx/nacion/sheinbaum-anuncia-aumento-al-salario-minimo-para-2026-destaca-acuerdo-de-jornada-laboral-de-40-horas/</t>
        </r>
      </text>
    </comment>
    <comment ref="C34" authorId="0" shapeId="0" xr:uid="{00000000-0006-0000-0900-000009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canasta PACIC ago-2026 (Soriana $820.85 vs Bodega Aurrera $781.23), https://rotativo.com.mx/precio-canasta-pacic-supermercados-mexico-2026</t>
        </r>
      </text>
    </comment>
    <comment ref="C35" authorId="0" shapeId="0" xr:uid="{00000000-0006-0000-0900-00000A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TC 18.08 al 30-sep-2026, https://elmanana.com.mx/nacional/2026/9/30/precio-del-dolar-al-cierre-hoy-30-de-septiembre-de-2026-en-mexico-181626.html</t>
        </r>
      </text>
    </comment>
    <comment ref="C37" authorId="0" shapeId="0" xr:uid="{00000000-0006-0000-0900-00000B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rentas comerciales +11.09% 1S26, https://www.elfinanciero.com.mx/empresas/2026/08/14/rentas-de-locales-comerciales-se-disparan-11-por-ciento-en-el-primer-semestre/</t>
        </r>
      </text>
    </comment>
    <comment ref="C47" authorId="0" shapeId="0" xr:uid="{00000000-0006-0000-0900-00000C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guía de Soriana (~4,000 mdp en 2026), https://eltiempomx.com/noticia/2026/soriana-reestructura-operaciones-y-preve-cerrar-20-tiendas-este-ano.html</t>
        </r>
      </text>
    </comment>
    <comment ref="D52" authorId="0" shapeId="0" xr:uid="{00000000-0006-0000-0900-000010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Paquete Económico 2027 (límite de deducciones PM &gt;50 mdp), https://www.pwc.com/mx/es/archivo/2026/paquete-economico-mx_2027.pdf</t>
        </r>
      </text>
    </comment>
    <comment ref="C56" authorId="0" shapeId="0" xr:uid="{00000000-0006-0000-0900-00000D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plan de 20 cierres y 60 reducciones de piso, https://www.informador.mx/economia/soriana-transformara-60-tiendas-en-mexico-y-cerrara-otras-20-durante-2026-asi-cambiara-su-negocio-20260826-0109.html</t>
        </r>
      </text>
    </comment>
    <comment ref="C59" authorId="0" shapeId="0" xr:uid="{00000000-0006-0000-0900-00000E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Soriana 2T26 — margen bruto 24.4% vs 23.9%, costo de ventas −5.6%, https://www.merca20.com/soriana-cierra-tiendas-y-vende-menos-pero-su-utilidad-crece-46-8-analizamos-su-ultimo-reporte/</t>
        </r>
      </text>
    </comment>
    <comment ref="C61" authorId="0" shapeId="0" xr:uid="{00000000-0006-0000-0900-00000F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Encuesta Citi (tasa Banxico 6.50% a fin de 2026 y 2027), https://www.imagenradio.com.mx/finanzas/banxico-mantendra-congelada-tasa-6-50-que-resta-2026-encuesta-citi ; gastos financieros 1S26 de la hoja Datos.</t>
        </r>
      </text>
    </comment>
    <comment ref="B125" authorId="0" shapeId="0" xr:uid="{00000000-0006-0000-0900-000001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del analista. Base: Moody's Baa3 (https://www.elfinanciero.com.mx/economia/2026/05/22/pemex-se-salva-de-ser-reprobado-por-moodys-su-calificacion-queda-en-b1-con-perspectiva-estable/) y alza de la Fed sep-2026 (https://www.bankinter.com/blog/economia/fed-tipos-interes-referencia).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syax ⠀</author>
  </authors>
  <commentList>
    <comment ref="B13" authorId="0" shapeId="0" xr:uid="{CDD67AF9-1BA6-4352-8EED-2C4974AD317B}">
      <text>
        <r>
          <rPr>
            <b/>
            <sz val="9"/>
            <color indexed="81"/>
            <rFont val="Tahoma"/>
            <family val="2"/>
          </rPr>
          <t>syax ⠀:</t>
        </r>
        <r>
          <rPr>
            <sz val="9"/>
            <color indexed="81"/>
            <rFont val="Tahoma"/>
            <family val="2"/>
          </rPr>
          <t xml:space="preserve">
Source: Damodaran Online, Betas by Sector (Global), Jan-2026, Retail (Grocery and Food), unlevered beta corrected for cash 0.69, https://pages.stern.nyu.edu/~adamodar/New_Home_Page/datafile/BetasGlobal.html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syax ⠀</author>
  </authors>
  <commentList>
    <comment ref="C62" authorId="0" shapeId="0" xr:uid="{168E3E3D-6E66-4D64-8D32-E4A027E69792}">
      <text>
        <r>
          <rPr>
            <b/>
            <sz val="9"/>
            <color indexed="81"/>
            <rFont val="Tahoma"/>
            <family val="2"/>
          </rPr>
          <t>syax ⠀:</t>
        </r>
        <r>
          <rPr>
            <sz val="9"/>
            <color indexed="81"/>
            <rFont val="Tahoma"/>
            <family val="2"/>
          </rPr>
          <t xml:space="preserve">
Source: Seale &amp; Associates, Valuation Multiples Update – Supermercados T2 2026 (datos Capital IQ), corte 30-jun-2026, media EV/EBITDA 8.30x, 9 empresas, p. 5. Proporcionado en el chat por el usuario; no verificado por Claude.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<sst xmlns="http://schemas.openxmlformats.org/spreadsheetml/2006/main" count="2318" uniqueCount="1291">
  <si>
    <t>1. VALUACIÓN (DCF, base FY2025)</t>
  </si>
  <si>
    <t>Soriana</t>
  </si>
  <si>
    <t>Walmex</t>
  </si>
  <si>
    <t>Chedraui</t>
  </si>
  <si>
    <t>La Comer</t>
  </si>
  <si>
    <t>WACC</t>
  </si>
  <si>
    <t>Crecimiento perpetuo (g)</t>
  </si>
  <si>
    <t>FCF 2025A (flujo libre de efectivo)</t>
  </si>
  <si>
    <t>VPN de los FCF 2026E–2030E</t>
  </si>
  <si>
    <t>Valor terminal (TV) al 2030</t>
  </si>
  <si>
    <t>Valor presente del TV</t>
  </si>
  <si>
    <t>Enterprise Value (EV)</t>
  </si>
  <si>
    <t>Deuda total (bancaria/bursátil + arrendamientos)</t>
  </si>
  <si>
    <t>Efectivo y equivalentes</t>
  </si>
  <si>
    <t>Equity Value (valor para los accionistas)</t>
  </si>
  <si>
    <t>Valor intrínseco por acción (MXN)</t>
  </si>
  <si>
    <t>Precio actual en bolsa (MXN)</t>
  </si>
  <si>
    <t>Potencial de apreciación / (baja)</t>
  </si>
  <si>
    <t>Precio objetivo consenso de analistas (MXN)</t>
  </si>
  <si>
    <t>Recomendación consenso de analistas</t>
  </si>
  <si>
    <t>Venta (0 C / 1 M / 6 V)</t>
  </si>
  <si>
    <t>Neutral (5 C / 10 M / 3 V)</t>
  </si>
  <si>
    <t>Neutral (3 C / 12 M / 0 V)</t>
  </si>
  <si>
    <t>Compra (5 C / 4 M / 0 V)</t>
  </si>
  <si>
    <t>2. RAZONES FINANCIERAS – PROMEDIO DE LOS ÚLTIMOS 5 TRIMESTRES</t>
  </si>
  <si>
    <t>Circulante</t>
  </si>
  <si>
    <t>Prueba ácida</t>
  </si>
  <si>
    <t>Deuda / Activo total</t>
  </si>
  <si>
    <t>Capitalización a largo plazo</t>
  </si>
  <si>
    <t>Cobertura de intereses</t>
  </si>
  <si>
    <t>Rotación del inventario (trimestral)</t>
  </si>
  <si>
    <t>Rotación del inventario en días</t>
  </si>
  <si>
    <t>Rotación del activo total (trimestral)</t>
  </si>
  <si>
    <t>Margen bruto</t>
  </si>
  <si>
    <t>Margen neto</t>
  </si>
  <si>
    <t>ROA (trimestral)</t>
  </si>
  <si>
    <t>ROE (trimestral)</t>
  </si>
  <si>
    <t>ROI (trimestral)</t>
  </si>
  <si>
    <t>3. RAZONES FINANCIERAS ANUALES FY2025 (incluye Chedraui)</t>
  </si>
  <si>
    <t>Rotación del inventario (anual)</t>
  </si>
  <si>
    <t>Rotación del inventario en días (365)</t>
  </si>
  <si>
    <t>Rotación del activo total (anual)</t>
  </si>
  <si>
    <t>ROA (anual)</t>
  </si>
  <si>
    <t>ROE (anual)</t>
  </si>
  <si>
    <t>ROI (anual)</t>
  </si>
  <si>
    <t>1. INFORMACIÓN GENERAL DE LA EMPRESA</t>
  </si>
  <si>
    <t>Dato</t>
  </si>
  <si>
    <t>Clave de cotización</t>
  </si>
  <si>
    <t>SORIANA B (BMV, cotiza desde 1987)</t>
  </si>
  <si>
    <t>Fundación</t>
  </si>
  <si>
    <t>1968, Torreón, Coahuila</t>
  </si>
  <si>
    <t>Sede corporativa</t>
  </si>
  <si>
    <t>Monterrey, Nuevo León</t>
  </si>
  <si>
    <t>Giro</t>
  </si>
  <si>
    <t>Tiendas de autoservicio y clubes de membresía (multiformato)</t>
  </si>
  <si>
    <t>Tiendas en operación (2T26)</t>
  </si>
  <si>
    <t>Colaboradores (jun-2026)</t>
  </si>
  <si>
    <t>Acciones en circulación (millones)</t>
  </si>
  <si>
    <t>Capitalización de mercado a precio actual (mdp)</t>
  </si>
  <si>
    <t>2. NOTICIAS Y ANÁLISIS RECIENTES</t>
  </si>
  <si>
    <t>Fecha</t>
  </si>
  <si>
    <t>Resultados 2T26: menos ventas, más utilidad</t>
  </si>
  <si>
    <t>31-jul-2026</t>
  </si>
  <si>
    <t>Cierre de 20 tiendas en 2026</t>
  </si>
  <si>
    <t>26-ago-2026</t>
  </si>
  <si>
    <t>Reducción de plantilla y automatización</t>
  </si>
  <si>
    <t>2-sep-2026</t>
  </si>
  <si>
    <t>Plan de inversión 2S26</t>
  </si>
  <si>
    <t>sep-2026</t>
  </si>
  <si>
    <t>Sector: Walmart, Soriana y Chedraui sufren por ingresos e inflación</t>
  </si>
  <si>
    <t>2026</t>
  </si>
  <si>
    <t>3. CALIFICACIÓN Y CONSENSO DE ANALISTAS</t>
  </si>
  <si>
    <t>Calificación crediticia (HR Ratings)</t>
  </si>
  <si>
    <t>HR+1 (corto plazo)</t>
  </si>
  <si>
    <t>Consenso de analistas</t>
  </si>
  <si>
    <t>Venta</t>
  </si>
  <si>
    <t>Precio objetivo promedio 12 meses (MXN)</t>
  </si>
  <si>
    <t>4. ANÁLISIS FUNDAMENTAL – RESUMEN FINANCIERO FY2025 (mdp)</t>
  </si>
  <si>
    <t>Valor</t>
  </si>
  <si>
    <t>Ingresos totales</t>
  </si>
  <si>
    <t>Utilidad bruta</t>
  </si>
  <si>
    <t>Utilidad de operación (EBIT)</t>
  </si>
  <si>
    <t>Utilidad neta consolidada</t>
  </si>
  <si>
    <t>Margen de operación</t>
  </si>
  <si>
    <t>5. CUENTA DE RESULTADOS – ÚLTIMO TRIMESTRE (2T26 vs 2T25, mdp)</t>
  </si>
  <si>
    <t>2T26</t>
  </si>
  <si>
    <t>Costo de ventas</t>
  </si>
  <si>
    <t>Utilidad de operación</t>
  </si>
  <si>
    <t>Gastos financieros</t>
  </si>
  <si>
    <t>Utilidad neta</t>
  </si>
  <si>
    <t>6. BALANCE (cierre 2025 vs 1T26, mdp)</t>
  </si>
  <si>
    <t>Dic-2025</t>
  </si>
  <si>
    <t>Activo total</t>
  </si>
  <si>
    <t>Pasivo total</t>
  </si>
  <si>
    <t>Capital contable</t>
  </si>
  <si>
    <t>Deuda bancaria y bursátil</t>
  </si>
  <si>
    <t>Efectivo</t>
  </si>
  <si>
    <t>7. FLUJOS DE EFECTIVO FY2025 (mdp)</t>
  </si>
  <si>
    <t>Flujo neto de operación (CFO)</t>
  </si>
  <si>
    <t>Capex</t>
  </si>
  <si>
    <t>Flujo libre (CFO − Capex)</t>
  </si>
  <si>
    <t>8. ANÁLISIS FUNDAMENTAL – RATIOS DE MERCADO</t>
  </si>
  <si>
    <t>P/U (precio / utilidad por acción)</t>
  </si>
  <si>
    <t>Valor en libros por acción (MXN)</t>
  </si>
  <si>
    <t>P/VL (precio / valor en libros)</t>
  </si>
  <si>
    <t>ROE anual FY2025</t>
  </si>
  <si>
    <t>9. DIVIDENDOS</t>
  </si>
  <si>
    <t>Último dividendo por acción (MXN)</t>
  </si>
  <si>
    <t>Rendimiento por dividendo a precio actual</t>
  </si>
  <si>
    <t>10. REPORTE – PUNTOS CLAVE 2T26</t>
  </si>
  <si>
    <t>Ventas mismas tiendas 2T26</t>
  </si>
  <si>
    <t>−4.5%</t>
  </si>
  <si>
    <t>Margen bruto 2T26</t>
  </si>
  <si>
    <t>Costo financiero neto 2T26 (mdp)</t>
  </si>
  <si>
    <t>Deuda neta bancaria y bursátil al 2T26 (mdp)</t>
  </si>
  <si>
    <t>Capex acumulado 1S26 (mdp)</t>
  </si>
  <si>
    <t>11. PREVISIÓN</t>
  </si>
  <si>
    <t>Próximo reporte trimestral (3T26)</t>
  </si>
  <si>
    <t>23-oct-2026</t>
  </si>
  <si>
    <t>Precio objetivo consenso vs precio actual</t>
  </si>
  <si>
    <t>Proyección de ingresos 2027 HR Ratings (mdp)</t>
  </si>
  <si>
    <t>12. ANÁLISIS TÉCNICO</t>
  </si>
  <si>
    <t>Precio de cierre (MXN)</t>
  </si>
  <si>
    <t>Rango de 52 semanas (MXN)</t>
  </si>
  <si>
    <t>23.90 – 42.70</t>
  </si>
  <si>
    <t>Variación 1 año</t>
  </si>
  <si>
    <t>Señal técnica resumen (diaria, semanal y mensual)</t>
  </si>
  <si>
    <t>Compra fuerte</t>
  </si>
  <si>
    <t>RSI (14)</t>
  </si>
  <si>
    <t>MACD (12,26)</t>
  </si>
  <si>
    <t>Media móvil 50 días (MXN)</t>
  </si>
  <si>
    <t>Media móvil 200 días (MXN)</t>
  </si>
  <si>
    <t>13. COMPARATIVO BURSÁTIL DEL SECTOR</t>
  </si>
  <si>
    <t>Precio actual (MXN)</t>
  </si>
  <si>
    <t>P/U</t>
  </si>
  <si>
    <t>Rendimiento por dividendo</t>
  </si>
  <si>
    <t>Beta de regresión (referencia)</t>
  </si>
  <si>
    <t>Señal técnica resumen (diaria)</t>
  </si>
  <si>
    <t>Neutral</t>
  </si>
  <si>
    <t>Compra</t>
  </si>
  <si>
    <t>Precio objetivo consenso (MXN)</t>
  </si>
  <si>
    <t>Calificación crediticia</t>
  </si>
  <si>
    <t>HR+1 (HR Ratings, CP)</t>
  </si>
  <si>
    <t>n.d.</t>
  </si>
  <si>
    <t>AAA(mex) Fitch, perspectiva estable</t>
  </si>
  <si>
    <t>ORGANIZACIÓN SORIANA (SORIANA B)</t>
  </si>
  <si>
    <t>2T25</t>
  </si>
  <si>
    <t>3T25</t>
  </si>
  <si>
    <t>4T25</t>
  </si>
  <si>
    <t>1T26</t>
  </si>
  <si>
    <t>FY2025</t>
  </si>
  <si>
    <t>Gastos financieros (intereses)</t>
  </si>
  <si>
    <t>Utilidad antes de impuestos</t>
  </si>
  <si>
    <t>Impuestos a la utilidad</t>
  </si>
  <si>
    <t>Depreciación y amortización</t>
  </si>
  <si>
    <t>Capex (inmuebles, equipo e intangibles)</t>
  </si>
  <si>
    <t>Inventarios</t>
  </si>
  <si>
    <t>Activo circulante</t>
  </si>
  <si>
    <t>Pasivo circulante</t>
  </si>
  <si>
    <t>Pasivo a largo plazo</t>
  </si>
  <si>
    <t>Deuda bursátil y bancaria CP</t>
  </si>
  <si>
    <t>Deuda bursátil y bancaria LP</t>
  </si>
  <si>
    <t>Pasivo por arrendamiento CP</t>
  </si>
  <si>
    <t>Pasivo por arrendamiento LP</t>
  </si>
  <si>
    <t>Deuda total (financiera + arrendamientos)</t>
  </si>
  <si>
    <t>WALMART DE MÉXICO (WALMEX)</t>
  </si>
  <si>
    <t>GRUPO COMERCIAL CHEDRAUI (CHDRAUI B)</t>
  </si>
  <si>
    <t>Aux. FY2025</t>
  </si>
  <si>
    <t>Inversión neta (−flujo de inversión FY2025), proxy de capex</t>
  </si>
  <si>
    <t>LA COMER (LACOMER UBC)</t>
  </si>
  <si>
    <t>9M2025</t>
  </si>
  <si>
    <t>DETALLE DE CAPEX (mdp)</t>
  </si>
  <si>
    <t>Soriana – Inmuebles y equipo</t>
  </si>
  <si>
    <t>Soriana – Intangibles</t>
  </si>
  <si>
    <t>Soriana – Otros / ajustes</t>
  </si>
  <si>
    <t>Walmex – Inmuebles y equipo</t>
  </si>
  <si>
    <t>Walmex – Intangibles</t>
  </si>
  <si>
    <t>Walmex – Otros / ajustes</t>
  </si>
  <si>
    <t>Chedraui – Inmuebles y equipo</t>
  </si>
  <si>
    <t>Chedraui – Intangibles</t>
  </si>
  <si>
    <t>Chedraui – Otros / ajustes</t>
  </si>
  <si>
    <t>La Comer – Inmuebles y equipo</t>
  </si>
  <si>
    <t>La Comer – Intangibles</t>
  </si>
  <si>
    <t>La Comer – Otros / ajustes</t>
  </si>
  <si>
    <t>Días del trimestre</t>
  </si>
  <si>
    <t>ORGANIZACIÓN SORIANA</t>
  </si>
  <si>
    <t>Promedio 5T</t>
  </si>
  <si>
    <t>Rotación del inventario</t>
  </si>
  <si>
    <t>Rotación del activo total</t>
  </si>
  <si>
    <t>Rentabilidad sobre activos (ROA)</t>
  </si>
  <si>
    <t>Rentabilidad sobre capital (ROE)</t>
  </si>
  <si>
    <t>ROI (rendimiento sobre la inversión)</t>
  </si>
  <si>
    <t>WALMART DE MÉXICO</t>
  </si>
  <si>
    <t>GRUPO COMERCIAL CHEDRAUI</t>
  </si>
  <si>
    <t>LA COMER</t>
  </si>
  <si>
    <t>Concepto</t>
  </si>
  <si>
    <t>PARÁMETROS DE MERCADO</t>
  </si>
  <si>
    <t>Tasa libre de riesgo (Bono M 10 años)</t>
  </si>
  <si>
    <t>Prima de riesgo de mercado madura</t>
  </si>
  <si>
    <t>Prima de riesgo país México (referencia)</t>
  </si>
  <si>
    <t>Prima de riesgo de mercado aplicada (PRM)</t>
  </si>
  <si>
    <t>Beta desapalancada del sector (Damodaran global ene-2026, Retail Grocery and Food; ver hoja 'Beta y Kd') — no es la beta histórica de Soriana</t>
  </si>
  <si>
    <t>Beta histórica del estudio (regresión): ver hoja Inflación, sección 6.</t>
  </si>
  <si>
    <t>Tasa de impuestos (ISR)</t>
  </si>
  <si>
    <t>DATOS DE MERCADO</t>
  </si>
  <si>
    <t>Precio actual por acción (MXN)</t>
  </si>
  <si>
    <t>Fecha del precio</t>
  </si>
  <si>
    <t>21-ago-2026</t>
  </si>
  <si>
    <t>Capitalización de mercado reportada</t>
  </si>
  <si>
    <t>Precio de cierre asociado a esa capitalización (MXN)</t>
  </si>
  <si>
    <t>Valor de mercado del capital (E)</t>
  </si>
  <si>
    <t>ESTRUCTURA DE CAPITAL (cierre 2025)</t>
  </si>
  <si>
    <t>Deuda total (D) = bancaria/bursátil + arrendamientos</t>
  </si>
  <si>
    <t>D / E</t>
  </si>
  <si>
    <t>Peso de la deuda  D/(D+E)</t>
  </si>
  <si>
    <t>Peso del capital  E/(D+E)</t>
  </si>
  <si>
    <t>COSTO DE CAPITAL</t>
  </si>
  <si>
    <t>Beta apalancada  βL = βU × [1 + (1−t)·D/E]</t>
  </si>
  <si>
    <t>Costo del capital propio  Ke = Rf + βL × PRM</t>
  </si>
  <si>
    <t>Gastos financieros FY2025</t>
  </si>
  <si>
    <t>Costo de la deuda antes de impuestos  Kd</t>
  </si>
  <si>
    <t>Costo de la deuda después de impuestos  Kd(1−t)</t>
  </si>
  <si>
    <t>WACC = E/(D+E)·Ke + D/(D+E)·Kd(1−t)</t>
  </si>
  <si>
    <t>Crecimiento perpetuo (g) para valor terminal</t>
  </si>
  <si>
    <t>Crecimiento anual de ventas 2026E–2030E (supuesto base)</t>
  </si>
  <si>
    <t>2025A</t>
  </si>
  <si>
    <t>2026E</t>
  </si>
  <si>
    <t>2027E</t>
  </si>
  <si>
    <t>2028E</t>
  </si>
  <si>
    <t>2029E</t>
  </si>
  <si>
    <t>2030E</t>
  </si>
  <si>
    <t>Crecimiento anual de ventas (explícito)</t>
  </si>
  <si>
    <t>Margen EBIT</t>
  </si>
  <si>
    <t>Depreciación y amortización (% ventas)</t>
  </si>
  <si>
    <t>Capex (% ventas)</t>
  </si>
  <si>
    <t>Inversión en capital de trabajo (% del incremento en ventas)</t>
  </si>
  <si>
    <t>Tasa de impuestos</t>
  </si>
  <si>
    <t>PROYECCIÓN DEL FLUJO LIBRE DE EFECTIVO (FCF)</t>
  </si>
  <si>
    <t>Periodo (n)</t>
  </si>
  <si>
    <t>Ventas</t>
  </si>
  <si>
    <t>(−) Impuestos sobre EBIT</t>
  </si>
  <si>
    <t>NOPAT (EBIT después de impuestos)</t>
  </si>
  <si>
    <t>(+) Depreciación y amortización</t>
  </si>
  <si>
    <t>(−) Capex</t>
  </si>
  <si>
    <t>(−) Inversión en capital de trabajo</t>
  </si>
  <si>
    <t>FCF – Flujo libre de efectivo</t>
  </si>
  <si>
    <t>Factor de descuento 1/(1+WACC)^n</t>
  </si>
  <si>
    <t>Valor presente del FCF</t>
  </si>
  <si>
    <t>FCF del año 6 (2031E)</t>
  </si>
  <si>
    <t>Valor terminal (TV) al cierre de 2030</t>
  </si>
  <si>
    <t>ENTERPRISE VALUE (EV)</t>
  </si>
  <si>
    <t>(−) Deuda total (bancaria/bursátil + arrendamientos)</t>
  </si>
  <si>
    <t>(+) Efectivo y equivalentes</t>
  </si>
  <si>
    <t>Deuda neta</t>
  </si>
  <si>
    <t>EQUITY VALUE (valor para los accionistas)</t>
  </si>
  <si>
    <t>Precio modelo integrado</t>
  </si>
  <si>
    <t>Diferencia vs integrado</t>
  </si>
  <si>
    <t>Diferencia (%)</t>
  </si>
  <si>
    <t>Peso del valor terminal en el EV</t>
  </si>
  <si>
    <t>SUPUESTOS</t>
  </si>
  <si>
    <t>Crecimiento de ventas</t>
  </si>
  <si>
    <t>Costo de ventas (% ventas)</t>
  </si>
  <si>
    <t>Gastos de operación sin D&amp;A (% ventas)</t>
  </si>
  <si>
    <t>Tasa de interés implícita (% deuda + arrendamientos)</t>
  </si>
  <si>
    <t>Días de inventario (sobre costo de ventas)</t>
  </si>
  <si>
    <t>Otros activos circulantes (% ventas)</t>
  </si>
  <si>
    <t>Pasivo circulante operativo (% ventas)</t>
  </si>
  <si>
    <t>Dividendos (% utilidad neta)</t>
  </si>
  <si>
    <t>1. ESTADO DE RESULTADOS</t>
  </si>
  <si>
    <t>Gastos de operación (sin D&amp;A)</t>
  </si>
  <si>
    <t>EBITDA</t>
  </si>
  <si>
    <t>Otros ingresos (gastos) netos</t>
  </si>
  <si>
    <t>Dividendos pagados</t>
  </si>
  <si>
    <t>2. BALANCE GENERAL</t>
  </si>
  <si>
    <t>Otros activos circulantes</t>
  </si>
  <si>
    <t>Activo no circulante</t>
  </si>
  <si>
    <t>Pasivo circulante operativo (proveedores y otros)</t>
  </si>
  <si>
    <t>Deuda bursátil y bancaria</t>
  </si>
  <si>
    <t>Pasivo por arrendamiento</t>
  </si>
  <si>
    <t>Otros pasivos a largo plazo</t>
  </si>
  <si>
    <t>Pasivo + capital</t>
  </si>
  <si>
    <t>Comprobación (activo − pasivo − capital)</t>
  </si>
  <si>
    <t>CONCILIACIÓN DE EFECTIVO</t>
  </si>
  <si>
    <t>(−) Aumento en inventarios</t>
  </si>
  <si>
    <t>(−) Aumento en otros activos circulantes</t>
  </si>
  <si>
    <t>(+) Aumento en pasivo circulante operativo</t>
  </si>
  <si>
    <t>Cambio neto en efectivo (después de dividendos)</t>
  </si>
  <si>
    <t>3. FLUJO LIBRE DE EFECTIVO (FFL)</t>
  </si>
  <si>
    <t>NOPAT</t>
  </si>
  <si>
    <t>Flujo libre de efectivo (FFL)</t>
  </si>
  <si>
    <t>Valor presente del FFL</t>
  </si>
  <si>
    <t>4. VALOR TERMINAL Y VALOR DE LA EMPRESA</t>
  </si>
  <si>
    <t>Suma VP de FFL 2026E–2030E</t>
  </si>
  <si>
    <t>FFL 2031E = FFL 2030E × (1+g)</t>
  </si>
  <si>
    <t>Valor terminal al cierre 2030 (Gordon)</t>
  </si>
  <si>
    <t>Valor presente del valor terminal</t>
  </si>
  <si>
    <t>Valor de la empresa (VE)</t>
  </si>
  <si>
    <t>Peso del valor terminal en el VE</t>
  </si>
  <si>
    <t>5. VALOR DEL CAPITAL Y PRECIO POR ACCIÓN</t>
  </si>
  <si>
    <t>(−) Deuda bursátil y bancaria (2025)</t>
  </si>
  <si>
    <t>(−) Pasivo por arrendamiento (2025)</t>
  </si>
  <si>
    <t>(+) Efectivo y equivalentes (2025)</t>
  </si>
  <si>
    <t>Valor del capital</t>
  </si>
  <si>
    <t>Precio por acción (MXN)</t>
  </si>
  <si>
    <t>1. FCFF PROYECTADO — MÍNIMOS CUADRADOS (sin ajustes externos)</t>
  </si>
  <si>
    <t>3T26</t>
  </si>
  <si>
    <t>4T26</t>
  </si>
  <si>
    <t>1T27</t>
  </si>
  <si>
    <t>2T27</t>
  </si>
  <si>
    <t>LTM proyectado (3T26–2T27)</t>
  </si>
  <si>
    <t>LTM actual (3T25–2T26)</t>
  </si>
  <si>
    <t>Variación vs. LTM actual</t>
  </si>
  <si>
    <t>X (pronóstico)</t>
  </si>
  <si>
    <t>Costos y gastos operativos</t>
  </si>
  <si>
    <t>EBIT</t>
  </si>
  <si>
    <t>Tasa de impuesto</t>
  </si>
  <si>
    <t>EBIT (1 − T)</t>
  </si>
  <si>
    <t>Capital de trabajo neto (cierre)</t>
  </si>
  <si>
    <t>(−) ΔNWC (cambio en capital de trabajo)</t>
  </si>
  <si>
    <t>FCFF = EBIT(1−T) + D&amp;A − Capex − ΔNWC</t>
  </si>
  <si>
    <t>2. FCFF PROYECTADO AJUSTADO POR VARIABLES EXTERNAS</t>
  </si>
  <si>
    <t>Ajuste neto a ventas</t>
  </si>
  <si>
    <t>Ajuste neto a costos y gastos</t>
  </si>
  <si>
    <t>Ajuste neto a capex</t>
  </si>
  <si>
    <t>LTM ajustado (3T26–2T27)</t>
  </si>
  <si>
    <t>LTM proyectado sin ajuste</t>
  </si>
  <si>
    <t>Variación vs. sin ajuste</t>
  </si>
  <si>
    <t>(−) ΔNWC</t>
  </si>
  <si>
    <t>FCFF ajustado</t>
  </si>
  <si>
    <t>DETALLE DE MÍNIMOS CUADRADOS POR PARTIDA DEL FCFF</t>
  </si>
  <si>
    <t>1. VENTAS (ingresos totales)</t>
  </si>
  <si>
    <t>Trimestre</t>
  </si>
  <si>
    <t>n</t>
  </si>
  <si>
    <t>X = n − (N+1)/2</t>
  </si>
  <si>
    <t>Y (mdp)</t>
  </si>
  <si>
    <t>XY</t>
  </si>
  <si>
    <t>X²</t>
  </si>
  <si>
    <t>Trimestre a pronosticar</t>
  </si>
  <si>
    <t>Y pronosticada</t>
  </si>
  <si>
    <t>Σ (sumas)</t>
  </si>
  <si>
    <t>N (trimestres)</t>
  </si>
  <si>
    <t>X̄ = ΣX / N</t>
  </si>
  <si>
    <t>b = ΣXY / ΣX²</t>
  </si>
  <si>
    <t>a = ΣY / N</t>
  </si>
  <si>
    <t>R² (ajuste)</t>
  </si>
  <si>
    <t>2. COSTOS Y GASTOS OPERATIVOS (ventas − EBIT)</t>
  </si>
  <si>
    <t>3. TASA DE IMPUESTO (impuestos / UAI)</t>
  </si>
  <si>
    <t>Y (tasa)</t>
  </si>
  <si>
    <t>4. DEPRECIACIÓN Y AMORTIZACIÓN</t>
  </si>
  <si>
    <t>5. CAPEX (inmuebles, equipo e intangibles)</t>
  </si>
  <si>
    <t>6. CAPITAL DE TRABAJO NETO (activo circ. − pasivo circ.)</t>
  </si>
  <si>
    <t>#</t>
  </si>
  <si>
    <t>Categoría</t>
  </si>
  <si>
    <t>Variable</t>
  </si>
  <si>
    <t>Dato observado</t>
  </si>
  <si>
    <t>Canal de transmisión a Soriana</t>
  </si>
  <si>
    <t>Partida del FCFF afectada</t>
  </si>
  <si>
    <t>Efecto</t>
  </si>
  <si>
    <t>Ajuste a ventas (%)</t>
  </si>
  <si>
    <t>Ajuste a costos y gastos (%)</t>
  </si>
  <si>
    <t>Ajuste a capex (%)</t>
  </si>
  <si>
    <t>Macroeconomía México</t>
  </si>
  <si>
    <t>Crecimiento del PIB</t>
  </si>
  <si>
    <t>Banxico (Informe abr–jun 2026): PIB 2026 1.5% (rango 1.0–2.0%); 2027 2.0% (rango 1.2–2.8%)</t>
  </si>
  <si>
    <t>Banxico espera que el consumo privado retome tendencia positiva tras la debilidad de inicio de 2026: más volumen en autoservicio</t>
  </si>
  <si>
    <t>+</t>
  </si>
  <si>
    <t>Inflación</t>
  </si>
  <si>
    <t>General 3.42% y subyacente 3.79% (1a quincena sep-2026); convergencia a 3% hasta 4T27</t>
  </si>
  <si>
    <t>Eleva ventas nominales y costo de mercancía en proporción similar; efecto casi neutral en margen (ya capturado en la tendencia)</t>
  </si>
  <si>
    <t>Ventas y costos</t>
  </si>
  <si>
    <t>Política monetaria</t>
  </si>
  <si>
    <t>Tasa objetivo Banxico / Fed</t>
  </si>
  <si>
    <t>Banxico mantuvo 6.50% (24-sep-2026, unánime); la Fed subió 25 pb en septiembre</t>
  </si>
  <si>
    <t>Afecta costo de deuda y WACC (descuento del FCFF), no el FCFF operativo; crédito al consumo sigue caro</t>
  </si>
  <si>
    <t>WACC / gastos financieros</t>
  </si>
  <si>
    <t>− (valuación)</t>
  </si>
  <si>
    <t>Tipo de cambio</t>
  </si>
  <si>
    <t>18.08 MXN/USD al cierre del 30-sep-2026; el peso perdió 6.38% en septiembre</t>
  </si>
  <si>
    <t>Encarece mercancía general importada (electrónica, línea blanca) y equipo/refrigeración del programa de capex</t>
  </si>
  <si>
    <t>Costos y capex</t>
  </si>
  <si>
    <t>−</t>
  </si>
  <si>
    <t>Remesas</t>
  </si>
  <si>
    <t>2025: USD 61,791 mm (−4.6%), primera caída anual en 11 años; 1T26 +1.4%</t>
  </si>
  <si>
    <t>Menor ingreso de hogares en Bajío, Occidente y Norte (regiones clave de Soriana) por política migratoria de EU</t>
  </si>
  <si>
    <t>Política México (laboral)</t>
  </si>
  <si>
    <t>Salario mínimo 2026</t>
  </si>
  <si>
    <t>+13%: de 278.80 a 315.04 $/día (frontera norte +5%: 440.87 $/día); meta 2.5 canastas básicas a 2030</t>
  </si>
  <si>
    <t>Sube la nómina operativa de tiendas, pero también el ingreso disponible del cliente de bajos ingresos</t>
  </si>
  <si>
    <t>Costos (+) y ventas (+)</t>
  </si>
  <si>
    <t>Mixto</t>
  </si>
  <si>
    <t>Jornada laboral de 40 horas</t>
  </si>
  <si>
    <t>Reducción gradual de 48 a 40 h; 2026 es periodo de adecuación y los cambios inician en 2027</t>
  </si>
  <si>
    <t>Requiere más turnos/plantilla en tiendas de horario extendido o más automatización</t>
  </si>
  <si>
    <t>Costos</t>
  </si>
  <si>
    <t>Política México (fiscal)</t>
  </si>
  <si>
    <t>IEPS a bebidas y tabaco</t>
  </si>
  <si>
    <t>Bebidas azucaradas de 1.64 a 3.08 $/litro; tabaco de 160% a 200% ad valorem (2026)</t>
  </si>
  <si>
    <t>Menor volumen en categorías de alta rotación (refrescos, tabaco) dentro del ticket del autoservicio</t>
  </si>
  <si>
    <t>Política comercial México</t>
  </si>
  <si>
    <t>Aranceles a países sin tratado</t>
  </si>
  <si>
    <t>Aranceles nuevos o mayores de hasta 50% a importaciones de China, Corea del Sur, India, Vietnam, etc. desde 1-ene-2026</t>
  </si>
  <si>
    <t>Encarece ropa, juguetes, electrónicos y equipo de tienda de origen asiático</t>
  </si>
  <si>
    <t>T-MEC</t>
  </si>
  <si>
    <t>Revisión del T-MEC</t>
  </si>
  <si>
    <t>EU activó el mecanismo de revisiones anuales (no hubo extensión en jul-2026); Banxico prevé inversión débil por la incertidumbre comercial</t>
  </si>
  <si>
    <t>Frena inversión y empleo formal en el Norte industrial, base de clientes de Soriana (Coahuila, NL, Chihuahua)</t>
  </si>
  <si>
    <t>T-MEC / aranceles de EU</t>
  </si>
  <si>
    <t>Aranceles de EU a sectores estratégicos</t>
  </si>
  <si>
    <t>Persisten aranceles de EU a acero, aluminio y automotriz; bienes con origen T-MEC conservan exención; exportaciones a EU +7.7% acumulado a mayo</t>
  </si>
  <si>
    <t>Presión sobre empleo manufacturero (autopartes, acero) en ciudades del Norte donde Soriana concentra tiendas</t>
  </si>
  <si>
    <t>Geopolítica</t>
  </si>
  <si>
    <t>Conflicto en Medio Oriente / petróleo</t>
  </si>
  <si>
    <t>Petróleo por encima de USD 100, dólar fuerte e incertidumbre geopolítica presionan al peso (sep-2026)</t>
  </si>
  <si>
    <t>Encarece energía de tiendas, diésel y fletes de la logística; riesgo inflacionario</t>
  </si>
  <si>
    <t>Sector retail</t>
  </si>
  <si>
    <t>Ventas ANTAD (mismas tiendas)</t>
  </si>
  <si>
    <t>Ago-2026: tiendas iguales +1.7% y totales +4.2%; autoservicio −0.7% a tiendas iguales; acumulado ene–ago +1.5%</t>
  </si>
  <si>
    <t>Demanda del formato autoservicio crece por debajo de la inflación (caída real del ticket/tráfico)</t>
  </si>
  <si>
    <t>Megatendencia / retail</t>
  </si>
  <si>
    <t>Hard discount y búsqueda de valor</t>
  </si>
  <si>
    <t>Tiendas 3B pasó de 4% (2019) a 14% (2025) del mercado de descuento; Bodega Aurrera de 71% a 63% (Bain &amp; Company)</t>
  </si>
  <si>
    <t>Pérdida de tráfico en formatos Súper/Mercado y mayor gasto promocional para defender precio</t>
  </si>
  <si>
    <t>Ventas (−) y costos (+)</t>
  </si>
  <si>
    <t>Omnicanalidad y comercio digital</t>
  </si>
  <si>
    <t>Las temporalidades sostienen el eCommerce durante todo el año; los autoservicios invierten en surtido en línea y última milla (ANTAD)</t>
  </si>
  <si>
    <t>Ventas digitales incrementales, pero exige capex en tecnología, refrigeración y logística</t>
  </si>
  <si>
    <t>Ventas (+) y capex (+)</t>
  </si>
  <si>
    <t>Inmobiliario y arrendamientos</t>
  </si>
  <si>
    <t>Rentas de locales comerciales</t>
  </si>
  <si>
    <t>Rentas de locales comerciales +11.09% en 1S26; promedio USD 28.93/m² a jun-2026</t>
  </si>
  <si>
    <t>Encarece la renovación de contratos de tiendas arrendadas (pasivo por arrendamiento), pero valoriza m² propios y espacios subarrendables</t>
  </si>
  <si>
    <t>Costos (+) y otros ingresos (+)</t>
  </si>
  <si>
    <t>Ocupación de centros comerciales (FIBRAs)</t>
  </si>
  <si>
    <t>Los 10 jugadores institucionales con ocupación arriba de 91% (algunos 99%) al 2T26, rentas al alza y spreads de renovación altos</t>
  </si>
  <si>
    <t>Alta demanda por espacio facilita monetizar/subarrendar las áreas liberadas por cierres y reducción de tiendas</t>
  </si>
  <si>
    <t>Ventas (otros ingresos)</t>
  </si>
  <si>
    <t>TOTAL</t>
  </si>
  <si>
    <t>Ajuste neto aplicado a la proyección</t>
  </si>
  <si>
    <t>A. PONDERACIÓN DE MÉTODOS</t>
  </si>
  <si>
    <t>Peso de variables externas</t>
  </si>
  <si>
    <t>Peso de mínimos cuadrados</t>
  </si>
  <si>
    <t>B. CRECIMIENTO DE VENTAS — VARIABLES EXTERNAS</t>
  </si>
  <si>
    <t>Inflación esperada (INPC) — escenario de la hoja Inflación</t>
  </si>
  <si>
    <t>Crecimiento real del PIB de México</t>
  </si>
  <si>
    <t>Elasticidad del volumen de autoservicio al PIB (x)</t>
  </si>
  <si>
    <t>Ajuste por debilidad del consumo</t>
  </si>
  <si>
    <t>Crecimiento nominal del mercado de autoservicio</t>
  </si>
  <si>
    <t>(±) Pérdida de participación (hard discount y competidores)</t>
  </si>
  <si>
    <t>(±) Cierre y reducción de tiendas</t>
  </si>
  <si>
    <t>(±) Remesas y política migratoria de EU</t>
  </si>
  <si>
    <t>(±) T-MEC y aranceles de EU (empleo industrial del Norte)</t>
  </si>
  <si>
    <t>(±) Programas sociales y salario mínimo (ingreso disponible)</t>
  </si>
  <si>
    <t>(±) Omnicanalidad y ventas digitales</t>
  </si>
  <si>
    <t>(±) PACIC e IEPS (precio tope y menor volumen)</t>
  </si>
  <si>
    <t>(±) Ingresos inmobiliarios y financieros (m² liberados, Sofipo)</t>
  </si>
  <si>
    <t>Crecimiento de ventas — variables externas</t>
  </si>
  <si>
    <t>C. CRECIMIENTO DE VENTAS — MÍNIMOS CUADRADOS</t>
  </si>
  <si>
    <t>Crecimiento de ventas — mínimos cuadrados</t>
  </si>
  <si>
    <t>CRECIMIENTO DE VENTAS FINAL (ponderado)</t>
  </si>
  <si>
    <t>D. MARGEN EBIT</t>
  </si>
  <si>
    <t>Margen EBIT — variables externas (acumulado)</t>
  </si>
  <si>
    <t>(±) Austeridad, cierres y eficiencias</t>
  </si>
  <si>
    <t>(±) Salario mínimo +13% y jornada de 40 h</t>
  </si>
  <si>
    <t>(±) Inversión en precio (hard discount, PACIC)</t>
  </si>
  <si>
    <t>(±) Tipo de cambio y aranceles a importaciones de Asia</t>
  </si>
  <si>
    <t>(±) Energía, combustibles y fletes</t>
  </si>
  <si>
    <t>(±) Rentas comerciales (tiendas arrendadas)</t>
  </si>
  <si>
    <t>(±) Ingresos inmobiliarios y servicios financieros</t>
  </si>
  <si>
    <t>(±) Desapalancamiento operativo por menores ventas</t>
  </si>
  <si>
    <t>MARGEN EBIT FINAL (ponderado)</t>
  </si>
  <si>
    <t>E. OTROS SUPUESTOS (FCF Y ESTADOS FINANCIEROS)</t>
  </si>
  <si>
    <t>D&amp;A (% ventas) — variables externas / histórico</t>
  </si>
  <si>
    <t>D&amp;A (% ventas) — mínimos cuadrados</t>
  </si>
  <si>
    <t>D&amp;A (% ventas) FINAL</t>
  </si>
  <si>
    <t>Capex guía de Soriana 2026 (mdp)</t>
  </si>
  <si>
    <t>(+) Inversión adicional en omnicanal y remodelación (% ventas)</t>
  </si>
  <si>
    <t>Capex (% ventas) — variables externas</t>
  </si>
  <si>
    <t>Capex (% ventas) — mínimos cuadrados</t>
  </si>
  <si>
    <t>Capex (% ventas) FINAL</t>
  </si>
  <si>
    <t>(+) Ajuste a la tasa por límite de deducciones (Paquete Económico 2027)</t>
  </si>
  <si>
    <t>Tasa de impuestos — variables externas</t>
  </si>
  <si>
    <t>Tasa de impuestos FINAL</t>
  </si>
  <si>
    <t>Amortización neta de deuda bursátil y bancaria (mdp)</t>
  </si>
  <si>
    <t>1. PROYECCIÓN DE ESTADOS FINANCIEROS (mdp)</t>
  </si>
  <si>
    <t>1.1 ESTADO DE RESULTADOS</t>
  </si>
  <si>
    <t>Margen EBITDA</t>
  </si>
  <si>
    <t>1.2 BALANCE GENERAL</t>
  </si>
  <si>
    <t>1.3 CONCILIACIÓN DE EFECTIVO</t>
  </si>
  <si>
    <t>(−) Dividendos pagados</t>
  </si>
  <si>
    <t>(±) Amortización neta de deuda</t>
  </si>
  <si>
    <t>Cambio neto en efectivo</t>
  </si>
  <si>
    <t>2. FLUJO LIBRE DE EFECTIVO (FCF) — 5 AÑOS</t>
  </si>
  <si>
    <t>NOPAT = EBIT × (1 − T)</t>
  </si>
  <si>
    <t>FCF = NOPAT + D&amp;A − Capex − ΔNWC</t>
  </si>
  <si>
    <t>3. VALOR TERMINAL</t>
  </si>
  <si>
    <t>WACC base (iterado)</t>
  </si>
  <si>
    <t>(+) Prima por riesgo externo</t>
  </si>
  <si>
    <t>WACC final</t>
  </si>
  <si>
    <t>FCF + 1 (2031E) = FCF 2030E × (1 + g)</t>
  </si>
  <si>
    <t>Valor terminal = FCF+1 / (WACC − g)</t>
  </si>
  <si>
    <t>Factor de descuento del año 5</t>
  </si>
  <si>
    <t>4. VALOR DE LA EMPRESA (EV)</t>
  </si>
  <si>
    <t>Suma VP de FCF 2026E–2030E</t>
  </si>
  <si>
    <t>(+) VP del valor terminal</t>
  </si>
  <si>
    <t>Valor de la empresa (EV)</t>
  </si>
  <si>
    <t>5. EQUITY VALUE</t>
  </si>
  <si>
    <t>Deuda neta (memo)</t>
  </si>
  <si>
    <t>Equity Value (valor del capital)</t>
  </si>
  <si>
    <t>6. PRECIO POR ACCIÓN</t>
  </si>
  <si>
    <t>Equity Value</t>
  </si>
  <si>
    <t>PRECIO POR ACCIÓN — PROYECCIÓN FINAL (MXN)</t>
  </si>
  <si>
    <t>Precio por acción de la proyección base (MXN)</t>
  </si>
  <si>
    <t>Diferencia vs. proyección base</t>
  </si>
  <si>
    <t>Umbral para recomendación (±)</t>
  </si>
  <si>
    <t>Recomendación del modelo</t>
  </si>
  <si>
    <t>Comprobación del balance</t>
  </si>
  <si>
    <t>Comprobación WACC &gt; g</t>
  </si>
  <si>
    <t>7. SENSIBILIDAD — PRECIO POR ACCIÓN (MXN)</t>
  </si>
  <si>
    <t>Paso de WACC y g</t>
  </si>
  <si>
    <t>WACC ↓ / g →</t>
  </si>
  <si>
    <t>Diferencia centro vs. B150</t>
  </si>
  <si>
    <t>8. MATRIZ DE FACTORES EXTERNOS (investigación)</t>
  </si>
  <si>
    <t>Impacto (1–5)</t>
  </si>
  <si>
    <t>Probabilidad</t>
  </si>
  <si>
    <t>Horizonte</t>
  </si>
  <si>
    <t>Partida</t>
  </si>
  <si>
    <t>Fila modelo</t>
  </si>
  <si>
    <t>MACRO — Crecimiento del PIB de México</t>
  </si>
  <si>
    <t>Alta</t>
  </si>
  <si>
    <t>CP–MP</t>
  </si>
  <si>
    <t>MACRO — Inflación</t>
  </si>
  <si>
    <t>MACRO — Consumo privado y confianza</t>
  </si>
  <si>
    <t>CP</t>
  </si>
  <si>
    <t>MACRO — Empleo formal y masa salarial</t>
  </si>
  <si>
    <t>Media</t>
  </si>
  <si>
    <t>MACRO — Remesas</t>
  </si>
  <si>
    <t>MONETARIO — Tasa Banxico</t>
  </si>
  <si>
    <t>WACC / intereses</t>
  </si>
  <si>
    <t>61 / 126</t>
  </si>
  <si>
    <t>MONETARIO — Fed y tasas de EU</t>
  </si>
  <si>
    <t>WACC / TC</t>
  </si>
  <si>
    <t>CAMBIARIO — Tipo de cambio</t>
  </si>
  <si>
    <t>RIESGO PAÍS — Calificación soberana</t>
  </si>
  <si>
    <t>MP</t>
  </si>
  <si>
    <t>T-MEC — Revisiones anuales</t>
  </si>
  <si>
    <t>T-MEC — Aranceles de EU (232, 301)</t>
  </si>
  <si>
    <t>POLÍTICA COMERCIAL MX — Aranceles a Asia</t>
  </si>
  <si>
    <t>POLÍTICA LABORAL — Salario mínimo</t>
  </si>
  <si>
    <t>CP–LP</t>
  </si>
  <si>
    <t>Costos y ventas</t>
  </si>
  <si>
    <t>33 / 19</t>
  </si>
  <si>
    <t>POLÍTICA LABORAL — Jornada de 40 h</t>
  </si>
  <si>
    <t>POLÍTICA FISCAL — IEPS (refrescos, tabaco, sodio)</t>
  </si>
  <si>
    <t>POLÍTICA FISCAL — Paquete Económico 2027</t>
  </si>
  <si>
    <t>POLÍTICA SOCIAL — Programas del Bienestar</t>
  </si>
  <si>
    <t>REGULACIÓN — PACIC (canasta básica)</t>
  </si>
  <si>
    <t>Margen</t>
  </si>
  <si>
    <t>SECTOR RETAIL — Desempeño de competidores</t>
  </si>
  <si>
    <t>MEGATENDENCIA — Hard discount</t>
  </si>
  <si>
    <t>Ventas y margen</t>
  </si>
  <si>
    <t>15 / 34</t>
  </si>
  <si>
    <t>MEGATENDENCIA — Comercio electrónico</t>
  </si>
  <si>
    <t>MP–LP</t>
  </si>
  <si>
    <t>Ventas y capex</t>
  </si>
  <si>
    <t>20 / 48</t>
  </si>
  <si>
    <t>MEGATENDENCIA — Formatos más pequeños / proximidad</t>
  </si>
  <si>
    <t>INMOBILIARIO — Rentas comerciales</t>
  </si>
  <si>
    <t>37 / 38</t>
  </si>
  <si>
    <t>INMOBILIARIO — Ocupación de FIBRAs comerciales</t>
  </si>
  <si>
    <t>SORIANA — Servicios financieros (Sofipo)</t>
  </si>
  <si>
    <t>SORIANA — Austeridad y eficiencia</t>
  </si>
  <si>
    <t>SORIANA — Guía de inversión 2026</t>
  </si>
  <si>
    <t>GEOPOLÍTICA — Medio Oriente y petróleo</t>
  </si>
  <si>
    <t>GEOPOLÍTICA — Política migratoria de EU</t>
  </si>
  <si>
    <t>SEGURIDAD — Extorsión e inseguridad</t>
  </si>
  <si>
    <t>—</t>
  </si>
  <si>
    <t>9. ITERACIÓN DEL WACC (estructura de capital al valor DCF)</t>
  </si>
  <si>
    <t>Kd antes de impuestos (tasa implícita proyectada 2026E)</t>
  </si>
  <si>
    <t>Kd después de impuestos</t>
  </si>
  <si>
    <t>Deuda total (D) = bancaria/bursátil + arrendamientos (2025)</t>
  </si>
  <si>
    <t>Prima de riesgo de mercado (PRM)</t>
  </si>
  <si>
    <t>Beta desapalancada del sector (βU)</t>
  </si>
  <si>
    <t>Iteración</t>
  </si>
  <si>
    <t>WACC de entrada</t>
  </si>
  <si>
    <t>Equity DCF (mdp)</t>
  </si>
  <si>
    <t>Beta apalancada</t>
  </si>
  <si>
    <t>Ke (CAPM)</t>
  </si>
  <si>
    <t>WACC de salida</t>
  </si>
  <si>
    <t>0 (WACC de la hoja WACC)</t>
  </si>
  <si>
    <t>WACC convergido</t>
  </si>
  <si>
    <t>Ke convergido</t>
  </si>
  <si>
    <t>Variación de la última iteración (pb)</t>
  </si>
  <si>
    <t>10. VALOR TERMINAL POR MÚLTIPLOS (EV/EBITDA)</t>
  </si>
  <si>
    <t>(+) Deuda total (bancaria/bursátil + arrendamientos)</t>
  </si>
  <si>
    <t>(−) Efectivo y equivalentes</t>
  </si>
  <si>
    <t>EV de mercado</t>
  </si>
  <si>
    <t>EBITDA FY2025 (EBIT + D&amp;A)</t>
  </si>
  <si>
    <t>EV / EBITDA actual</t>
  </si>
  <si>
    <t>Mediana de comparables (Walmex, Chedraui, La Comer)</t>
  </si>
  <si>
    <t>(−) Descuento de Soriana vs. comparables</t>
  </si>
  <si>
    <t>Múltiplo de salida aplicado (EV/EBITDA)</t>
  </si>
  <si>
    <t>EBITDA 2030E</t>
  </si>
  <si>
    <t>Valor terminal por múltiplo al cierre de 2030</t>
  </si>
  <si>
    <t>Valor presente del valor terminal (múltiplo)</t>
  </si>
  <si>
    <t>EV por múltiplos</t>
  </si>
  <si>
    <t>Equity Value por múltiplos</t>
  </si>
  <si>
    <t>Precio por acción — múltiplos (MXN)</t>
  </si>
  <si>
    <t>Múltiplo EV/EBITDA implícito en Gordon</t>
  </si>
  <si>
    <t>g implícita en el múltiplo aplicado</t>
  </si>
  <si>
    <t>Peso del método Gordon</t>
  </si>
  <si>
    <t>Peso del método de múltiplos</t>
  </si>
  <si>
    <t>EV ponderado (cierre 2025)</t>
  </si>
  <si>
    <t>Precio por acción ponderado al cierre 2025 (MXN)</t>
  </si>
  <si>
    <t>11. VALOR A LA FECHA DE VALUACIÓN Y PRECIO OBJETIVO FINAL</t>
  </si>
  <si>
    <t>Fecha base del descuento</t>
  </si>
  <si>
    <t>Fecha del último balance disponible (2T26)</t>
  </si>
  <si>
    <t>Fecha de valuación</t>
  </si>
  <si>
    <t>Años del cierre 2025 al 2T26</t>
  </si>
  <si>
    <t>Años del 2T26 a la fecha de valuación</t>
  </si>
  <si>
    <t>EV ponderado al cierre 2025</t>
  </si>
  <si>
    <t>EV capitalizado al 2T26 = EV × (1 + WACC)^t</t>
  </si>
  <si>
    <t>(−) FCF de 1S26 (CFO − Capex real = −1,060.5; al ser negativo, restarlo aumenta el EV)</t>
  </si>
  <si>
    <t>EV al 2T26</t>
  </si>
  <si>
    <t>(−) Deuda bursátil y bancaria 2T26</t>
  </si>
  <si>
    <t>(−) Pasivo por arrendamiento 2T26</t>
  </si>
  <si>
    <t>(+) Efectivo y equivalentes 2T26</t>
  </si>
  <si>
    <t>Equity Value al 2T26</t>
  </si>
  <si>
    <t>Equity Value a la fecha de valuación = E × (1 + Ke)^t</t>
  </si>
  <si>
    <t>PRECIO OBJETIVO FINAL POR ACCIÓN (MXN)</t>
  </si>
  <si>
    <t>Recomendación final</t>
  </si>
  <si>
    <t>Diferencia vs. consenso</t>
  </si>
  <si>
    <t>1. ESCENARIO DE INFLACIÓN APLICADO AL MODELO (entra a Proyección Final Soriana, fila 10)</t>
  </si>
  <si>
    <t>Escenario oficial (1 = Cautela · 2 = Base · 3 = Alcista)</t>
  </si>
  <si>
    <t>Decisión del proyecto: tres escenarios oficiales; Base por defecto. El valor 0 aplica la trayectoria Citi solo como referencia histórica (con la beta heredada reproduce el baseline $31.16).</t>
  </si>
  <si>
    <t>Fuente / naturaleza</t>
  </si>
  <si>
    <t>0 · Trayectoria Citi — Referencia histórica (no es escenario)</t>
  </si>
  <si>
    <t>Encuesta Citi de Expectativas, 22-sep-2026: cierre 2026 3.93%, 2027 3.83%, promedio 2028–32 3.75% (comentario original de Proyección Final!C10). Pronóstico de consenso por año: REFERENCIA HISTÓRICA del modelo anterior, no escenario oficial.</t>
  </si>
  <si>
    <t>1 · Cautela (constante)</t>
  </si>
  <si>
    <t>Ver sección 4: escenario derivado de la tendencia larga (no es pronóstico de modelo).</t>
  </si>
  <si>
    <t>2 · Base (constante)</t>
  </si>
  <si>
    <t>Ver sección 4: resultado de modelo (pronóstico exponencial trimestral de clase).</t>
  </si>
  <si>
    <t>3 · Alcista (constante)</t>
  </si>
  <si>
    <t>Ver sección 4: supuesto de escenario (no es pronóstico estadístico).</t>
  </si>
  <si>
    <t>INFLACIÓN APLICADA AL MODELO</t>
  </si>
  <si>
    <t>Proyección Final Soriana!C10:G10 = esta fila. Los escenarios constantes extienden a 2026–2030 un pronóstico de un periodo: es un supuesto documentado.</t>
  </si>
  <si>
    <t>2. MODELOS EXPONENCIALES</t>
  </si>
  <si>
    <t>Modelo</t>
  </si>
  <si>
    <t>a</t>
  </si>
  <si>
    <t>b</t>
  </si>
  <si>
    <t>R²</t>
  </si>
  <si>
    <t>x siguiente</t>
  </si>
  <si>
    <t>Proyección</t>
  </si>
  <si>
    <t>Lectura</t>
  </si>
  <si>
    <t>Inmediata (quincenal, último año: sep-25 a sep-26)</t>
  </si>
  <si>
    <t>Resultado de modelo. R² bajo (tendencia de corto plazo).</t>
  </si>
  <si>
    <t>Trimestral (4 promedios trimestrales del último año)</t>
  </si>
  <si>
    <t>Resultado de modelo → define el escenario BASE. Solo 4 puntos.</t>
  </si>
  <si>
    <t>Ventana larga quincenal 2023–2026</t>
  </si>
  <si>
    <t>Resultado de modelo de tendencia larga.</t>
  </si>
  <si>
    <t>Libro de clase, ventana quincenal (coeficientes redondeados 5.8812, −0.006)</t>
  </si>
  <si>
    <t>Reproduce INFLACION!T28 = 3.427%. El exponente redondeado sobrestima la proyección frente a la fila 34.</t>
  </si>
  <si>
    <t>Construcción de clase INFLACION!S113 (5 quincenas jul–sep 2026 + proyección de la fila 35)</t>
  </si>
  <si>
    <t>Es un promedio aritmético que mezcla datos observados y una proyección, no un modelo. Es la construcción más cercana al 3.26% documentado.</t>
  </si>
  <si>
    <t>Promedios trimestrales (6 quincenas) — libro de clase D19, D25, D31, D37</t>
  </si>
  <si>
    <t>x del promedio trimestral</t>
  </si>
  <si>
    <t>ln del promedio trimestral</t>
  </si>
  <si>
    <t>4. ESCENARIOS DOCUMENTADOS Y SU NATURALEZA</t>
  </si>
  <si>
    <t>Escenario</t>
  </si>
  <si>
    <t>Naturaleza</t>
  </si>
  <si>
    <t>Origen y trazabilidad</t>
  </si>
  <si>
    <t>Cautela</t>
  </si>
  <si>
    <t>Escenario derivado de la tendencia larga (no es pronóstico de modelo)</t>
  </si>
  <si>
    <t>Valor documentado en el Dossier ("ventana 2023-2026, trimestral 3.26%") y en Avances (escenario Cautela). Construcción de clase más cercana: fila 36 (3.268%). Modelos de tendencia larga calculados aquí: fila 34.</t>
  </si>
  <si>
    <t>Base</t>
  </si>
  <si>
    <t>Forecast / resultado de modelo: modelo exponencial trimestral de clase</t>
  </si>
  <si>
    <t>Fila 33 redondeada a 2 decimales en %. Reproduce el 3.51% del Dossier ("4.0327e^(−0.028x) → 3.51%") y de Avances. Horizonte: siguiente trimestre; su extensión a 2026–30 es un supuesto.</t>
  </si>
  <si>
    <t>Alcista</t>
  </si>
  <si>
    <t>Supuesto de escenario (scenario assumption; no es pronóstico estadístico)</t>
  </si>
  <si>
    <t>Avances de valuación intrínseca: "Alcista: inflación 4.0%". No proviene de ningún modelo. Referencia de contexto: el promedio trimestral máximo del último año fue 4.33% (fila 38).</t>
  </si>
  <si>
    <t>5. DATOS: INPC variación anual quincenal</t>
  </si>
  <si>
    <t>Quincena</t>
  </si>
  <si>
    <t>Inflación %</t>
  </si>
  <si>
    <t>6. ESTUDIO DE MERCADO DE CLASE (referencia; NO alimenta el DCF) — correlaciones y beta histórica</t>
  </si>
  <si>
    <t>Mes</t>
  </si>
  <si>
    <t>Cierre mensual Soriana B (MXN)</t>
  </si>
  <si>
    <t>Inflación mensual %</t>
  </si>
  <si>
    <t>Correlación precio–inflación</t>
  </si>
  <si>
    <t>Ventana</t>
  </si>
  <si>
    <t>Toda la muestra (23 meses)</t>
  </si>
  <si>
    <t>Anual (ene–sep 2026)</t>
  </si>
  <si>
    <t>Semestral (abr–sep 2026)</t>
  </si>
  <si>
    <t>Trimestral (jul–sep 2026)</t>
  </si>
  <si>
    <t>El Dossier reporta 0.26 / 0.61 / 0.65 / 0.70; el libro de clase da los valores de esta tabla (diferencias documentadas en la auditoría).</t>
  </si>
  <si>
    <t>Rend. diario Soriana B</t>
  </si>
  <si>
    <t>Rend. diario IPC</t>
  </si>
  <si>
    <t>BETA HISTÓRICA DEL ESTUDIO (regresión de rendimientos diarios Soriana vs IPC)</t>
  </si>
  <si>
    <t>Pendiente (beta) = SLOPE</t>
  </si>
  <si>
    <t>Observaciones</t>
  </si>
  <si>
    <t>Beta reportada en el libro de clase / Dossier</t>
  </si>
  <si>
    <t>SORIANA!Y2 = SLOPE(...)*10: el factor ×10 no tiene sustento; la regresión real es la fila anterior.</t>
  </si>
  <si>
    <t>BETA USADA EN EL WACC (distinta de la beta histórica)</t>
  </si>
  <si>
    <t>Beta desapalancada usada en el WACC</t>
  </si>
  <si>
    <t>Ver hoja 'Beta y Kd': beta sectorial de Damodaran (global, enero 2026), relevered con la estructura de capital de Soriana.</t>
  </si>
  <si>
    <t>Esta regresión NO alimenta el WACC</t>
  </si>
  <si>
    <t>R² cercano a cero y 62 observaciones diarias: no es una estimación defendible del riesgo sistemático de Soriana.</t>
  </si>
  <si>
    <t>1. FUENTE EXTERNA: Damodaran</t>
  </si>
  <si>
    <t>Fuente</t>
  </si>
  <si>
    <t>Aswath Damodaran, NYU Stern  Betas by Sector</t>
  </si>
  <si>
    <t>Fecha de los datos</t>
  </si>
  <si>
    <t>Enero de 2026</t>
  </si>
  <si>
    <t>Industria</t>
  </si>
  <si>
    <t>Retail (Grocery and Food)</t>
  </si>
  <si>
    <t>Número de empresas</t>
  </si>
  <si>
    <t>Beta apalancada promedio de la industria (βL)</t>
  </si>
  <si>
    <t>D/E de la industria</t>
  </si>
  <si>
    <t>Tasa efectiva de la industria</t>
  </si>
  <si>
    <t>Tasa marginal usada por Damodaran para desapalancar</t>
  </si>
  <si>
    <t>Beta desapalancada de la industria (βU)</t>
  </si>
  <si>
    <t>Efectivo / valor de la empresa</t>
  </si>
  <si>
    <t>Beta desapalancada corregida por caja</t>
  </si>
  <si>
    <t>Control: βU recalculada = 0.87 / [1 + (1 − 0.2537) × 0.4596]</t>
  </si>
  <si>
    <t>Beta heredada del Excel anterior (solo para reproducir el baseline histórico)</t>
  </si>
  <si>
    <t>Selector de beta (1 = Damodaran global, oficial · 0 = beta heredada 0.80, histórico)</t>
  </si>
  <si>
    <t>3. REAPALANCAMIENTO CON LA ESTRUCTURA DE CAPITAL DE SORIANA</t>
  </si>
  <si>
    <t>A valor de mercado</t>
  </si>
  <si>
    <t>Iterado al valor DCF</t>
  </si>
  <si>
    <t>Beta desapalancada βU</t>
  </si>
  <si>
    <t>D/E</t>
  </si>
  <si>
    <t>Tasa fiscal para reapalancar</t>
  </si>
  <si>
    <t>Beta reapalancada βL = βU × [1 + (1 − t) × D/E]</t>
  </si>
  <si>
    <t>Tasa libre de riesgo</t>
  </si>
  <si>
    <t>Prima de riesgo de mercado</t>
  </si>
  <si>
    <t>Ke = Rf + βL × PRM</t>
  </si>
  <si>
    <t>WACC del modelo</t>
  </si>
  <si>
    <t>Control: βL de esta hoja = βL del modelo</t>
  </si>
  <si>
    <t>Referencia (NO usada): Ke con la βL de la industria 0.87 sin reapalancar</t>
  </si>
  <si>
    <t>4. IMPACTO DEL CAMBIO DE BETA</t>
  </si>
  <si>
    <t>βU heredada 0.80</t>
  </si>
  <si>
    <t>Cambio</t>
  </si>
  <si>
    <t>βU</t>
  </si>
  <si>
    <t>Menor βU → menor βL y Ke → menor WACC → mayor EV y precio. El cambio no altera los flujos (FCF) ni el puente.</t>
  </si>
  <si>
    <t>βL iterada</t>
  </si>
  <si>
    <t>Ke iterado</t>
  </si>
  <si>
    <t>WACC iterado</t>
  </si>
  <si>
    <t>WACC a valor de mercado</t>
  </si>
  <si>
    <t>Ke a valor de mercado</t>
  </si>
  <si>
    <t>EV ponderado al cierre 2025 (mdp)</t>
  </si>
  <si>
    <t>Equity a la fecha de valuación (mdp)</t>
  </si>
  <si>
    <t>Precio DCF (MXN)</t>
  </si>
  <si>
    <t>Precio combinado (MXN)</t>
  </si>
  <si>
    <t>5. COSTO DE LA DEUDA (Kd) — se conserva 10% con su fuente</t>
  </si>
  <si>
    <t>Kd antes de impuestos usado en la iteración (Proyección Final!C61)</t>
  </si>
  <si>
    <t>Fuente (comentario original de la celda C61): Encuesta Citi — tasa Banxico 6.50% a fin de 2026 y 2027 (imagenradio.com.mx, 22-sep-2026) y gastos financieros 1S26 de la hoja Datos.</t>
  </si>
  <si>
    <t>Control: intereses 1S26 anualizados / deuda total 2T26</t>
  </si>
  <si>
    <t>(588 + 582) × 2 / 23,720.6 (deuda bancaria + arrendamientos al 2T26).</t>
  </si>
  <si>
    <t>Diferencia</t>
  </si>
  <si>
    <t>El 10% es consistente con el costo observado del 1S26.</t>
  </si>
  <si>
    <t>Referencia (NO usada): tasa implícita FY2025 = gastos financieros / deuda (WACC!B31)</t>
  </si>
  <si>
    <t>Incluye intereses de deuda ya amortizada en 2025; solo alimenta el WACC a valor de mercado (punto de partida).</t>
  </si>
  <si>
    <t>TRADING COMPS  (múltiplos de empresas públicas comparables)</t>
  </si>
  <si>
    <t>1. GRUPO COMPARABLE: datos CIQ y revisión de comparabilidad</t>
  </si>
  <si>
    <t>Empresa (CIQ)</t>
  </si>
  <si>
    <t>País</t>
  </si>
  <si>
    <t>Industria primaria (CIQ)</t>
  </si>
  <si>
    <t>Modelo de negocio</t>
  </si>
  <si>
    <t>TEV USD mm</t>
  </si>
  <si>
    <t>Ventas LTM USD mm</t>
  </si>
  <si>
    <t>Mg EBITDA</t>
  </si>
  <si>
    <t>Crec. ventas</t>
  </si>
  <si>
    <t>Deuda/ EBITDA</t>
  </si>
  <si>
    <t>Clasificación</t>
  </si>
  <si>
    <t>Incluir (1/0)</t>
  </si>
  <si>
    <t>Razón</t>
  </si>
  <si>
    <t>EV/Ventas LTM</t>
  </si>
  <si>
    <t>EV/EBITDA LTM</t>
  </si>
  <si>
    <t>EV/EBIT LTM</t>
  </si>
  <si>
    <t>P/U LTM</t>
  </si>
  <si>
    <t>P/VL tangible</t>
  </si>
  <si>
    <t>EV/EBITDA NTM</t>
  </si>
  <si>
    <t>P/U NTM</t>
  </si>
  <si>
    <t>Grupo Comercial Chedraui, S.A.B. de C.V. (BMV:CHDRAUI B)</t>
  </si>
  <si>
    <t>Mexico</t>
  </si>
  <si>
    <t>Food Retail</t>
  </si>
  <si>
    <t>Autoservicio multiformato</t>
  </si>
  <si>
    <t>Incluir</t>
  </si>
  <si>
    <t>Par más cercano: mismo formato y país; margen EBITDA (6.4%) y crecimiento (−3.4%) casi iguales a los de Soriana.</t>
  </si>
  <si>
    <t>Grupo Mateus S.A. (BOVESPA:GMAT3)</t>
  </si>
  <si>
    <t>Brazil</t>
  </si>
  <si>
    <t>Consumer Staples Merchandise Retail</t>
  </si>
  <si>
    <t>Supermercados y mayoreo</t>
  </si>
  <si>
    <t>Incluir con reserva</t>
  </si>
  <si>
    <t>Formato comparable; geografía (Brasil) y crecimiento (18.7%) distintos; P/U 4.7x atípico.</t>
  </si>
  <si>
    <t>El Puerto de Liverpool, S.A.B. de C.V. (BMV:LIVEPOL C-1)</t>
  </si>
  <si>
    <t>Broadline Retail</t>
  </si>
  <si>
    <t>Departamentales + crédito + inmobiliario</t>
  </si>
  <si>
    <t>Excluir</t>
  </si>
  <si>
    <t>Industria distinta (Broadline Retail); negocio financiero; margen EBITDA del doble (14.2%).</t>
  </si>
  <si>
    <t>Wal-Mart de México, S.A.B. de C.V. (BMV:WALMEX *)</t>
  </si>
  <si>
    <t>Autoservicio, descuento y club</t>
  </si>
  <si>
    <t>Competidor directo; 12 veces el tamaño de Soriana y líder del mercado (prima de múltiplo).</t>
  </si>
  <si>
    <t>La Comer, S.A.B. de C.V. (BMV:LACOMER UBC)</t>
  </si>
  <si>
    <t>Autoservicio premium</t>
  </si>
  <si>
    <t>Competidor directo; más pequeña, formato premium, más rentable (10.0%) y sin deuda neta.</t>
  </si>
  <si>
    <t>Sendas Distribuidora S.A. (BOVESPA:ASAI3)</t>
  </si>
  <si>
    <t>Mayoreo cash &amp; carry</t>
  </si>
  <si>
    <t>Formato comparable a City Club; Brasil; apalancamiento alto (4.0x) distorsiona P/U.</t>
  </si>
  <si>
    <t>Cencosud S.A. (SNSE:CENCOSUD)</t>
  </si>
  <si>
    <t>Chile</t>
  </si>
  <si>
    <t>Supermercados + mejoramiento del hogar + departamentales + centros comerciales</t>
  </si>
  <si>
    <t>Diversificada (Chile); EBITDA LTM −29.5% infla EV/EBITDA y EV/EBIT.</t>
  </si>
  <si>
    <t>InRetail Perú Corp. (BVL:INRETC1)</t>
  </si>
  <si>
    <t>Peru</t>
  </si>
  <si>
    <t>Supermercados, farmacias, centros comerciales</t>
  </si>
  <si>
    <t>Multiformato (Perú) con negocios no comparables (farmacia, inmobiliario).</t>
  </si>
  <si>
    <t>Fomento Económico Mexicano, S.A.B. de C.V. (BMV:FEMSA UBD)</t>
  </si>
  <si>
    <t>Soft Drinks and Non-alcoholic Beverages</t>
  </si>
  <si>
    <t>Embotellador Coca-Cola + OXXO + salud + combustible</t>
  </si>
  <si>
    <t>Industria distinta (Soft Drinks); P/U 25.9x.</t>
  </si>
  <si>
    <t>Falabella S.A. (SNSE:FALABELLA)</t>
  </si>
  <si>
    <t>Departamentales, mejoramiento del hogar, banca</t>
  </si>
  <si>
    <t>Industria distinta (Broadline Retail); negocio financiero.</t>
  </si>
  <si>
    <t>Organización Soriana, S. A. B. de C. V. (BMV:SORIANA B) - empresa objetivo (no forma parte de la muestra)</t>
  </si>
  <si>
    <t>2. MÉTRICAS DE SORIANA</t>
  </si>
  <si>
    <t>Ventas LTM (mdp)</t>
  </si>
  <si>
    <t>EBIT LTM (mdp)</t>
  </si>
  <si>
    <t>D&amp;A LTM (mdp)</t>
  </si>
  <si>
    <t>EBITDA LTM (mdp) = EBIT + D&amp;A</t>
  </si>
  <si>
    <t>Utilidad neta LTM (mdp)</t>
  </si>
  <si>
    <t>UPA LTM (MXN)</t>
  </si>
  <si>
    <t>(−) Interés minoritario</t>
  </si>
  <si>
    <t>(−) Capital preferente</t>
  </si>
  <si>
    <t>Ajuste neto EV → capital (mdp)</t>
  </si>
  <si>
    <t>MÚLTIPLOS: selección</t>
  </si>
  <si>
    <t>Múltiplo</t>
  </si>
  <si>
    <t>Tipo</t>
  </si>
  <si>
    <t>Métrica de Soriana</t>
  </si>
  <si>
    <t>Usar (1/0)</t>
  </si>
  <si>
    <t>Estado</t>
  </si>
  <si>
    <t>EV</t>
  </si>
  <si>
    <t>Usado</t>
  </si>
  <si>
    <t>P</t>
  </si>
  <si>
    <t>Excluido</t>
  </si>
  <si>
    <t>NA</t>
  </si>
  <si>
    <t>ESTADÍSTICOS DE LA MUESTRA</t>
  </si>
  <si>
    <t>Empresa</t>
  </si>
  <si>
    <t>EV/Ventas</t>
  </si>
  <si>
    <t>EV/EBITDA</t>
  </si>
  <si>
    <t>EV/EBIT</t>
  </si>
  <si>
    <t>PRECIOS IMPLICITOS POR ACCION</t>
  </si>
  <si>
    <t>Estadístico (múltiplo)</t>
  </si>
  <si>
    <t>Precio: EV/Ventas</t>
  </si>
  <si>
    <t>Precio: EV/EBITDA</t>
  </si>
  <si>
    <t>Precio: EV/EBIT</t>
  </si>
  <si>
    <t>Precio: P/U</t>
  </si>
  <si>
    <t>Mínimo</t>
  </si>
  <si>
    <t>Percentil 25</t>
  </si>
  <si>
    <t>Mediana</t>
  </si>
  <si>
    <t>Percentil 75</t>
  </si>
  <si>
    <t>Máximo</t>
  </si>
  <si>
    <t>Detalle a la MEDIA</t>
  </si>
  <si>
    <t>Métrica de Soriana (mdp o MXN/acción)</t>
  </si>
  <si>
    <t>EV implícito (mdp)</t>
  </si>
  <si>
    <t>n.a. (múltiplo de precio)</t>
  </si>
  <si>
    <t>Equity Value implícito (mdp)</t>
  </si>
  <si>
    <t>Precio implícito (MXN/acción)</t>
  </si>
  <si>
    <t>VALOR DE TRADING COMPS</t>
  </si>
  <si>
    <t>TRADING COMPS — precio por acción (MXN)</t>
  </si>
  <si>
    <t>Rango P25 (promedio de precios a P25 de los múltiplos usados)</t>
  </si>
  <si>
    <t>Rango P75 (promedio de precios a P75 de los múltiplos usados)</t>
  </si>
  <si>
    <t>Precio de mercado de referencia (MXN)</t>
  </si>
  <si>
    <t>Potencial vs. precio</t>
  </si>
  <si>
    <t>Número de múltiplos usados</t>
  </si>
  <si>
    <t>VALUACION POR TRANSACCIONES</t>
  </si>
  <si>
    <t>PARÁMETROS DE SELECCIÓN</t>
  </si>
  <si>
    <t>Ventana (años)</t>
  </si>
  <si>
    <t>Inicio de la ventana</t>
  </si>
  <si>
    <t>Geografía de la empresa objetivo</t>
  </si>
  <si>
    <t>México</t>
  </si>
  <si>
    <t>Mínimo de múltiplos por operación</t>
  </si>
  <si>
    <t>2. OPERACIONES (datos CIQ) Y EVALUACIÓN DE CRITERIOS</t>
  </si>
  <si>
    <t>Anunciada</t>
  </si>
  <si>
    <t>ID CIQ</t>
  </si>
  <si>
    <t>Objetivo</t>
  </si>
  <si>
    <t>Comprador</t>
  </si>
  <si>
    <t>Vendedor</t>
  </si>
  <si>
    <t>TEV objetivo (MXN mm)</t>
  </si>
  <si>
    <t>Tamaño (MXN mm)</t>
  </si>
  <si>
    <t>País del objetivo</t>
  </si>
  <si>
    <t>¿Ventana?</t>
  </si>
  <si>
    <t>¿Geografía?</t>
  </si>
  <si>
    <t>¿≥2 múltiplos?</t>
  </si>
  <si>
    <t>¿Control?</t>
  </si>
  <si>
    <t>Industria del objetivo</t>
  </si>
  <si>
    <t>IQTR1859160803</t>
  </si>
  <si>
    <t>Almacenes Éxito S.A.</t>
  </si>
  <si>
    <t>Super Selectos El Salvador</t>
  </si>
  <si>
    <t>Casino, Guichard-Perrachon S.A., Companhia Brasileira De Distribuicao, GÉAnt International B.V., Segisor S.A.S., Helicco Participações Ltda., GPA 2 Empreendimentos E Participacoes LTDA.</t>
  </si>
  <si>
    <t>Colombia</t>
  </si>
  <si>
    <t>Sí</t>
  </si>
  <si>
    <t>Oferta por el control de Éxito; varios vendedores del grupo Casino. Única operación dentro de la ventana (por 15 días).</t>
  </si>
  <si>
    <t>Supermercados / autoservicio (Grupo Éxito)</t>
  </si>
  <si>
    <t>IQTR629442326</t>
  </si>
  <si>
    <t>InRetail Perú Corp.</t>
  </si>
  <si>
    <t>-</t>
  </si>
  <si>
    <t>Nexus Group</t>
  </si>
  <si>
    <t>Perú</t>
  </si>
  <si>
    <t>Dudoso</t>
  </si>
  <si>
    <t>Comprador no identificado; tamaño 4,590 = 3.9% del TEV → probable venta minoritaria o secundaria, no de control. Fuera de la ventana.</t>
  </si>
  <si>
    <t>Supermercados, farmacias y centros comerciales</t>
  </si>
  <si>
    <t>IQTR626096522</t>
  </si>
  <si>
    <t>Sendas Distribuidora S.A.</t>
  </si>
  <si>
    <t>Casino, Guichard-Perrachon S.A.</t>
  </si>
  <si>
    <t>Vendedor Casino y comprador Sendas, ambos del grupo Casino según los datos → posible reestructura intra-grupo. Tamaño 130,645 &gt; TEV 56,675 (dato inconsistente). Fuera de la ventana.</t>
  </si>
  <si>
    <t>Cumplen la ventana</t>
  </si>
  <si>
    <t>Cumplen la geografía</t>
  </si>
  <si>
    <t>Operaciones de control claras</t>
  </si>
  <si>
    <t>Margen EBITDA implícito del objetivo (EV/Ventas ÷ EV/EBITDA)</t>
  </si>
  <si>
    <t>3. ESTADÍSTICOS (operaciones con Incluir = 1) Y PRECIO IMPLÍCITO (mismo puente al 2T26 que Trading Comps)</t>
  </si>
  <si>
    <t>Muestra filtrada (helper)</t>
  </si>
  <si>
    <t>Estadístico</t>
  </si>
  <si>
    <t>Precio EV/Ventas</t>
  </si>
  <si>
    <t>Precio EV/EBITDA</t>
  </si>
  <si>
    <t>Múltiplo (media de la muestra)</t>
  </si>
  <si>
    <t>Métrica de Soriana (mdp, LTM)</t>
  </si>
  <si>
    <t>(+/−) Ajuste neto EV → capital (mdp)</t>
  </si>
  <si>
    <t>4. VALOR DE PRECEDENT TRANSACTIONS</t>
  </si>
  <si>
    <t>Justificación</t>
  </si>
  <si>
    <t>Mismo criterio que Trading Comps.</t>
  </si>
  <si>
    <t>Mismo criterio que Trading Comps: ignora el margen; los márgenes implícitos de los objetivos van de 5.8% a 13.2% (fila de margen implícito).</t>
  </si>
  <si>
    <t>PRECEDENT TRANSACTIONS — precio por acción (MXN)</t>
  </si>
  <si>
    <t>Rango (mín–máx del EV/EBITDA)</t>
  </si>
  <si>
    <t>Solo 1 de 3 operaciones cumple la ventana de 3 años, ninguna la geografía, y 2 tienen carácter de control dudoso. Con n = 3 (o n = 1 dentro de la ventana) el resultado no es estadísticamente defendible. El método se calcula y se muestra como referencia, con peso 0% en la valuación combinada (decisión del proyecto)</t>
  </si>
  <si>
    <t>VALUACIÓN COMBINADA. DCF , Trading Comps y Precedent Transactions.</t>
  </si>
  <si>
    <t>Método</t>
  </si>
  <si>
    <t>Peso aplicado</t>
  </si>
  <si>
    <t>Peso regla de clase</t>
  </si>
  <si>
    <t>Contribución</t>
  </si>
  <si>
    <t>Origen del precio y del peso</t>
  </si>
  <si>
    <t>¿Contribuye?</t>
  </si>
  <si>
    <t>DCF (ValuFlow, precio objetivo a la fecha de valuación)</t>
  </si>
  <si>
    <t>Proyección Final Soriana!B265. Metodología principal existente. Peso: con Transactions en 0%, se conserva la regla de clase de pesos iguales entre los métodos activos (50/50).</t>
  </si>
  <si>
    <t>Trading Comps</t>
  </si>
  <si>
    <t>Trading Comps (sección 5). Metodología complementaria. Peso igual al DCF por la regla de pesos iguales de la diap. 18.</t>
  </si>
  <si>
    <t>Precedent Transactions</t>
  </si>
  <si>
    <t>Precedent Transactions (sección 4). Peso 0% por decisión del proyecto: la muestra no es defendible. El método sigue calculándose.</t>
  </si>
  <si>
    <t>Suma de pesos</t>
  </si>
  <si>
    <t>PRECIO COMBINADO (MXN por acción)</t>
  </si>
  <si>
    <t>Precio de mercado (MXN, 25-sep-2026)</t>
  </si>
  <si>
    <t>Diferencia vs. precio (MXN)</t>
  </si>
  <si>
    <t>Potencial / (baja)</t>
  </si>
  <si>
    <t>Memo: resultado con la regla de clase (⅓ cada método)</t>
  </si>
  <si>
    <t>Solo como referencia de la regla de pesos iguales: incluye la muestra de transacciones no defendible.</t>
  </si>
  <si>
    <t>RANGO POR MÉTODO (MXN por acción)</t>
  </si>
  <si>
    <t>Bajo</t>
  </si>
  <si>
    <t>Central</t>
  </si>
  <si>
    <t>Alto</t>
  </si>
  <si>
    <t>DCF</t>
  </si>
  <si>
    <t>Precedent Transactions (referencia)</t>
  </si>
  <si>
    <t>VALIDACIÓN — controles independientes del modelo integrado</t>
  </si>
  <si>
    <t>Cada control recalcula el resultado por una vía distinta y lo compara con el resultado del modelo. PASS = diferencia dentro de la tolerancia.</t>
  </si>
  <si>
    <t>Convención de colores: amarillo = dato o supuesto capturado (con fuente) · verde = vínculo a otra hoja o archivo fuente · azul = resultado clave · blanco = cálculo.</t>
  </si>
  <si>
    <t>A. TABLA DE ESCENARIOS (valores registrados al recalcular el libro con cada combinación de selectores)</t>
  </si>
  <si>
    <t>Combinación</t>
  </si>
  <si>
    <t>Celda de origen</t>
  </si>
  <si>
    <t>Histórico (Citi + βU 0.80)</t>
  </si>
  <si>
    <t>Base (oficial)</t>
  </si>
  <si>
    <t>Base con βU 0.80</t>
  </si>
  <si>
    <t>Nota</t>
  </si>
  <si>
    <t>Inflación aplicada 2026</t>
  </si>
  <si>
    <t>'Inflación'!B13</t>
  </si>
  <si>
    <t>Valores registrados al construir el libro: se recalcula el modelo completo con cada combinación (tools/excel/scenarios.py). El control "combinación activa = tabla" verifica que el modelo vivo coincide con su columna.</t>
  </si>
  <si>
    <t>βU usada</t>
  </si>
  <si>
    <t>Precio DCF final (MXN)</t>
  </si>
  <si>
    <t>'Proyección Final Soriana'!B265</t>
  </si>
  <si>
    <t>'Proyección Final Soriana'!B263</t>
  </si>
  <si>
    <t>'Proyección Final Soriana'!B245</t>
  </si>
  <si>
    <t>'Proyección Final Soriana'!B126</t>
  </si>
  <si>
    <t>'Proyección Final Soriana'!B221</t>
  </si>
  <si>
    <t>'Proyección Final Soriana'!E219</t>
  </si>
  <si>
    <t>WACC!B33</t>
  </si>
  <si>
    <t>WACC!B29</t>
  </si>
  <si>
    <t>FCF 2030E (mdp)</t>
  </si>
  <si>
    <t>'Proyección Final Soriana'!G117</t>
  </si>
  <si>
    <t>Ventas 2030E (mdp)</t>
  </si>
  <si>
    <t>'Proyección Final Soriana'!G67</t>
  </si>
  <si>
    <t>B. CONTROLES</t>
  </si>
  <si>
    <t>Control</t>
  </si>
  <si>
    <t>Valor del modelo</t>
  </si>
  <si>
    <t>Recalculo independiente / esperado</t>
  </si>
  <si>
    <t>Tolerancia</t>
  </si>
  <si>
    <t>Qué verifica</t>
  </si>
  <si>
    <t>DCF · balance proyectado cuadra 2025A–2030E</t>
  </si>
  <si>
    <t>Activo − pasivo − capital = 0.</t>
  </si>
  <si>
    <t>DCF · WACC &gt; g</t>
  </si>
  <si>
    <t>&gt;0</t>
  </si>
  <si>
    <t>Condición del modelo de Gordon.</t>
  </si>
  <si>
    <t>DCF · iteración del WACC convergió</t>
  </si>
  <si>
    <t>Última variación del WACC.</t>
  </si>
  <si>
    <t>DCF · Σ VP de FCF = SUMPRODUCT(FCF, factor)</t>
  </si>
  <si>
    <t>Descuento de flujos.</t>
  </si>
  <si>
    <t>DCF · factor año 5 = 1/(1+WACC)^5</t>
  </si>
  <si>
    <t>Fórmula de descuento.</t>
  </si>
  <si>
    <t>Valor terminal.</t>
  </si>
  <si>
    <t>DCF · FCF2030 = NOPAT + D&amp;A − Capex − ΔNWC</t>
  </si>
  <si>
    <t>Identidad del FCFF.</t>
  </si>
  <si>
    <t>DCF · Equity 2T26 = EV 2T26 − deuda − arrend. + caja</t>
  </si>
  <si>
    <t>Puente EV → capital.</t>
  </si>
  <si>
    <t>DCF · FCF de 1S26 restado del EV (signo)</t>
  </si>
  <si>
    <t>B257 = −(CFO − Capex) = +1,060.5 porque el FCF de 1S26 fue negativo.</t>
  </si>
  <si>
    <t>DCF · precio = Equity / acciones</t>
  </si>
  <si>
    <t>Precio por acción.</t>
  </si>
  <si>
    <t>DCF · escenario activo = tabla de escenarios</t>
  </si>
  <si>
    <t>El modelo vivo coincide con el valor registrado del escenario seleccionado.</t>
  </si>
  <si>
    <t>El modelo anterior se reproduce exactamente con la trayectoria Citi y la beta heredada.</t>
  </si>
  <si>
    <t>DCF · escenarios ordenados: Cautela &lt; Base &lt; Alcista</t>
  </si>
  <si>
    <t>Con WACC nominal fijo, más inflación → más ventas nominales → más valor (limitación documentada).</t>
  </si>
  <si>
    <t>Beta · control Damodaran: 0.87 desapalancada = 0.65</t>
  </si>
  <si>
    <t>βU = βL / [1 + (1 − t) × D/E] con los datos publicados.</t>
  </si>
  <si>
    <t>WACC!B9 toma la βU seleccionada.</t>
  </si>
  <si>
    <t>Beta · βL de mercado = βU × [1 + (1 − t) × D/E]</t>
  </si>
  <si>
    <t>Reapalancamiento con la estructura de mercado.</t>
  </si>
  <si>
    <t>Beta · βL iterada = βU × [1 + (1 − t) × D/E del DCF]</t>
  </si>
  <si>
    <t>Reapalancamiento con la estructura del DCF.</t>
  </si>
  <si>
    <t>Beta · Ke iterado = Rf + βL × PRM</t>
  </si>
  <si>
    <t>CAPM.</t>
  </si>
  <si>
    <t>Kd · 10% consistente con intereses 1S26 / deuda 2T26 (±0.5 pp)</t>
  </si>
  <si>
    <t>Fuente del comentario de C61 y control con datos observados.</t>
  </si>
  <si>
    <t>Inflación · fila 10 del DCF = inflación aplicada</t>
  </si>
  <si>
    <t>Vínculo de la inflación al modelo.</t>
  </si>
  <si>
    <t>Inflación · Base = modelo trimestral redondeado</t>
  </si>
  <si>
    <t>Base = resultado de modelo.</t>
  </si>
  <si>
    <t>Inflación · modelo trimestral reproduce el Dossier (3.51%)</t>
  </si>
  <si>
    <t>Dossier: 4.0327e^(−0.028x) → 3.51%.</t>
  </si>
  <si>
    <t>Inflación · modelo inmediato reproduce el libro de clase (3.508%)</t>
  </si>
  <si>
    <t>Libro de clase INFLACION!H37.</t>
  </si>
  <si>
    <t>Inflación · construcción de clase S113 (3.268%)</t>
  </si>
  <si>
    <t>Libro de clase INFLACION!S113.</t>
  </si>
  <si>
    <t>Mercado · beta histórica = regresión sin ×10</t>
  </si>
  <si>
    <t>SORIANA!Y2 / 10.</t>
  </si>
  <si>
    <t>Ídem.</t>
  </si>
  <si>
    <t>Comps · media muestra (EV/EBITDA) = SUMPRODUCT / SUM</t>
  </si>
  <si>
    <t>Estadístico recalculado por otra vía.</t>
  </si>
  <si>
    <t>Comps · precio EV/EBITDA recalculado</t>
  </si>
  <si>
    <t>Puente al capital y división entre acciones.</t>
  </si>
  <si>
    <t>Comps · valor = promedio de 3 precios a la media</t>
  </si>
  <si>
    <t>Regla de agregación de la diap. 9.</t>
  </si>
  <si>
    <t>Comps · n de la muestra = 7</t>
  </si>
  <si>
    <t>Muestra depurada.</t>
  </si>
  <si>
    <t>Transactions · media EV/EBITDA ≈ media publicada por CIQ (7.6x)</t>
  </si>
  <si>
    <t>Transcripción correcta.</t>
  </si>
  <si>
    <t>Transactions · media EV/Ventas ≈ media publicada por CIQ (0.7x)</t>
  </si>
  <si>
    <t>Combinada · pesos suman 100%</t>
  </si>
  <si>
    <t>Pesos trazables.</t>
  </si>
  <si>
    <t>Combinada · precio = Σ peso × precio (recalculo)</t>
  </si>
  <si>
    <t>Combinación lineal con pesos que suman 100%.</t>
  </si>
  <si>
    <t>Transactions · precio EV/EBITDA = (múltiplo × EBITDA + ajuste) / acciones</t>
  </si>
  <si>
    <t>Mismo puente que Trading Comps.</t>
  </si>
  <si>
    <t>Transactions · equity implícito = EV + ajuste</t>
  </si>
  <si>
    <t>Detalle a la media.</t>
  </si>
  <si>
    <t>Comps · equity implícito (EV/EBITDA) = EV + ajuste</t>
  </si>
  <si>
    <t>Combinada · Transactions con peso 0%</t>
  </si>
  <si>
    <t>Decisión del proyecto.</t>
  </si>
  <si>
    <t>RESUMEN</t>
  </si>
  <si>
    <t>FUENTES — registro de insumos del modelo integrado</t>
  </si>
  <si>
    <t>Tipo: Observado (dato publicado) · Modelo (resultado de un modelo) · Supuesto (decisión del analista con sustento) · Referencia (comparación, no escenario) · Pendiente (input heredado sin fuente verificada).</t>
  </si>
  <si>
    <t>Insumo</t>
  </si>
  <si>
    <t>Dónde se usa</t>
  </si>
  <si>
    <t>Unidad / moneda</t>
  </si>
  <si>
    <t>Inflación INPC quincenal</t>
  </si>
  <si>
    <t>Inflación!A60:B172</t>
  </si>
  <si>
    <t>113 obs.</t>
  </si>
  <si>
    <t>07-oct-2026</t>
  </si>
  <si>
    <t>% anual</t>
  </si>
  <si>
    <t>Observado</t>
  </si>
  <si>
    <t>Banco de México, serie SP74833 (vía MODELO DE INFLACION EN LA VALUACION DE EMPRESAS.xlsx)</t>
  </si>
  <si>
    <t>Escenario Base 3.51%</t>
  </si>
  <si>
    <t>Inflación!B48</t>
  </si>
  <si>
    <t>3.51%</t>
  </si>
  <si>
    <t>Modelo exponencial trimestral de clase (calculado en Inflación!33)</t>
  </si>
  <si>
    <t>Escenario Cautela 3.26%</t>
  </si>
  <si>
    <t>Inflación!B47</t>
  </si>
  <si>
    <t>3.26%</t>
  </si>
  <si>
    <t>Supuesto</t>
  </si>
  <si>
    <t>Escenario derivado de la tendencia larga: Dossier de Soriana / Avances; construcción de clase más cercana Inflación!G36 (3.268%)</t>
  </si>
  <si>
    <t>Escenario Alcista 4.00%</t>
  </si>
  <si>
    <t>Inflación!B49</t>
  </si>
  <si>
    <t>4.00%</t>
  </si>
  <si>
    <t>Supuesto de escenario de Avances de valuación intrínseca (no es pronóstico estadístico)</t>
  </si>
  <si>
    <t>Trayectoria Citi 2026–2030 — Referencia</t>
  </si>
  <si>
    <t>Inflación!B9:F9</t>
  </si>
  <si>
    <t>3.93/3.83/3.75%</t>
  </si>
  <si>
    <t>22-sep-2026</t>
  </si>
  <si>
    <t>Referencia</t>
  </si>
  <si>
    <t>Encuesta Citi de Expectativas (comentario original de Proyección Final!C10). Referencia histórica del modelo anterior; no es escenario.</t>
  </si>
  <si>
    <t>Beta desapalancada sectorial (βU)</t>
  </si>
  <si>
    <t>ene-2026</t>
  </si>
  <si>
    <t>x</t>
  </si>
  <si>
    <t>Beta heredada (histórico)</t>
  </si>
  <si>
    <t>'Beta y Kd'!B26</t>
  </si>
  <si>
    <t>0.80</t>
  </si>
  <si>
    <t>Excel anterior / Material Maestro; solo para reproducir el baseline $31.16.</t>
  </si>
  <si>
    <t>Kd antes de impuestos (iteración)</t>
  </si>
  <si>
    <t>Proyección Final!C61</t>
  </si>
  <si>
    <t>10.00%</t>
  </si>
  <si>
    <t>%</t>
  </si>
  <si>
    <t>Comentario original de C61: Encuesta Citi (tasa Banxico 6.50% a fin de 2026 y 2027) y gastos financieros 1S26. Control: intereses 1S26 anualizados / deuda 2T26 = 9.87% ('Beta y Kd'!B58).</t>
  </si>
  <si>
    <t>Rf Bono M 10 años</t>
  </si>
  <si>
    <t>WACC!B5</t>
  </si>
  <si>
    <t>9.517%</t>
  </si>
  <si>
    <t>WACC!B6</t>
  </si>
  <si>
    <t>4.23%</t>
  </si>
  <si>
    <t>Crecimiento perpetuo g</t>
  </si>
  <si>
    <t>Proyección Final!B123</t>
  </si>
  <si>
    <t>3.50%</t>
  </si>
  <si>
    <t>Múltiplos de comparables</t>
  </si>
  <si>
    <t>10 empresas</t>
  </si>
  <si>
    <t>30-jun-2026</t>
  </si>
  <si>
    <t>S&amp;P Capital IQ, MULTIPLOS DE SORIANA Y COMPETIDORES.xls</t>
  </si>
  <si>
    <t>Transacciones</t>
  </si>
  <si>
    <t>3 operaciones</t>
  </si>
  <si>
    <t>x / MXN mm</t>
  </si>
  <si>
    <t>S&amp;P Capital IQ, TRANSACCIONES INDUSTRIA RETAIL.xls</t>
  </si>
  <si>
    <t>Métricas LTM y balance 2T26 de Soriana</t>
  </si>
  <si>
    <t>Trading Comps sección 2</t>
  </si>
  <si>
    <t>mdp</t>
  </si>
  <si>
    <t>MXN</t>
  </si>
  <si>
    <t>Hoja Datos (reportes trimestrales de Soriana)</t>
  </si>
  <si>
    <t>Pesos de la combinada</t>
  </si>
  <si>
    <t>Valuación Combinada!C6:C8</t>
  </si>
  <si>
    <t>50/50/0</t>
  </si>
  <si>
    <t>NOTAS METODOLÓGICAS</t>
  </si>
  <si>
    <t>DCF principal: el DCF de ValuFlow (Proyección Final Soriana): descuento de fin de periodo, valor terminal 50% Gordon / 50% múltiplo de salida, WACC iterado al valor DCF y traslado a la fecha de valuación.</t>
  </si>
  <si>
    <t>Referencia de Capital IQ (no reemplaza el DCF principal): la metodología de clase de CIQ usa convención de medio año (mid-year) y valor terminal por múltiplo de salida. Se documenta solo como referencia metodológica.</t>
  </si>
  <si>
    <t>Trading Comps y Precedent Transactions: metodología de la presentación de clase (CIQ Valuations): 6 estadísticos, percentiles inclusivos, puente EV → capital, NM/NA y promedio de precios implícitos a la media.</t>
  </si>
  <si>
    <t>Valuación combinada: DCF 50% + Trading Comps 50% + Precedent Transactions 0% (referencia). Los pesos son editables y deben sumar 100%.</t>
  </si>
  <si>
    <t>BETA DESAPALANCADA USADA EN EL WACC (βU) — corregida por caja (Damodaran 0.69)</t>
  </si>
  <si>
    <t>βU Damodaran 0.69 (corregida por caja)</t>
  </si>
  <si>
    <t>Tasa de impuestos para el escudo fiscal y el reapalancamiento (ISR marginal)</t>
  </si>
  <si>
    <t>Beta · βU usada = Damodaran global corregida por caja (selector oficial)</t>
  </si>
  <si>
    <t>Referencia Citi (βU 0.69)</t>
  </si>
  <si>
    <t>WACC!B9 ← 'Beta y Kd'!B19</t>
  </si>
  <si>
    <t>Damodaran, Betas by Sector (Global), ene-2026, Retail (Grocery and Food): βL 0.87, D/E 45.96%, t marginal 25.37% → βU 0.65; Cash/Firm value 5.81% → βU corregida por caja 0.69 (usada, porque se reapalanca con deuda bruta). https://pages.stern.nyu.edu/~adamodar/New_Home_Page/datafile/BetasGlobal.html</t>
  </si>
  <si>
    <t>FCF 2030E normalizado para el valor terminal (capex = D&amp;A) = NOPAT − ΔNWC</t>
  </si>
  <si>
    <t>Tasa de impuestos — efectiva FY2025 (sustituye la tendencia lineal de MC)</t>
  </si>
  <si>
    <t>Margen EBIT — mínimos cuadrados ajustado por variables externas</t>
  </si>
  <si>
    <t>DCF · VT Gordon = FCF normalizado 2030 (NOPAT − ΔNWC) × (1+g) / (WACC − g)</t>
  </si>
  <si>
    <t>Beta y Kd'!B19</t>
  </si>
  <si>
    <t>Valuación Combinada'!B9</t>
  </si>
  <si>
    <t>DCF · baseline histórico (Citi + βU 0.80) reproducible (registrado tras las correcciones)</t>
  </si>
  <si>
    <t>Ventas por mínimos cuadrados (regresión solo 2026E; 2027E–2030E crecen con la inflación)</t>
  </si>
  <si>
    <t>Cierre del Bono M 10 años el 25-sep-2026 (misma fecha que el precio de Soriana, WACC!B14): 9.517%. Fuente consultada: Investing.com, histórico Mexico 10Y (no oficial); confirmar en Banxico SIE (vector de precios de valores gubernamentales). Al usar el Bono M en pesos, el Rf ya incorpora el riesgo soberano de México.</t>
  </si>
  <si>
    <t>Damodaran, Historical Implied Equity Risk Premiums (ene-2026): ERP implícita del S&amp;P 500 = 4.23%. La prima país México (2.46%, Damodaran Country Risk Premiums, 5-ene-2026) queda solo como referencia en WACC!B7 para no duplicar el riesgo país ya incluido en el Rf en pesos.</t>
  </si>
  <si>
    <t>g nominal = inflación de largo plazo (escenario Base 3.51%, Inflación!B48; meta de Banxico 3% ±1 pp) → crecimiento real ≈ 0%, prudente para un autoservicio maduro con ventas a la baja. g &lt; Rf (9.52%) y g &lt; WACC; FCF terminal normalizado con capex = D&amp;A (Proyección Final!B127).</t>
  </si>
  <si>
    <t>Pesos iguales entre métodos activos (diap. 18). Precedent Transactions = 0%: solo 3 operaciones, incluyen prima de control (precio implícito $40.73, +22% vs. mercado) y no representan el valor de una participación minoritaria bursátil; se muestra como techo de referencia.</t>
  </si>
  <si>
    <t>CONCILIACIÓN CON EL WACC OFICIAL DEL DCF</t>
  </si>
  <si>
    <t>WACC oficial (iterado al valor DCF, Kd prospectivo) — usado en la valuación</t>
  </si>
  <si>
    <t>WACC de referencia a valor de mercado (esta hoja, Kd histórico)</t>
  </si>
  <si>
    <t>Diferencia (referencia − oficial)</t>
  </si>
  <si>
    <t>Kd histórico FY2025 = gastos financieros / deuda</t>
  </si>
  <si>
    <t>Kd prospectivo usado en el DCF</t>
  </si>
  <si>
    <t>Kd implícito 1S26 = (intereses 1T26 + 2T26) × 2 / deuda</t>
  </si>
  <si>
    <t>Lectura: el WACC oficial es el iterado. El de esta hoja usa pesos de mercado y el Kd de 2025 (tasas más altas); el Kd implícito del 1S26 respalda el 10% prospectivo.</t>
  </si>
  <si>
    <t>25-sep-2026</t>
  </si>
  <si>
    <t>oct-2026</t>
  </si>
  <si>
    <t>Comps · 10 empresas con EV/EBITDA y P/U transcritos de CIQ (20 cifras)</t>
  </si>
  <si>
    <t>Integridad de la transcripción: las 10 empresas de Multiplos!A5:A14 tienen EV/EBITDA y P/U LTM capturados del archivo CIQ (MULTIPLOS DE SORIANA Y COMPETIDORES.xls).</t>
  </si>
  <si>
    <t>Comps · media muestra (P/U) = SUMPRODUCT / SUM</t>
  </si>
  <si>
    <t>Estadístico recalculado por otra vía (igual que el control de EV/EBITDA).</t>
  </si>
  <si>
    <t>Referencia externa (informativa, no cuenta en el resumen) · EV/EBITDA media muestra vs. supermercados CIQ 2T26</t>
  </si>
  <si>
    <t>Seale &amp; Associates con datos de Capital IQ, 30-jun-2026, 9 supermercados (grupo distinto a nuestras 10 empresas): solo prueba de razonabilidad (±25%), no se presenta como la media CIQ de nuestra muestra.</t>
  </si>
  <si>
    <t>39 controles internos. La fila 62 compara contra una referencia sectorial externa de CIQ solo como razonabilidad.</t>
  </si>
  <si>
    <t>VALUACIÓN POR TRANSACCIONES PRECEDENTES — Muestra LSEG/SDC (screen del 19-oct-2026) vs. modelo y consenso de analistas</t>
  </si>
  <si>
    <t>1. PROCEDIMIENTO DE SELECCIÓN (metodología S&amp;P, art. 000045604, p. 9)</t>
  </si>
  <si>
    <t>Paso</t>
  </si>
  <si>
    <t>Criterio</t>
  </si>
  <si>
    <t>Resultado con la base SDC</t>
  </si>
  <si>
    <t>Búsqueda inicial</t>
  </si>
  <si>
    <t>M&amp;A de los últimos 3 años, misma industria (autoservicio) y geografía (México)</t>
  </si>
  <si>
    <t>0 operaciones: solo aparece FEMSA como comprador (Delek, objetivo en EE.UU.) y Nutrisa, ambas sin múltiplos</t>
  </si>
  <si>
    <t>Datos mínimos</t>
  </si>
  <si>
    <t>Al menos 2 múltiplos de valor de la transacción por operación</t>
  </si>
  <si>
    <t>Se descartan operaciones con 0–1 múltiplos (p. ej. Rimi Baltic, Carrefour Italia, Atacadão)</t>
  </si>
  <si>
    <t>Primera ampliación</t>
  </si>
  <si>
    <t>Subir un nivel en la industria (Retail: Food &amp; Beverage + Department Store)</t>
  </si>
  <si>
    <t>Sigue sin operaciones mexicanas con múltiplos</t>
  </si>
  <si>
    <t>Segunda ampliación</t>
  </si>
  <si>
    <t>Eliminar el filtro geográfico → operaciones globales</t>
  </si>
  <si>
    <t>Se usa la muestra global; se filtran objetivos de supermercados/autoservicio y se excluyen recompras propias, restaurantes y Rusia</t>
  </si>
  <si>
    <t>Filtro adicional (juicio)</t>
  </si>
  <si>
    <t>Cambio de control o participación estratégica relevante; dentro de la ventana</t>
  </si>
  <si>
    <t>Incluir = 1 solo si cumple ventana, ≥2 múltiplos y es una adquisición real (no recompra)</t>
  </si>
  <si>
    <t>2. OPERACIONES DE LA BASE LSEG/SDC (objetivos de autoservicio) Y EVALUACIÓN DE CRITERIOS</t>
  </si>
  <si>
    <t>Deal # SDC</t>
  </si>
  <si>
    <t>País objetivo</t>
  </si>
  <si>
    <t>EV (USD mm)</t>
  </si>
  <si>
    <t>P/E</t>
  </si>
  <si>
    <t># múltiplos</t>
  </si>
  <si>
    <t>¿≥2 múlt.?</t>
  </si>
  <si>
    <t>Almacenes Éxito SA</t>
  </si>
  <si>
    <t>Grupo Calleja (Selectos)</t>
  </si>
  <si>
    <t>OPA por el control; vendedor grupo Casino. Misma operación que la muestra CIQ.</t>
  </si>
  <si>
    <t>Profi Rom Food Srl</t>
  </si>
  <si>
    <t>Koninklijke Ahold Delhaize</t>
  </si>
  <si>
    <t>Rumania</t>
  </si>
  <si>
    <t>Compra del 100%; múltiplo alto (crecimiento y sinergias) → atípico estadístico.</t>
  </si>
  <si>
    <t>Lawson Inc</t>
  </si>
  <si>
    <t>KDDI Corp</t>
  </si>
  <si>
    <t>Japón</t>
  </si>
  <si>
    <t>OPA; control conjunto 50/50 con Mitsubishi. Tiendas de conveniencia.</t>
  </si>
  <si>
    <t>Kansai Food Market</t>
  </si>
  <si>
    <t>H2O Retailing</t>
  </si>
  <si>
    <t>OPA para consolidar el control del supermercado.</t>
  </si>
  <si>
    <t>Yonghui Superstores</t>
  </si>
  <si>
    <t>Miniso (vía filial Guangzhou)</t>
  </si>
  <si>
    <t>China</t>
  </si>
  <si>
    <t>Participación estratégica (~29%), queda como mayor accionista; control dudoso.</t>
  </si>
  <si>
    <t>Sun Art Retail Group</t>
  </si>
  <si>
    <t>Paragon Shine (DCP Capital)</t>
  </si>
  <si>
    <t>Hong Kong</t>
  </si>
  <si>
    <t>Compra de control a Alibaba con descuento (prima 1 día −44%): operación en dificultad.</t>
  </si>
  <si>
    <t>METRO AG</t>
  </si>
  <si>
    <t>EP Global Commerce</t>
  </si>
  <si>
    <t>Alemania</t>
  </si>
  <si>
    <t>Oferta de control/exclusión de bolsa (prima 1 día +39%). Mayoreo de alimentos.</t>
  </si>
  <si>
    <t>Seiyu Co Ltd</t>
  </si>
  <si>
    <t>Trial Holdings</t>
  </si>
  <si>
    <t>Compra de control (vendedor KKR/Walmart). Sin EV/EBITDA; P/E distorsionado.</t>
  </si>
  <si>
    <t>Seven &amp; i Holdings</t>
  </si>
  <si>
    <t>Recompra propia: no hay cambio de control.</t>
  </si>
  <si>
    <t>Carrefour SA</t>
  </si>
  <si>
    <t>Francia</t>
  </si>
  <si>
    <t>J Sainsbury PLC</t>
  </si>
  <si>
    <t>Reino Unido</t>
  </si>
  <si>
    <t>Magnit PJSC</t>
  </si>
  <si>
    <t>Rusia</t>
  </si>
  <si>
    <t>Recompra propia en mercado con sanciones.</t>
  </si>
  <si>
    <t>Gorodskoi Supermarket OOO</t>
  </si>
  <si>
    <t>Tander AO (Magnit)</t>
  </si>
  <si>
    <t>Rusia: valuaciones distorsionadas por sanciones.</t>
  </si>
  <si>
    <t>Chongqing Department Store</t>
  </si>
  <si>
    <t>Inversionista financiero (China)</t>
  </si>
  <si>
    <t>Formato mixto departamental; participación minoritaria, no de control.</t>
  </si>
  <si>
    <t>Inageya Co Ltd</t>
  </si>
  <si>
    <t>AEON Co Ltd</t>
  </si>
  <si>
    <t>Fuera de la ventana de 3 años.</t>
  </si>
  <si>
    <t>Casino Guichard-Perrachon</t>
  </si>
  <si>
    <t>Investor Group (Kretinsky)</t>
  </si>
  <si>
    <t>Fuera de la ventana; reestructura de deuda.</t>
  </si>
  <si>
    <t>Dia Portugal Supermercados</t>
  </si>
  <si>
    <t>Auchan Retail Portugal</t>
  </si>
  <si>
    <t>Portugal</t>
  </si>
  <si>
    <t>Fuera de la ventana; EBITDA deprimido (46.8x).</t>
  </si>
  <si>
    <t>Rimi Baltic AB</t>
  </si>
  <si>
    <t>Salling Group A/S</t>
  </si>
  <si>
    <t>Letonia</t>
  </si>
  <si>
    <t>Solo 1 múltiplo disponible.</t>
  </si>
  <si>
    <t>3. ESTADÍSTICOS (operaciones con Incluir = 1) Y PRECIO IMPLÍCITO — mismo puente EV → capital y acciones que Trading Comps</t>
  </si>
  <si>
    <t>Precio implícito EV/EBITDA (MXN)</t>
  </si>
  <si>
    <t>Potencial vs. mercado</t>
  </si>
  <si>
    <t>Límite de atípicos (P75 + 1.5 × RIC)</t>
  </si>
  <si>
    <t>Media sin atípicos</t>
  </si>
  <si>
    <t>n (observaciones)</t>
  </si>
  <si>
    <t>4. TRIANGULACIÓN: MODELO, TRANSACCIONES Y OPINIÓN DE LOS EXPERTOS</t>
  </si>
  <si>
    <t>Fuente / método</t>
  </si>
  <si>
    <t>Precio (MXN)</t>
  </si>
  <si>
    <t>DCF (ValuFlow)</t>
  </si>
  <si>
    <t>Valor intrínseco: ligeramente por debajo del mercado.</t>
  </si>
  <si>
    <t>Prácticamente igual al precio de mercado.</t>
  </si>
  <si>
    <t>Transacciones CIQ (hoja Transacciones, media, n = 3)</t>
  </si>
  <si>
    <t>Muestra no defendible (1 de 3 en ventana); incluye prima de control.</t>
  </si>
  <si>
    <t>Transacciones SDC — mediana (n = 7)</t>
  </si>
  <si>
    <t>Estadístico central robusto: ningún comprador pagaría el precio actual con esta muestra.</t>
  </si>
  <si>
    <t>Transacciones SDC — media sin atípicos</t>
  </si>
  <si>
    <t>Excluye Profi Rom (21.3x); confirma valor por debajo del mercado.</t>
  </si>
  <si>
    <t>Consenso de analistas (precio objetivo)</t>
  </si>
  <si>
    <t>Valuación combinada del proyecto (DCF 50% / Comps 50%)</t>
  </si>
  <si>
    <t>Valor de referencia del proyecto.</t>
  </si>
  <si>
    <t>Sensibilidad: DCF, Comps y Transacciones SDC (mediana) a ⅓</t>
  </si>
  <si>
    <t>Si se diera peso a transacciones con la nueva muestra.</t>
  </si>
  <si>
    <t>Precio de mercado (25-sep-2026)</t>
  </si>
  <si>
    <t>5. CONCLUSIÓN, VALUACIÓN Y RECOMENDACIÓN</t>
  </si>
  <si>
    <t>Umbral para COMPRAR (potencial mayor a)</t>
  </si>
  <si>
    <t>Umbral para VENDER (potencial menor a)</t>
  </si>
  <si>
    <t>Precio objetivo (valuación combinada)</t>
  </si>
  <si>
    <t>Potencial / (baja) vs. mercado</t>
  </si>
  <si>
    <t>Recomendación según el modelo</t>
  </si>
  <si>
    <t>Recomendación de los expertos</t>
  </si>
  <si>
    <t>Rango de valor razonable — bajo (mín. de DCF, Comps y SDC sin atípicos)</t>
  </si>
  <si>
    <t>Rango de valor razonable — alto</t>
  </si>
  <si>
    <t>Precio objetivo de consenso de analistas</t>
  </si>
  <si>
    <t>Cifras de las operaciones en USD mm; múltiplos en veces (x); precios en MXN por acción. Fuente: LSEG/SDC, screen del 19-oct-2026.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</si>
</sst>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#,##0.0;\(#,##0.0\);\-"/>
    <numFmt numFmtId="165" formatCode="\$#,##0.00"/>
    <numFmt numFmtId="166" formatCode="0.0%;\(0.0%\);\-"/>
    <numFmt numFmtId="167" formatCode="0.00\x"/>
    <numFmt numFmtId="168" formatCode="0.0%"/>
    <numFmt numFmtId="169" formatCode="0.0"/>
    <numFmt numFmtId="170" formatCode="#,##0.0"/>
    <numFmt numFmtId="171" formatCode="\$#,##0.0000"/>
    <numFmt numFmtId="172" formatCode="0.0%;\(0.0%\)"/>
    <numFmt numFmtId="173" formatCode="0.000"/>
    <numFmt numFmtId="174" formatCode="0.000\x"/>
    <numFmt numFmtId="175" formatCode="0.0000"/>
    <numFmt numFmtId="176" formatCode="\$#,##0.00;&quot;($&quot;#,##0.00\);\-"/>
    <numFmt numFmtId="177" formatCode="0.00%;\(0.00%\);\-"/>
    <numFmt numFmtId="178" formatCode="0.0;\(0.0\);0.0"/>
    <numFmt numFmtId="179" formatCode="#,##0;\(#,##0\);\-"/>
    <numFmt numFmtId="180" formatCode="\$0.00"/>
    <numFmt numFmtId="181" formatCode="0.0\x"/>
    <numFmt numFmtId="182" formatCode="dd\-mmm\-yyyy"/>
    <numFmt numFmtId="183" formatCode="0.000000"/>
    <numFmt numFmtId="184" formatCode="0.0000%"/>
    <numFmt numFmtId="185" formatCode="0.00000"/>
    <numFmt numFmtId="186" formatCode="mmm\-yyyy"/>
    <numFmt numFmtId="187" formatCode="0.000000000"/>
    <numFmt numFmtId="188" formatCode="0.00&quot;x&quot;"/>
    <numFmt numFmtId="189" formatCode="&quot;$&quot;#,##0.00"/>
  </numFmts>
  <fonts count="4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4"/>
      <color theme="1"/>
      <name val="Calibri"/>
      <family val="2"/>
      <charset val="1"/>
    </font>
    <font>
      <i/>
      <sz val="9"/>
      <color theme="1"/>
      <name val="Calibri"/>
      <family val="2"/>
      <charset val="1"/>
    </font>
    <font>
      <sz val="11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14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4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1"/>
      <name val="Aptos Narrow"/>
      <family val="2"/>
      <charset val="1"/>
    </font>
    <font>
      <sz val="11"/>
      <name val="Aptos Narrow"/>
      <family val="2"/>
      <charset val="1"/>
    </font>
    <font>
      <b/>
      <sz val="14"/>
      <color rgb="FF00276F"/>
      <name val="Cambria"/>
      <family val="1"/>
    </font>
    <font>
      <i/>
      <sz val="9"/>
      <color rgb="FF5D5D60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mbria"/>
      <family val="1"/>
    </font>
    <font>
      <b/>
      <sz val="10"/>
      <color rgb="FF000000"/>
      <name val="Cambria"/>
      <family val="1"/>
    </font>
    <font>
      <i/>
      <sz val="9"/>
      <color rgb="FF000000"/>
      <name val="Cambria"/>
      <family val="1"/>
    </font>
    <font>
      <b/>
      <sz val="11"/>
      <color rgb="FF000000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i/>
      <sz val="9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89013336588644"/>
        <bgColor rgb="FFD8E3F8"/>
      </patternFill>
    </fill>
    <fill>
      <patternFill patternType="solid">
        <fgColor rgb="FFFFFF00"/>
        <bgColor rgb="FFFFFF00"/>
      </patternFill>
    </fill>
    <fill>
      <patternFill patternType="solid">
        <fgColor rgb="FF0039A6"/>
        <bgColor rgb="FF00276F"/>
      </patternFill>
    </fill>
    <fill>
      <patternFill patternType="solid">
        <fgColor rgb="FFFFF2CC"/>
        <bgColor rgb="FFE2EFDA"/>
      </patternFill>
    </fill>
    <fill>
      <patternFill patternType="solid">
        <fgColor rgb="FFEEF3FC"/>
        <bgColor rgb="FFFFFFFF"/>
      </patternFill>
    </fill>
    <fill>
      <patternFill patternType="solid">
        <fgColor rgb="FFD8E3F8"/>
        <bgColor rgb="FFDAE3F3"/>
      </patternFill>
    </fill>
    <fill>
      <patternFill patternType="solid">
        <fgColor rgb="FFE2EFDA"/>
        <bgColor rgb="FFDAE3F3"/>
      </patternFill>
    </fill>
    <fill>
      <patternFill patternType="solid">
        <fgColor theme="0"/>
        <bgColor rgb="FF00276F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167" fontId="4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3" fontId="4" fillId="0" borderId="1" xfId="0" applyNumberFormat="1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170" fontId="2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70" fontId="8" fillId="0" borderId="2" xfId="0" applyNumberFormat="1" applyFont="1" applyBorder="1" applyAlignment="1">
      <alignment horizontal="center"/>
    </xf>
    <xf numFmtId="17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72" fontId="4" fillId="0" borderId="1" xfId="0" applyNumberFormat="1" applyFont="1" applyBorder="1" applyAlignment="1">
      <alignment horizontal="center"/>
    </xf>
    <xf numFmtId="173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9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174" fontId="4" fillId="0" borderId="1" xfId="0" applyNumberFormat="1" applyFont="1" applyBorder="1" applyAlignment="1">
      <alignment horizontal="center"/>
    </xf>
    <xf numFmtId="0" fontId="10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75" fontId="4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76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73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5" fontId="4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75" fontId="2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77" fontId="8" fillId="2" borderId="1" xfId="0" applyNumberFormat="1" applyFont="1" applyFill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177" fontId="14" fillId="2" borderId="1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9" fontId="18" fillId="0" borderId="1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75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180" fontId="14" fillId="3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0" xfId="0" applyFont="1"/>
    <xf numFmtId="181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182" fontId="8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1" fillId="4" borderId="0" xfId="0" applyFont="1" applyFill="1"/>
    <xf numFmtId="0" fontId="0" fillId="4" borderId="0" xfId="0" applyFill="1"/>
    <xf numFmtId="0" fontId="22" fillId="0" borderId="0" xfId="0" applyFont="1"/>
    <xf numFmtId="0" fontId="22" fillId="6" borderId="0" xfId="0" applyFont="1" applyFill="1" applyAlignment="1">
      <alignment vertical="top" wrapText="1"/>
    </xf>
    <xf numFmtId="175" fontId="0" fillId="0" borderId="0" xfId="0" applyNumberFormat="1"/>
    <xf numFmtId="183" fontId="0" fillId="0" borderId="0" xfId="0" applyNumberFormat="1"/>
    <xf numFmtId="173" fontId="0" fillId="0" borderId="0" xfId="0" applyNumberFormat="1"/>
    <xf numFmtId="175" fontId="0" fillId="8" borderId="0" xfId="0" applyNumberFormat="1" applyFill="1"/>
    <xf numFmtId="185" fontId="0" fillId="0" borderId="0" xfId="0" applyNumberFormat="1"/>
    <xf numFmtId="182" fontId="0" fillId="8" borderId="0" xfId="0" applyNumberFormat="1" applyFill="1"/>
    <xf numFmtId="2" fontId="0" fillId="8" borderId="0" xfId="0" applyNumberFormat="1" applyFill="1"/>
    <xf numFmtId="186" fontId="0" fillId="8" borderId="0" xfId="0" applyNumberFormat="1" applyFill="1"/>
    <xf numFmtId="173" fontId="0" fillId="8" borderId="0" xfId="0" applyNumberFormat="1" applyFill="1"/>
    <xf numFmtId="175" fontId="0" fillId="7" borderId="0" xfId="0" applyNumberFormat="1" applyFill="1"/>
    <xf numFmtId="10" fontId="0" fillId="8" borderId="0" xfId="0" applyNumberFormat="1" applyFill="1"/>
    <xf numFmtId="170" fontId="0" fillId="8" borderId="0" xfId="0" applyNumberFormat="1" applyFill="1"/>
    <xf numFmtId="171" fontId="0" fillId="8" borderId="0" xfId="0" applyNumberFormat="1" applyFill="1"/>
    <xf numFmtId="184" fontId="0" fillId="8" borderId="0" xfId="0" applyNumberFormat="1" applyFill="1"/>
    <xf numFmtId="187" fontId="0" fillId="0" borderId="0" xfId="0" applyNumberFormat="1"/>
    <xf numFmtId="0" fontId="23" fillId="0" borderId="0" xfId="0" applyFont="1"/>
    <xf numFmtId="0" fontId="23" fillId="0" borderId="0" xfId="0" applyFont="1" applyAlignment="1">
      <alignment vertical="top" wrapText="1"/>
    </xf>
    <xf numFmtId="165" fontId="23" fillId="0" borderId="0" xfId="0" applyNumberFormat="1" applyFont="1"/>
    <xf numFmtId="1" fontId="23" fillId="0" borderId="0" xfId="0" applyNumberFormat="1" applyFont="1"/>
    <xf numFmtId="0" fontId="24" fillId="0" borderId="0" xfId="0" applyFont="1"/>
    <xf numFmtId="0" fontId="25" fillId="0" borderId="0" xfId="0" applyFont="1"/>
    <xf numFmtId="0" fontId="23" fillId="9" borderId="0" xfId="0" applyFont="1" applyFill="1"/>
    <xf numFmtId="0" fontId="23" fillId="10" borderId="0" xfId="0" applyFont="1" applyFill="1"/>
    <xf numFmtId="0" fontId="24" fillId="0" borderId="0" xfId="0" applyFont="1" applyAlignment="1">
      <alignment vertical="top" wrapText="1"/>
    </xf>
    <xf numFmtId="0" fontId="23" fillId="0" borderId="0" xfId="0" applyFont="1" applyAlignment="1">
      <alignment horizontal="left" vertical="center"/>
    </xf>
    <xf numFmtId="167" fontId="23" fillId="0" borderId="0" xfId="0" applyNumberFormat="1" applyFont="1" applyAlignment="1">
      <alignment horizontal="left" vertical="center"/>
    </xf>
    <xf numFmtId="0" fontId="27" fillId="0" borderId="0" xfId="0" applyFont="1"/>
    <xf numFmtId="0" fontId="0" fillId="0" borderId="6" xfId="0" applyBorder="1"/>
    <xf numFmtId="10" fontId="0" fillId="0" borderId="6" xfId="0" applyNumberFormat="1" applyBorder="1"/>
    <xf numFmtId="0" fontId="22" fillId="0" borderId="6" xfId="0" applyFont="1" applyBorder="1"/>
    <xf numFmtId="0" fontId="22" fillId="0" borderId="6" xfId="0" applyFont="1" applyBorder="1" applyAlignment="1">
      <alignment vertical="top" wrapText="1"/>
    </xf>
    <xf numFmtId="10" fontId="22" fillId="0" borderId="6" xfId="0" applyNumberFormat="1" applyFont="1" applyBorder="1"/>
    <xf numFmtId="0" fontId="22" fillId="5" borderId="6" xfId="0" applyFont="1" applyFill="1" applyBorder="1"/>
    <xf numFmtId="0" fontId="28" fillId="0" borderId="0" xfId="0" applyFont="1"/>
    <xf numFmtId="0" fontId="27" fillId="0" borderId="0" xfId="0" applyFont="1" applyAlignment="1">
      <alignment vertical="top" wrapText="1"/>
    </xf>
    <xf numFmtId="0" fontId="27" fillId="0" borderId="6" xfId="0" applyFont="1" applyBorder="1" applyAlignment="1">
      <alignment vertical="top" wrapText="1"/>
    </xf>
    <xf numFmtId="175" fontId="0" fillId="0" borderId="6" xfId="0" applyNumberFormat="1" applyBorder="1"/>
    <xf numFmtId="183" fontId="0" fillId="0" borderId="6" xfId="0" applyNumberFormat="1" applyBorder="1"/>
    <xf numFmtId="173" fontId="0" fillId="0" borderId="6" xfId="0" applyNumberFormat="1" applyBorder="1"/>
    <xf numFmtId="184" fontId="0" fillId="0" borderId="6" xfId="0" applyNumberFormat="1" applyBorder="1"/>
    <xf numFmtId="0" fontId="0" fillId="0" borderId="6" xfId="0" applyBorder="1" applyAlignment="1">
      <alignment vertical="top" wrapText="1"/>
    </xf>
    <xf numFmtId="0" fontId="26" fillId="0" borderId="0" xfId="0" applyFont="1"/>
    <xf numFmtId="0" fontId="29" fillId="0" borderId="0" xfId="0" applyFont="1"/>
    <xf numFmtId="0" fontId="27" fillId="0" borderId="6" xfId="0" applyFont="1" applyBorder="1"/>
    <xf numFmtId="185" fontId="0" fillId="0" borderId="6" xfId="0" applyNumberFormat="1" applyBorder="1"/>
    <xf numFmtId="0" fontId="30" fillId="0" borderId="0" xfId="0" applyFont="1"/>
    <xf numFmtId="0" fontId="27" fillId="0" borderId="1" xfId="0" applyFont="1" applyBorder="1"/>
    <xf numFmtId="0" fontId="2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7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/>
    <xf numFmtId="2" fontId="0" fillId="0" borderId="1" xfId="0" applyNumberFormat="1" applyBorder="1"/>
    <xf numFmtId="10" fontId="0" fillId="0" borderId="1" xfId="0" applyNumberFormat="1" applyBorder="1"/>
    <xf numFmtId="175" fontId="0" fillId="0" borderId="1" xfId="0" applyNumberFormat="1" applyBorder="1"/>
    <xf numFmtId="175" fontId="0" fillId="0" borderId="3" xfId="0" applyNumberFormat="1" applyBorder="1"/>
    <xf numFmtId="0" fontId="27" fillId="0" borderId="9" xfId="0" applyFont="1" applyBorder="1" applyAlignment="1">
      <alignment vertical="top" wrapText="1"/>
    </xf>
    <xf numFmtId="0" fontId="27" fillId="0" borderId="10" xfId="0" applyFont="1" applyBorder="1" applyAlignment="1">
      <alignment vertical="top" wrapText="1"/>
    </xf>
    <xf numFmtId="2" fontId="27" fillId="0" borderId="1" xfId="0" applyNumberFormat="1" applyFont="1" applyBorder="1"/>
    <xf numFmtId="184" fontId="0" fillId="0" borderId="1" xfId="0" applyNumberFormat="1" applyBorder="1"/>
    <xf numFmtId="170" fontId="0" fillId="0" borderId="1" xfId="0" applyNumberFormat="1" applyBorder="1"/>
    <xf numFmtId="165" fontId="0" fillId="0" borderId="1" xfId="0" applyNumberFormat="1" applyBorder="1"/>
    <xf numFmtId="0" fontId="24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3" fontId="23" fillId="0" borderId="1" xfId="0" applyNumberFormat="1" applyFont="1" applyBorder="1" applyAlignment="1">
      <alignment horizontal="left" vertical="center"/>
    </xf>
    <xf numFmtId="168" fontId="23" fillId="0" borderId="1" xfId="0" applyNumberFormat="1" applyFont="1" applyBorder="1" applyAlignment="1">
      <alignment horizontal="left" vertical="center"/>
    </xf>
    <xf numFmtId="169" fontId="23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167" fontId="23" fillId="0" borderId="1" xfId="0" applyNumberFormat="1" applyFont="1" applyBorder="1" applyAlignment="1">
      <alignment horizontal="left" vertical="center"/>
    </xf>
    <xf numFmtId="167" fontId="23" fillId="0" borderId="0" xfId="0" applyNumberFormat="1" applyFont="1"/>
    <xf numFmtId="0" fontId="23" fillId="0" borderId="1" xfId="0" applyFont="1" applyBorder="1"/>
    <xf numFmtId="170" fontId="23" fillId="0" borderId="1" xfId="0" applyNumberFormat="1" applyFont="1" applyBorder="1"/>
    <xf numFmtId="0" fontId="24" fillId="0" borderId="1" xfId="0" applyFont="1" applyBorder="1"/>
    <xf numFmtId="175" fontId="23" fillId="0" borderId="1" xfId="0" applyNumberFormat="1" applyFont="1" applyBorder="1"/>
    <xf numFmtId="0" fontId="24" fillId="0" borderId="1" xfId="0" applyFont="1" applyBorder="1" applyAlignment="1">
      <alignment vertical="top" wrapText="1"/>
    </xf>
    <xf numFmtId="4" fontId="23" fillId="0" borderId="1" xfId="0" applyNumberFormat="1" applyFont="1" applyBorder="1"/>
    <xf numFmtId="0" fontId="24" fillId="0" borderId="1" xfId="0" applyFont="1" applyBorder="1" applyAlignment="1">
      <alignment horizontal="center" vertical="center" wrapText="1"/>
    </xf>
    <xf numFmtId="167" fontId="23" fillId="0" borderId="1" xfId="0" applyNumberFormat="1" applyFont="1" applyBorder="1" applyAlignment="1">
      <alignment horizontal="center" vertical="center"/>
    </xf>
    <xf numFmtId="167" fontId="23" fillId="0" borderId="1" xfId="0" applyNumberFormat="1" applyFont="1" applyBorder="1"/>
    <xf numFmtId="165" fontId="23" fillId="0" borderId="1" xfId="0" applyNumberFormat="1" applyFont="1" applyBorder="1"/>
    <xf numFmtId="1" fontId="23" fillId="0" borderId="1" xfId="0" applyNumberFormat="1" applyFont="1" applyBorder="1"/>
    <xf numFmtId="0" fontId="23" fillId="0" borderId="1" xfId="0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/>
    </xf>
    <xf numFmtId="170" fontId="23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Border="1"/>
    <xf numFmtId="10" fontId="23" fillId="0" borderId="1" xfId="0" applyNumberFormat="1" applyFont="1" applyBorder="1"/>
    <xf numFmtId="0" fontId="24" fillId="0" borderId="6" xfId="0" applyFont="1" applyBorder="1"/>
    <xf numFmtId="0" fontId="23" fillId="0" borderId="6" xfId="0" applyFont="1" applyBorder="1"/>
    <xf numFmtId="0" fontId="24" fillId="0" borderId="6" xfId="0" applyFont="1" applyBorder="1" applyAlignment="1">
      <alignment horizontal="left" wrapText="1"/>
    </xf>
    <xf numFmtId="0" fontId="23" fillId="0" borderId="6" xfId="0" applyFont="1" applyBorder="1" applyAlignment="1">
      <alignment horizontal="left" wrapText="1"/>
    </xf>
    <xf numFmtId="182" fontId="23" fillId="0" borderId="6" xfId="0" applyNumberFormat="1" applyFont="1" applyBorder="1" applyAlignment="1">
      <alignment horizontal="left" wrapText="1"/>
    </xf>
    <xf numFmtId="0" fontId="24" fillId="0" borderId="6" xfId="0" applyFont="1" applyBorder="1" applyAlignment="1">
      <alignment vertical="top" wrapText="1"/>
    </xf>
    <xf numFmtId="170" fontId="23" fillId="0" borderId="6" xfId="0" applyNumberFormat="1" applyFont="1" applyBorder="1"/>
    <xf numFmtId="167" fontId="23" fillId="0" borderId="6" xfId="0" applyNumberFormat="1" applyFont="1" applyBorder="1"/>
    <xf numFmtId="0" fontId="24" fillId="0" borderId="6" xfId="0" applyFont="1" applyBorder="1" applyAlignment="1">
      <alignment horizontal="left" vertical="top" wrapText="1"/>
    </xf>
    <xf numFmtId="182" fontId="23" fillId="0" borderId="6" xfId="0" applyNumberFormat="1" applyFont="1" applyBorder="1" applyAlignment="1">
      <alignment horizontal="left"/>
    </xf>
    <xf numFmtId="0" fontId="23" fillId="0" borderId="6" xfId="0" applyFont="1" applyBorder="1" applyAlignment="1">
      <alignment horizontal="left" vertical="top" wrapText="1"/>
    </xf>
    <xf numFmtId="170" fontId="23" fillId="0" borderId="6" xfId="0" applyNumberFormat="1" applyFont="1" applyBorder="1" applyAlignment="1">
      <alignment horizontal="left"/>
    </xf>
    <xf numFmtId="167" fontId="23" fillId="0" borderId="6" xfId="0" applyNumberFormat="1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0" fontId="24" fillId="0" borderId="6" xfId="0" applyFont="1" applyBorder="1" applyAlignment="1">
      <alignment horizontal="left"/>
    </xf>
    <xf numFmtId="168" fontId="23" fillId="0" borderId="6" xfId="0" applyNumberFormat="1" applyFont="1" applyBorder="1"/>
    <xf numFmtId="168" fontId="23" fillId="0" borderId="11" xfId="0" applyNumberFormat="1" applyFont="1" applyBorder="1"/>
    <xf numFmtId="165" fontId="23" fillId="0" borderId="6" xfId="0" applyNumberFormat="1" applyFont="1" applyBorder="1"/>
    <xf numFmtId="165" fontId="24" fillId="0" borderId="6" xfId="0" applyNumberFormat="1" applyFont="1" applyBorder="1"/>
    <xf numFmtId="0" fontId="24" fillId="0" borderId="11" xfId="0" applyFont="1" applyBorder="1" applyAlignment="1">
      <alignment vertical="top" wrapText="1"/>
    </xf>
    <xf numFmtId="0" fontId="23" fillId="0" borderId="11" xfId="0" applyFont="1" applyBorder="1"/>
    <xf numFmtId="0" fontId="31" fillId="0" borderId="0" xfId="0" applyFont="1"/>
    <xf numFmtId="0" fontId="32" fillId="0" borderId="0" xfId="0" applyFont="1"/>
    <xf numFmtId="168" fontId="4" fillId="0" borderId="0" xfId="0" applyNumberFormat="1" applyFont="1"/>
    <xf numFmtId="0" fontId="4" fillId="0" borderId="0" xfId="0" applyFont="1" applyAlignment="1">
      <alignment vertical="top" wrapText="1"/>
    </xf>
    <xf numFmtId="9" fontId="4" fillId="0" borderId="0" xfId="0" applyNumberFormat="1" applyFont="1"/>
    <xf numFmtId="0" fontId="33" fillId="0" borderId="6" xfId="0" applyFont="1" applyBorder="1" applyAlignment="1">
      <alignment vertical="top" wrapText="1"/>
    </xf>
    <xf numFmtId="0" fontId="33" fillId="0" borderId="6" xfId="0" applyFont="1" applyBorder="1"/>
    <xf numFmtId="165" fontId="4" fillId="0" borderId="6" xfId="0" applyNumberFormat="1" applyFont="1" applyBorder="1"/>
    <xf numFmtId="9" fontId="33" fillId="0" borderId="6" xfId="0" applyNumberFormat="1" applyFont="1" applyBorder="1"/>
    <xf numFmtId="168" fontId="4" fillId="0" borderId="6" xfId="0" applyNumberFormat="1" applyFont="1" applyBorder="1"/>
    <xf numFmtId="0" fontId="4" fillId="0" borderId="6" xfId="0" applyFont="1" applyBorder="1" applyAlignment="1">
      <alignment vertical="top" wrapText="1"/>
    </xf>
    <xf numFmtId="0" fontId="4" fillId="0" borderId="6" xfId="0" applyFont="1" applyBorder="1"/>
    <xf numFmtId="165" fontId="33" fillId="0" borderId="6" xfId="0" applyNumberFormat="1" applyFont="1" applyBorder="1"/>
    <xf numFmtId="10" fontId="4" fillId="0" borderId="6" xfId="0" applyNumberFormat="1" applyFont="1" applyBorder="1"/>
    <xf numFmtId="182" fontId="0" fillId="0" borderId="6" xfId="0" applyNumberFormat="1" applyBorder="1"/>
    <xf numFmtId="2" fontId="0" fillId="0" borderId="6" xfId="0" applyNumberFormat="1" applyBorder="1"/>
    <xf numFmtId="0" fontId="0" fillId="0" borderId="0" xfId="0" quotePrefix="1"/>
    <xf numFmtId="15" fontId="0" fillId="0" borderId="0" xfId="0" quotePrefix="1" applyNumberFormat="1" applyAlignment="1">
      <alignment vertical="top" wrapText="1"/>
    </xf>
    <xf numFmtId="17" fontId="0" fillId="0" borderId="0" xfId="0" quotePrefix="1" applyNumberFormat="1" applyAlignment="1">
      <alignment vertical="top" wrapText="1"/>
    </xf>
    <xf numFmtId="168" fontId="0" fillId="0" borderId="0" xfId="0" applyNumberFormat="1"/>
    <xf numFmtId="188" fontId="0" fillId="0" borderId="0" xfId="0" applyNumberFormat="1"/>
    <xf numFmtId="0" fontId="27" fillId="0" borderId="6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0" fillId="0" borderId="6" xfId="0" applyBorder="1" applyAlignment="1">
      <alignment vertical="top" wrapText="1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vertical="top" wrapText="1"/>
    </xf>
    <xf numFmtId="0" fontId="27" fillId="0" borderId="8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9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36" fillId="0" borderId="0" xfId="0" applyFont="1" applyFill="1" applyBorder="1" applyAlignment="1">
      <alignment vertical="top"/>
    </xf>
    <xf numFmtId="0" fontId="37" fillId="0" borderId="0" xfId="0" applyFont="1" applyFill="1" applyBorder="1"/>
    <xf numFmtId="0" fontId="37" fillId="0" borderId="0" xfId="0" applyFont="1" applyFill="1" applyBorder="1" applyAlignment="1">
      <alignment vertical="top" wrapText="1"/>
    </xf>
    <xf numFmtId="0" fontId="37" fillId="0" borderId="0" xfId="0" applyFont="1" applyFill="1" applyBorder="1" applyAlignment="1">
      <alignment vertical="center" wrapText="1"/>
    </xf>
    <xf numFmtId="0" fontId="37" fillId="0" borderId="0" xfId="0" applyFont="1" applyFill="1" applyBorder="1" applyAlignment="1">
      <alignment wrapText="1"/>
    </xf>
    <xf numFmtId="0" fontId="37" fillId="0" borderId="0" xfId="0" applyFont="1" applyFill="1" applyBorder="1" applyAlignment="1">
      <alignment vertical="center"/>
    </xf>
    <xf numFmtId="0" fontId="37" fillId="0" borderId="6" xfId="0" applyFont="1" applyFill="1" applyBorder="1" applyAlignment="1">
      <alignment vertical="top" wrapText="1"/>
    </xf>
    <xf numFmtId="0" fontId="37" fillId="0" borderId="6" xfId="0" applyFont="1" applyFill="1" applyBorder="1" applyAlignment="1">
      <alignment vertical="top" wrapText="1"/>
    </xf>
    <xf numFmtId="49" fontId="37" fillId="0" borderId="6" xfId="0" applyNumberFormat="1" applyFont="1" applyFill="1" applyBorder="1"/>
    <xf numFmtId="0" fontId="37" fillId="0" borderId="6" xfId="0" applyFont="1" applyFill="1" applyBorder="1"/>
    <xf numFmtId="167" fontId="37" fillId="0" borderId="6" xfId="0" applyNumberFormat="1" applyFont="1" applyFill="1" applyBorder="1" applyAlignment="1">
      <alignment horizontal="right"/>
    </xf>
    <xf numFmtId="0" fontId="37" fillId="0" borderId="6" xfId="0" applyFont="1" applyFill="1" applyBorder="1" applyAlignment="1">
      <alignment horizontal="center"/>
    </xf>
    <xf numFmtId="0" fontId="37" fillId="0" borderId="6" xfId="0" applyFont="1" applyFill="1" applyBorder="1" applyAlignment="1">
      <alignment wrapText="1"/>
    </xf>
    <xf numFmtId="167" fontId="37" fillId="0" borderId="6" xfId="0" applyNumberFormat="1" applyFont="1" applyFill="1" applyBorder="1"/>
    <xf numFmtId="189" fontId="37" fillId="0" borderId="6" xfId="0" applyNumberFormat="1" applyFont="1" applyFill="1" applyBorder="1"/>
    <xf numFmtId="1" fontId="37" fillId="0" borderId="6" xfId="0" applyNumberFormat="1" applyFont="1" applyFill="1" applyBorder="1"/>
    <xf numFmtId="166" fontId="37" fillId="0" borderId="6" xfId="0" applyNumberFormat="1" applyFont="1" applyFill="1" applyBorder="1"/>
    <xf numFmtId="0" fontId="37" fillId="0" borderId="6" xfId="0" applyFont="1" applyFill="1" applyBorder="1" applyAlignment="1">
      <alignment vertical="center" wrapText="1"/>
    </xf>
    <xf numFmtId="189" fontId="37" fillId="0" borderId="6" xfId="0" applyNumberFormat="1" applyFont="1" applyFill="1" applyBorder="1" applyAlignment="1">
      <alignment vertical="center"/>
    </xf>
    <xf numFmtId="166" fontId="37" fillId="0" borderId="6" xfId="0" applyNumberFormat="1" applyFont="1" applyFill="1" applyBorder="1" applyAlignment="1">
      <alignment vertical="center"/>
    </xf>
    <xf numFmtId="0" fontId="37" fillId="0" borderId="6" xfId="0" applyFont="1" applyFill="1" applyBorder="1" applyAlignment="1">
      <alignment vertical="center"/>
    </xf>
    <xf numFmtId="0" fontId="37" fillId="0" borderId="6" xfId="0" applyFont="1" applyFill="1" applyBorder="1" applyAlignment="1">
      <alignment vertical="center"/>
    </xf>
    <xf numFmtId="0" fontId="36" fillId="0" borderId="0" xfId="0" applyFont="1" applyFill="1" applyBorder="1"/>
    <xf numFmtId="0" fontId="36" fillId="0" borderId="0" xfId="0" applyFont="1" applyFill="1" applyBorder="1" applyAlignment="1"/>
    <xf numFmtId="0" fontId="36" fillId="0" borderId="0" xfId="0" applyFont="1" applyFill="1" applyBorder="1" applyAlignment="1">
      <alignment vertical="center"/>
    </xf>
    <xf numFmtId="0" fontId="36" fillId="0" borderId="6" xfId="0" applyFont="1" applyFill="1" applyBorder="1" applyAlignment="1">
      <alignment vertical="top" wrapText="1"/>
    </xf>
    <xf numFmtId="0" fontId="36" fillId="0" borderId="6" xfId="0" applyFont="1" applyFill="1" applyBorder="1" applyAlignment="1">
      <alignment vertical="top" wrapText="1"/>
    </xf>
    <xf numFmtId="0" fontId="36" fillId="0" borderId="6" xfId="0" applyFont="1" applyFill="1" applyBorder="1" applyAlignment="1">
      <alignment wrapText="1"/>
    </xf>
    <xf numFmtId="0" fontId="36" fillId="0" borderId="6" xfId="0" applyFont="1" applyFill="1" applyBorder="1" applyAlignment="1">
      <alignment wrapText="1"/>
    </xf>
    <xf numFmtId="0" fontId="36" fillId="0" borderId="6" xfId="0" applyFont="1" applyFill="1" applyBorder="1"/>
    <xf numFmtId="167" fontId="36" fillId="0" borderId="6" xfId="0" applyNumberFormat="1" applyFont="1" applyFill="1" applyBorder="1"/>
    <xf numFmtId="189" fontId="36" fillId="0" borderId="6" xfId="0" applyNumberFormat="1" applyFont="1" applyFill="1" applyBorder="1"/>
    <xf numFmtId="166" fontId="36" fillId="0" borderId="6" xfId="0" applyNumberFormat="1" applyFont="1" applyFill="1" applyBorder="1"/>
    <xf numFmtId="0" fontId="36" fillId="0" borderId="6" xfId="0" applyFont="1" applyFill="1" applyBorder="1" applyAlignment="1">
      <alignment vertical="center" wrapText="1"/>
    </xf>
    <xf numFmtId="189" fontId="36" fillId="0" borderId="6" xfId="0" applyNumberFormat="1" applyFont="1" applyFill="1" applyBorder="1" applyAlignment="1">
      <alignment vertical="center"/>
    </xf>
    <xf numFmtId="166" fontId="36" fillId="0" borderId="6" xfId="0" applyNumberFormat="1" applyFont="1" applyFill="1" applyBorder="1" applyAlignment="1">
      <alignment vertical="center"/>
    </xf>
    <xf numFmtId="0" fontId="36" fillId="0" borderId="6" xfId="0" applyFont="1" applyFill="1" applyBorder="1" applyAlignment="1">
      <alignment vertical="center"/>
    </xf>
    <xf numFmtId="0" fontId="36" fillId="0" borderId="6" xfId="0" applyFont="1" applyFill="1" applyBorder="1" applyAlignment="1">
      <alignment horizontal="center"/>
    </xf>
    <xf numFmtId="0" fontId="38" fillId="0" borderId="0" xfId="0" applyFont="1" applyFill="1" applyBorder="1" applyAlignment="1">
      <alignment vertical="top" wrapText="1"/>
    </xf>
    <xf numFmtId="0" fontId="39" fillId="0" borderId="0" xfId="0" applyFont="1" applyFill="1" applyBorder="1"/>
    <xf numFmtId="0" fontId="36" fillId="0" borderId="11" xfId="0" applyFont="1" applyFill="1" applyBorder="1"/>
    <xf numFmtId="0" fontId="36" fillId="0" borderId="12" xfId="0" applyFont="1" applyFill="1" applyBorder="1"/>
    <xf numFmtId="0" fontId="36" fillId="0" borderId="13" xfId="0" applyFont="1" applyFill="1" applyBorder="1"/>
    <xf numFmtId="182" fontId="37" fillId="0" borderId="6" xfId="0" applyNumberFormat="1" applyFont="1" applyFill="1" applyBorder="1" applyAlignment="1">
      <alignment horizontal="left"/>
    </xf>
    <xf numFmtId="3" fontId="37" fillId="0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C"/>
      <rgbColor rgb="FF660066"/>
      <rgbColor rgb="FFFF8080"/>
      <rgbColor rgb="FF0066CC"/>
      <rgbColor rgb="FFD8E3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5D60"/>
      <rgbColor rgb="FF969696"/>
      <rgbColor rgb="FF00276F"/>
      <rgbColor rgb="FF339966"/>
      <rgbColor rgb="FF003300"/>
      <rgbColor rgb="FF333300"/>
      <rgbColor rgb="FFB42318"/>
      <rgbColor rgb="FF993366"/>
      <rgbColor rgb="FF0039A6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3B0A24-1885-EF46-9023-9A1E2F2444A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dafa93d-0a83-4e2f-835f-e4a6f06d551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49"/>
  <sheetViews>
    <sheetView zoomScale="99" zoomScaleNormal="99" workbookViewId="0">
      <selection activeCell="D11" sqref="D11"/>
    </sheetView>
  </sheetViews>
  <sheetFormatPr baseColWidth="10" defaultColWidth="11.44140625" defaultRowHeight="14.4" x14ac:dyDescent="0.3"/>
  <cols>
    <col min="1" max="1" width="61.109375" customWidth="1"/>
    <col min="2" max="5" width="22.109375" customWidth="1"/>
  </cols>
  <sheetData>
    <row r="4" spans="1:10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3"/>
      <c r="G4" s="3"/>
      <c r="H4" s="3"/>
      <c r="I4" s="3"/>
      <c r="J4" s="3"/>
    </row>
    <row r="5" spans="1:10" x14ac:dyDescent="0.3">
      <c r="A5" s="4" t="s">
        <v>5</v>
      </c>
      <c r="B5" s="5">
        <f>Valuación!B15</f>
        <v>0.12074804182303711</v>
      </c>
      <c r="C5" s="5">
        <f>Valuación!B53</f>
        <v>0.12393559131271581</v>
      </c>
      <c r="D5" s="5">
        <f>Valuación!B91</f>
        <v>0.10240764091692925</v>
      </c>
      <c r="E5" s="5">
        <f>Valuación!B129</f>
        <v>0.12251175212847852</v>
      </c>
    </row>
    <row r="6" spans="1:10" x14ac:dyDescent="0.3">
      <c r="A6" s="4" t="s">
        <v>6</v>
      </c>
      <c r="B6" s="5">
        <f>Valuación!B16</f>
        <v>3.5000000000000003E-2</v>
      </c>
      <c r="C6" s="5">
        <f>Valuación!B54</f>
        <v>3.5000000000000003E-2</v>
      </c>
      <c r="D6" s="5">
        <f>Valuación!B92</f>
        <v>3.5000000000000003E-2</v>
      </c>
      <c r="E6" s="5">
        <f>Valuación!B130</f>
        <v>3.5000000000000003E-2</v>
      </c>
    </row>
    <row r="7" spans="1:10" x14ac:dyDescent="0.3">
      <c r="A7" s="4" t="s">
        <v>7</v>
      </c>
      <c r="B7" s="6">
        <f>Valuación!B27</f>
        <v>6761.4</v>
      </c>
      <c r="C7" s="6">
        <f>Valuación!B65</f>
        <v>40916.760000000009</v>
      </c>
      <c r="D7" s="6">
        <f>Valuación!B103</f>
        <v>12113.899999999998</v>
      </c>
      <c r="E7" s="6">
        <f>Valuación!B141</f>
        <v>302.9244186605365</v>
      </c>
    </row>
    <row r="8" spans="1:10" x14ac:dyDescent="0.3">
      <c r="A8" s="4" t="s">
        <v>8</v>
      </c>
      <c r="B8" s="6">
        <f>Valuación!B31</f>
        <v>26300.214885676382</v>
      </c>
      <c r="C8" s="6">
        <f>Valuación!B69</f>
        <v>160847.73391886603</v>
      </c>
      <c r="D8" s="6">
        <f>Valuación!B107</f>
        <v>50324.07825192609</v>
      </c>
      <c r="E8" s="6">
        <f>Valuación!B145</f>
        <v>1195.1151955065889</v>
      </c>
    </row>
    <row r="9" spans="1:10" x14ac:dyDescent="0.3">
      <c r="A9" s="4" t="s">
        <v>9</v>
      </c>
      <c r="B9" s="6">
        <f>Valuación!B33</f>
        <v>95139.848499246611</v>
      </c>
      <c r="C9" s="6">
        <f>Valuación!B71</f>
        <v>565545.7441094094</v>
      </c>
      <c r="D9" s="6">
        <f>Valuación!B109</f>
        <v>220910.80321526231</v>
      </c>
      <c r="E9" s="6">
        <f>Valuación!B147</f>
        <v>4255.1022698253319</v>
      </c>
    </row>
    <row r="10" spans="1:10" x14ac:dyDescent="0.3">
      <c r="A10" s="4" t="s">
        <v>10</v>
      </c>
      <c r="B10" s="6">
        <f>Valuación!B34</f>
        <v>53804.984649674458</v>
      </c>
      <c r="C10" s="6">
        <f>Valuación!B72</f>
        <v>315326.60725229385</v>
      </c>
      <c r="D10" s="6">
        <f>Valuación!B110</f>
        <v>135676.89032448852</v>
      </c>
      <c r="E10" s="6">
        <f>Valuación!B148</f>
        <v>2387.5667379251386</v>
      </c>
    </row>
    <row r="11" spans="1:10" x14ac:dyDescent="0.3">
      <c r="A11" s="4" t="s">
        <v>11</v>
      </c>
      <c r="B11" s="6">
        <f>Valuación!B35</f>
        <v>80105.199535350839</v>
      </c>
      <c r="C11" s="6">
        <f>Valuación!B73</f>
        <v>476174.34117115987</v>
      </c>
      <c r="D11" s="6">
        <f>Valuación!B111</f>
        <v>186000.9685764146</v>
      </c>
      <c r="E11" s="6">
        <f>Valuación!B149</f>
        <v>3582.6819334317274</v>
      </c>
    </row>
    <row r="12" spans="1:10" x14ac:dyDescent="0.3">
      <c r="A12" s="4" t="s">
        <v>12</v>
      </c>
      <c r="B12" s="6">
        <f>-Valuación!B36</f>
        <v>23618</v>
      </c>
      <c r="C12" s="6">
        <f>-Valuación!B74</f>
        <v>80848.099999999991</v>
      </c>
      <c r="D12" s="6">
        <f>-Valuación!B112</f>
        <v>56744.34</v>
      </c>
      <c r="E12" s="6">
        <f>-Valuación!B150</f>
        <v>2441.8000000000002</v>
      </c>
    </row>
    <row r="13" spans="1:10" x14ac:dyDescent="0.3">
      <c r="A13" s="4" t="s">
        <v>13</v>
      </c>
      <c r="B13" s="6">
        <f>Valuación!B37</f>
        <v>9295</v>
      </c>
      <c r="C13" s="6">
        <f>Valuación!B75</f>
        <v>28591.200000000001</v>
      </c>
      <c r="D13" s="6">
        <f>Valuación!B113</f>
        <v>14640.16</v>
      </c>
      <c r="E13" s="6">
        <f>Valuación!B151</f>
        <v>2962.8</v>
      </c>
    </row>
    <row r="14" spans="1:10" x14ac:dyDescent="0.3">
      <c r="A14" s="4" t="s">
        <v>14</v>
      </c>
      <c r="B14" s="6">
        <f>Valuación!B39</f>
        <v>65782.199535350839</v>
      </c>
      <c r="C14" s="6">
        <f>Valuación!B77</f>
        <v>423917.44117115991</v>
      </c>
      <c r="D14" s="6">
        <f>Valuación!B115</f>
        <v>143896.7885764146</v>
      </c>
      <c r="E14" s="6">
        <f>Valuación!B153</f>
        <v>4103.6819334317279</v>
      </c>
    </row>
    <row r="15" spans="1:10" x14ac:dyDescent="0.3">
      <c r="A15" s="4" t="s">
        <v>15</v>
      </c>
      <c r="B15" s="7">
        <f>Valuación!B41</f>
        <v>36.545666408528241</v>
      </c>
      <c r="C15" s="7">
        <f>Valuación!B79</f>
        <v>24.279749171911021</v>
      </c>
      <c r="D15" s="7">
        <f>Valuación!B117</f>
        <v>149.85280820453542</v>
      </c>
      <c r="E15" s="7">
        <f>Valuación!B155</f>
        <v>3.8504275058347415</v>
      </c>
    </row>
    <row r="16" spans="1:10" x14ac:dyDescent="0.3">
      <c r="A16" s="4" t="s">
        <v>16</v>
      </c>
      <c r="B16" s="7">
        <f>Valuación!B42</f>
        <v>33.479999999999997</v>
      </c>
      <c r="C16" s="7">
        <f>Valuación!B80</f>
        <v>46.6</v>
      </c>
      <c r="D16" s="7">
        <f>Valuación!B118</f>
        <v>92.94</v>
      </c>
      <c r="E16" s="7">
        <f>Valuación!B156</f>
        <v>32.08</v>
      </c>
    </row>
    <row r="17" spans="1:10" x14ac:dyDescent="0.3">
      <c r="A17" s="4" t="s">
        <v>17</v>
      </c>
      <c r="B17" s="8">
        <f>Valuación!B43</f>
        <v>9.1567097028920186E-2</v>
      </c>
      <c r="C17" s="8">
        <f>Valuación!B81</f>
        <v>-0.47897533965856176</v>
      </c>
      <c r="D17" s="8">
        <f>Valuación!B119</f>
        <v>0.61236075107096433</v>
      </c>
      <c r="E17" s="8">
        <f>Valuación!B157</f>
        <v>-0.87997420493033851</v>
      </c>
    </row>
    <row r="18" spans="1:10" x14ac:dyDescent="0.3">
      <c r="A18" s="4" t="s">
        <v>18</v>
      </c>
      <c r="B18" s="7">
        <f>Generales!B24</f>
        <v>23.356999999999999</v>
      </c>
      <c r="C18" s="7">
        <v>60.094000000000001</v>
      </c>
      <c r="D18" s="7">
        <v>128.93299999999999</v>
      </c>
      <c r="E18" s="7">
        <v>47.67</v>
      </c>
    </row>
    <row r="19" spans="1:10" x14ac:dyDescent="0.3">
      <c r="A19" s="4" t="s">
        <v>19</v>
      </c>
      <c r="B19" s="9" t="s">
        <v>20</v>
      </c>
      <c r="C19" s="9" t="s">
        <v>21</v>
      </c>
      <c r="D19" s="9" t="s">
        <v>22</v>
      </c>
      <c r="E19" s="9" t="s">
        <v>23</v>
      </c>
    </row>
    <row r="20" spans="1:10" x14ac:dyDescent="0.3">
      <c r="B20" s="10"/>
      <c r="C20" s="10"/>
      <c r="D20" s="10"/>
      <c r="E20" s="10"/>
    </row>
    <row r="21" spans="1:10" x14ac:dyDescent="0.3">
      <c r="A21" s="2" t="s">
        <v>24</v>
      </c>
      <c r="B21" s="2" t="s">
        <v>1</v>
      </c>
      <c r="C21" s="2" t="s">
        <v>2</v>
      </c>
      <c r="D21" s="2" t="s">
        <v>3</v>
      </c>
      <c r="E21" s="2" t="s">
        <v>4</v>
      </c>
      <c r="F21" s="3"/>
      <c r="G21" s="3"/>
      <c r="H21" s="3"/>
      <c r="I21" s="3"/>
      <c r="J21" s="3"/>
    </row>
    <row r="22" spans="1:10" x14ac:dyDescent="0.3">
      <c r="A22" s="4" t="s">
        <v>25</v>
      </c>
      <c r="B22" s="11">
        <f>Razones!G7</f>
        <v>1.2541889200140055</v>
      </c>
      <c r="C22" s="11">
        <f>Razones!G23</f>
        <v>0.9768758952933837</v>
      </c>
      <c r="D22" s="11">
        <f>Razones!G39</f>
        <v>0.9337320048034885</v>
      </c>
      <c r="E22" s="11">
        <f>Razones!G55</f>
        <v>1.2290463325615266</v>
      </c>
    </row>
    <row r="23" spans="1:10" x14ac:dyDescent="0.3">
      <c r="A23" s="4" t="s">
        <v>26</v>
      </c>
      <c r="B23" s="11">
        <f>Razones!G8</f>
        <v>0.35473781460239651</v>
      </c>
      <c r="C23" s="11">
        <f>Razones!G24</f>
        <v>0.34704510800928146</v>
      </c>
      <c r="D23" s="11">
        <f>Razones!G40</f>
        <v>0.40675641370889554</v>
      </c>
      <c r="E23" s="11">
        <f>Razones!G56</f>
        <v>0.48041576586806728</v>
      </c>
    </row>
    <row r="24" spans="1:10" x14ac:dyDescent="0.3">
      <c r="A24" s="4" t="s">
        <v>27</v>
      </c>
      <c r="B24" s="12">
        <f>Razones!G9</f>
        <v>0.45505378276590802</v>
      </c>
      <c r="C24" s="12">
        <f>Razones!G25</f>
        <v>0.52855776287199685</v>
      </c>
      <c r="D24" s="12">
        <f>Razones!G41</f>
        <v>0.66310268708485132</v>
      </c>
      <c r="E24" s="12">
        <f>Razones!G57</f>
        <v>0.25783779764685366</v>
      </c>
    </row>
    <row r="25" spans="1:10" x14ac:dyDescent="0.3">
      <c r="A25" s="4" t="s">
        <v>28</v>
      </c>
      <c r="B25" s="12">
        <f>Razones!G10</f>
        <v>0.20654206767141803</v>
      </c>
      <c r="C25" s="12">
        <f>Razones!G26</f>
        <v>0.1804097219349198</v>
      </c>
      <c r="D25" s="12">
        <f>Razones!G42</f>
        <v>0.38012988394627734</v>
      </c>
      <c r="E25" s="12">
        <f>Razones!G58</f>
        <v>6.4547002044419724E-2</v>
      </c>
    </row>
    <row r="26" spans="1:10" x14ac:dyDescent="0.3">
      <c r="A26" s="4" t="s">
        <v>29</v>
      </c>
      <c r="B26" s="11">
        <f>Razones!G11</f>
        <v>2.8984195740512613</v>
      </c>
      <c r="C26" s="11">
        <f>Razones!G27</f>
        <v>6.6453315449250523</v>
      </c>
      <c r="D26" s="11">
        <f>Razones!G43</f>
        <v>4.1504185686313324</v>
      </c>
      <c r="E26" s="11">
        <f>Razones!G59</f>
        <v>11.844746375095321</v>
      </c>
    </row>
    <row r="27" spans="1:10" x14ac:dyDescent="0.3">
      <c r="A27" s="4" t="s">
        <v>30</v>
      </c>
      <c r="B27" s="11">
        <f>Razones!G12</f>
        <v>0.95612726248194979</v>
      </c>
      <c r="C27" s="11">
        <f>Razones!G28</f>
        <v>1.7752133288784677</v>
      </c>
      <c r="D27" s="11">
        <f>Razones!G44</f>
        <v>2.3833503762784076</v>
      </c>
      <c r="E27" s="11">
        <f>Razones!G60</f>
        <v>1.3488694549082896</v>
      </c>
    </row>
    <row r="28" spans="1:10" x14ac:dyDescent="0.3">
      <c r="A28" s="4" t="s">
        <v>31</v>
      </c>
      <c r="B28" s="13">
        <f>Razones!G13</f>
        <v>96.032435916944934</v>
      </c>
      <c r="C28" s="13">
        <f>Razones!G29</f>
        <v>51.65804225563172</v>
      </c>
      <c r="D28" s="13">
        <f>Razones!G45</f>
        <v>38.380088121252825</v>
      </c>
      <c r="E28" s="13">
        <f>Razones!G61</f>
        <v>67.850681103014125</v>
      </c>
    </row>
    <row r="29" spans="1:10" x14ac:dyDescent="0.3">
      <c r="A29" s="4" t="s">
        <v>32</v>
      </c>
      <c r="B29" s="11">
        <f>Razones!G14</f>
        <v>0.28166406851010406</v>
      </c>
      <c r="C29" s="11">
        <f>Razones!G30</f>
        <v>0.51157675075634967</v>
      </c>
      <c r="D29" s="11">
        <f>Razones!G46</f>
        <v>0.46365336143847358</v>
      </c>
      <c r="E29" s="11">
        <f>Razones!G62</f>
        <v>0.27644939756533959</v>
      </c>
    </row>
    <row r="30" spans="1:10" x14ac:dyDescent="0.3">
      <c r="A30" s="4" t="s">
        <v>33</v>
      </c>
      <c r="B30" s="12">
        <f>Razones!G15</f>
        <v>0.24566152945355113</v>
      </c>
      <c r="C30" s="12">
        <f>Razones!G31</f>
        <v>0.24235015395020071</v>
      </c>
      <c r="D30" s="12">
        <f>Razones!G47</f>
        <v>0.23527547951984412</v>
      </c>
      <c r="E30" s="12">
        <f>Razones!G63</f>
        <v>0.29672068678946828</v>
      </c>
    </row>
    <row r="31" spans="1:10" x14ac:dyDescent="0.3">
      <c r="A31" s="4" t="s">
        <v>34</v>
      </c>
      <c r="B31" s="12">
        <f>Razones!G16</f>
        <v>2.0605935219918749E-2</v>
      </c>
      <c r="C31" s="12">
        <f>Razones!G32</f>
        <v>4.8260537665012218E-2</v>
      </c>
      <c r="D31" s="12">
        <f>Razones!G48</f>
        <v>2.3418786028334568E-2</v>
      </c>
      <c r="E31" s="12">
        <f>Razones!G64</f>
        <v>5.4882539722843002E-2</v>
      </c>
    </row>
    <row r="32" spans="1:10" x14ac:dyDescent="0.3">
      <c r="A32" s="4" t="s">
        <v>35</v>
      </c>
      <c r="B32" s="5">
        <f>Razones!G17</f>
        <v>5.8430190342853216E-3</v>
      </c>
      <c r="C32" s="5">
        <f>Razones!G33</f>
        <v>2.4728481730285433E-2</v>
      </c>
      <c r="D32" s="5">
        <f>Razones!G49</f>
        <v>1.0867201570141196E-2</v>
      </c>
      <c r="E32" s="5">
        <f>Razones!G65</f>
        <v>1.5156868507588869E-2</v>
      </c>
    </row>
    <row r="33" spans="1:10" x14ac:dyDescent="0.3">
      <c r="A33" s="4" t="s">
        <v>36</v>
      </c>
      <c r="B33" s="5">
        <f>Razones!G18</f>
        <v>1.0703388952041261E-2</v>
      </c>
      <c r="C33" s="5">
        <f>Razones!G34</f>
        <v>5.2476921238453655E-2</v>
      </c>
      <c r="D33" s="5">
        <f>Razones!G50</f>
        <v>3.22403315207314E-2</v>
      </c>
      <c r="E33" s="5">
        <f>Razones!G66</f>
        <v>2.0439650441243701E-2</v>
      </c>
    </row>
    <row r="34" spans="1:10" x14ac:dyDescent="0.3">
      <c r="A34" s="4" t="s">
        <v>37</v>
      </c>
      <c r="B34" s="5">
        <f>Razones!G19</f>
        <v>1.2031435540630273E-2</v>
      </c>
      <c r="C34" s="5">
        <f>Razones!G35</f>
        <v>4.2432022485464668E-2</v>
      </c>
      <c r="D34" s="5">
        <f>Razones!G51</f>
        <v>2.4290293644457235E-2</v>
      </c>
      <c r="E34" s="5">
        <f>Razones!G67</f>
        <v>1.7861415151432195E-2</v>
      </c>
    </row>
    <row r="35" spans="1:10" x14ac:dyDescent="0.3">
      <c r="B35" s="10"/>
      <c r="C35" s="10"/>
      <c r="D35" s="10"/>
      <c r="E35" s="10"/>
    </row>
    <row r="36" spans="1:10" x14ac:dyDescent="0.3">
      <c r="A36" s="2" t="s">
        <v>38</v>
      </c>
      <c r="B36" s="2" t="s">
        <v>1</v>
      </c>
      <c r="C36" s="2" t="s">
        <v>2</v>
      </c>
      <c r="D36" s="2" t="s">
        <v>3</v>
      </c>
      <c r="E36" s="2" t="s">
        <v>4</v>
      </c>
      <c r="F36" s="3"/>
      <c r="G36" s="3"/>
      <c r="H36" s="3"/>
      <c r="I36" s="3"/>
      <c r="J36" s="3"/>
    </row>
    <row r="37" spans="1:10" x14ac:dyDescent="0.3">
      <c r="A37" s="4" t="s">
        <v>25</v>
      </c>
      <c r="B37" s="11">
        <f>IFERROR(Datos!G19/Datos!G21,"n.d.")</f>
        <v>1.2373849409724877</v>
      </c>
      <c r="C37" s="11">
        <f>IFERROR(Datos!G45/Datos!G47,"n.d.")</f>
        <v>0.96696082353710611</v>
      </c>
      <c r="D37" s="11">
        <f>IFERROR(Datos!G71/Datos!G73,"n.d.")</f>
        <v>0.92079666961448259</v>
      </c>
      <c r="E37" s="11">
        <f>IFERROR(Datos!G97/Datos!G99,"n.d.")</f>
        <v>1.2070372441029178</v>
      </c>
    </row>
    <row r="38" spans="1:10" x14ac:dyDescent="0.3">
      <c r="A38" s="4" t="s">
        <v>26</v>
      </c>
      <c r="B38" s="11">
        <f>IFERROR((Datos!G19-Datos!G18)/Datos!G21,"n.d.")</f>
        <v>0.41423799688926288</v>
      </c>
      <c r="C38" s="11">
        <f>IFERROR((Datos!G45-Datos!G44)/Datos!G47,"n.d.")</f>
        <v>0.33384163137746609</v>
      </c>
      <c r="D38" s="11">
        <f>IFERROR((Datos!G71-Datos!G70)/Datos!G73,"n.d.")</f>
        <v>0.43735523135540794</v>
      </c>
      <c r="E38" s="11">
        <f>IFERROR((Datos!G97-Datos!G96)/Datos!G99,"n.d.")</f>
        <v>0.50008921455505728</v>
      </c>
    </row>
    <row r="39" spans="1:10" x14ac:dyDescent="0.3">
      <c r="A39" s="4" t="s">
        <v>27</v>
      </c>
      <c r="B39" s="12">
        <f>IFERROR(Datos!G23/Datos!G20,"n.d.")</f>
        <v>0.45697842833156027</v>
      </c>
      <c r="C39" s="12">
        <f>IFERROR(Datos!G49/Datos!G46,"n.d.")</f>
        <v>0.52434322625507979</v>
      </c>
      <c r="D39" s="12">
        <f>IFERROR(Datos!G75/Datos!G72,"n.d.")</f>
        <v>0.67356638816313319</v>
      </c>
      <c r="E39" s="12">
        <f>IFERROR(Datos!G101/Datos!G98,"n.d.")</f>
        <v>0.25448250110322823</v>
      </c>
    </row>
    <row r="40" spans="1:10" x14ac:dyDescent="0.3">
      <c r="A40" s="4" t="s">
        <v>28</v>
      </c>
      <c r="B40" s="12">
        <f>IFERROR(Datos!G22/Datos!G20,"n.d.")</f>
        <v>0.20562939796716184</v>
      </c>
      <c r="C40" s="12">
        <f>IFERROR(Datos!G48/Datos!G46,"n.d.")</f>
        <v>0.18167040298760301</v>
      </c>
      <c r="D40" s="12">
        <f>IFERROR(Datos!G74/Datos!G72,"n.d.")</f>
        <v>0.3713487216476421</v>
      </c>
      <c r="E40" s="12">
        <f>IFERROR(Datos!G100/Datos!G98,"n.d.")</f>
        <v>6.4236170044242286E-2</v>
      </c>
    </row>
    <row r="41" spans="1:10" x14ac:dyDescent="0.3">
      <c r="A41" s="4" t="s">
        <v>29</v>
      </c>
      <c r="B41" s="11">
        <f>IFERROR(Datos!G9/Datos!G10,"n.d.")</f>
        <v>2.456733897202342</v>
      </c>
      <c r="C41" s="11">
        <f>IFERROR(Datos!G35/Datos!G36,"n.d.")</f>
        <v>6.8465638001866598</v>
      </c>
      <c r="D41" s="11">
        <f>IFERROR(Datos!G61/Datos!G62,"n.d.")</f>
        <v>3.9247028118818057</v>
      </c>
      <c r="E41" s="11">
        <f>IFERROR(Datos!G87/Datos!G88,"n.d.")</f>
        <v>13.400736952925254</v>
      </c>
    </row>
    <row r="42" spans="1:10" x14ac:dyDescent="0.3">
      <c r="A42" s="4" t="s">
        <v>39</v>
      </c>
      <c r="B42" s="11">
        <f>IFERROR(Datos!G7/Datos!G18,"n.d.")</f>
        <v>4.1740854319610943</v>
      </c>
      <c r="C42" s="11">
        <f>IFERROR(Datos!G33/Datos!G44,"n.d.")</f>
        <v>7.1325600809299878</v>
      </c>
      <c r="D42" s="11">
        <f>IFERROR(Datos!G59/Datos!G70,"n.d.")</f>
        <v>9.7102301887976221</v>
      </c>
      <c r="E42" s="11">
        <f>IFERROR(Datos!G85/Datos!G96,"n.d.")</f>
        <v>5.62686308492201</v>
      </c>
    </row>
    <row r="43" spans="1:10" x14ac:dyDescent="0.3">
      <c r="A43" s="4" t="s">
        <v>40</v>
      </c>
      <c r="B43" s="13">
        <f>IFERROR(365*Datos!G18/Datos!G7,"n.d.")</f>
        <v>87.444305093801944</v>
      </c>
      <c r="C43" s="13">
        <f>IFERROR(365*Datos!G44/Datos!G33,"n.d.")</f>
        <v>51.173771529227558</v>
      </c>
      <c r="D43" s="13">
        <f>IFERROR(365*Datos!G70/Datos!G59,"n.d.")</f>
        <v>37.589222181477091</v>
      </c>
      <c r="E43" s="13">
        <f>IFERROR(365*Datos!G96/Datos!G85,"n.d.")</f>
        <v>64.867403825422727</v>
      </c>
    </row>
    <row r="44" spans="1:10" x14ac:dyDescent="0.3">
      <c r="A44" s="4" t="s">
        <v>41</v>
      </c>
      <c r="B44" s="11">
        <f>IFERROR(Datos!G6/Datos!G20,"n.d.")</f>
        <v>1.1376395493405453</v>
      </c>
      <c r="C44" s="11">
        <f>IFERROR(Datos!G32/Datos!G46,"n.d.")</f>
        <v>2.0425044112008464</v>
      </c>
      <c r="D44" s="11">
        <f>IFERROR(Datos!G58/Datos!G72,"n.d.")</f>
        <v>1.8415046611360892</v>
      </c>
      <c r="E44" s="11">
        <f>IFERROR(Datos!G84/Datos!G98,"n.d.")</f>
        <v>1.0755431843126606</v>
      </c>
    </row>
    <row r="45" spans="1:10" x14ac:dyDescent="0.3">
      <c r="A45" s="4" t="s">
        <v>33</v>
      </c>
      <c r="B45" s="12">
        <f>IFERROR(Datos!G8/Datos!G6,"n.d.")</f>
        <v>0.24090358561248346</v>
      </c>
      <c r="C45" s="12">
        <f>IFERROR(Datos!G34/Datos!G32,"n.d.")</f>
        <v>0.24238672302502801</v>
      </c>
      <c r="D45" s="12">
        <f>IFERROR(Datos!G60/Datos!G58,"n.d.")</f>
        <v>0.2295926382000967</v>
      </c>
      <c r="E45" s="12">
        <f>IFERROR(Datos!G86/Datos!G84,"n.d.")</f>
        <v>0.29637336028804057</v>
      </c>
    </row>
    <row r="46" spans="1:10" x14ac:dyDescent="0.3">
      <c r="A46" s="4" t="s">
        <v>34</v>
      </c>
      <c r="B46" s="12">
        <f>IFERROR(Datos!G13/Datos!G6,"n.d.")</f>
        <v>1.8781511421570009E-2</v>
      </c>
      <c r="C46" s="12">
        <f>IFERROR(Datos!G39/Datos!G32,"n.d.")</f>
        <v>4.9318706573036573E-2</v>
      </c>
      <c r="D46" s="12">
        <f>IFERROR(Datos!G65/Datos!G58,"n.d.")</f>
        <v>2.2417013233218309E-2</v>
      </c>
      <c r="E46" s="12">
        <f>IFERROR(Datos!G91/Datos!G84,"n.d.")</f>
        <v>5.6488739788884718E-2</v>
      </c>
    </row>
    <row r="47" spans="1:10" x14ac:dyDescent="0.3">
      <c r="A47" s="4" t="s">
        <v>42</v>
      </c>
      <c r="B47" s="5">
        <f>IFERROR(Datos!G13/Datos!G20,"n.d.")</f>
        <v>2.1366590189569209E-2</v>
      </c>
      <c r="C47" s="5">
        <f>IFERROR(Datos!G39/Datos!G46,"n.d.")</f>
        <v>0.10073367573014737</v>
      </c>
      <c r="D47" s="5">
        <f>IFERROR(Datos!G65/Datos!G72,"n.d.")</f>
        <v>4.128103435772091E-2</v>
      </c>
      <c r="E47" s="5">
        <f>IFERROR(Datos!G91/Datos!G98,"n.d.")</f>
        <v>6.0756079070346351E-2</v>
      </c>
    </row>
    <row r="48" spans="1:10" x14ac:dyDescent="0.3">
      <c r="A48" s="4" t="s">
        <v>43</v>
      </c>
      <c r="B48" s="5">
        <f>IFERROR(Datos!G13/Datos!G24,"n.d.")</f>
        <v>3.9347590048623898E-2</v>
      </c>
      <c r="C48" s="5">
        <f>IFERROR(Datos!G39/Datos!G50,"n.d.")</f>
        <v>0.2117780746336384</v>
      </c>
      <c r="D48" s="5">
        <f>IFERROR(Datos!G65/Datos!G76,"n.d.")</f>
        <v>0.12646073462052324</v>
      </c>
      <c r="E48" s="5">
        <f>IFERROR(Datos!G91/Datos!G102,"n.d.")</f>
        <v>8.149517504318024E-2</v>
      </c>
    </row>
    <row r="49" spans="1:5" x14ac:dyDescent="0.3">
      <c r="A49" s="4" t="s">
        <v>44</v>
      </c>
      <c r="B49" s="5">
        <f>IFERROR(Datos!G9*(1-WACC!$B$10)/(Datos!G24+Datos!G29),"n.d.")</f>
        <v>4.8790032302722657E-2</v>
      </c>
      <c r="C49" s="5">
        <f>IFERROR(Datos!G35*(1-WACC!$B$10)/(Datos!G50+Datos!G55),"n.d.")</f>
        <v>0.17364337312540409</v>
      </c>
      <c r="D49" s="5">
        <f>IFERROR(Datos!G61*(1-WACC!$B$10)/(Datos!G76+Datos!G81),"n.d.")</f>
        <v>9.6876334870248312E-2</v>
      </c>
      <c r="E49" s="5">
        <f>IFERROR(Datos!G87*(1-WACC!$B$10)/(Datos!G102+Datos!G107),"n.d.")</f>
        <v>7.0505438729860856E-2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"/>
  <sheetViews>
    <sheetView zoomScale="76" zoomScaleNormal="76" workbookViewId="0">
      <selection activeCell="B107" sqref="B107"/>
    </sheetView>
  </sheetViews>
  <sheetFormatPr baseColWidth="10" defaultColWidth="11.44140625" defaultRowHeight="14.4" x14ac:dyDescent="0.3"/>
  <cols>
    <col min="1" max="1" width="61.109375" customWidth="1"/>
    <col min="2" max="2" width="50.6640625" customWidth="1"/>
    <col min="3" max="3" width="70.33203125" customWidth="1"/>
    <col min="4" max="5" width="22.109375" customWidth="1"/>
  </cols>
  <sheetData>
    <row r="1" spans="1:10" ht="18.75" customHeight="1" x14ac:dyDescent="0.35">
      <c r="A1" s="14"/>
    </row>
    <row r="2" spans="1:10" x14ac:dyDescent="0.3">
      <c r="A2" s="15"/>
    </row>
    <row r="4" spans="1:10" x14ac:dyDescent="0.3">
      <c r="A4" s="2" t="s">
        <v>45</v>
      </c>
      <c r="B4" s="2" t="s">
        <v>46</v>
      </c>
      <c r="C4" s="3"/>
      <c r="D4" s="3"/>
      <c r="E4" s="3"/>
      <c r="F4" s="3"/>
      <c r="G4" s="3"/>
      <c r="H4" s="3"/>
      <c r="I4" s="3"/>
      <c r="J4" s="3"/>
    </row>
    <row r="5" spans="1:10" x14ac:dyDescent="0.3">
      <c r="A5" s="4" t="s">
        <v>47</v>
      </c>
      <c r="B5" s="4" t="s">
        <v>48</v>
      </c>
    </row>
    <row r="6" spans="1:10" x14ac:dyDescent="0.3">
      <c r="A6" s="4" t="s">
        <v>49</v>
      </c>
      <c r="B6" s="4" t="s">
        <v>50</v>
      </c>
    </row>
    <row r="7" spans="1:10" x14ac:dyDescent="0.3">
      <c r="A7" s="4" t="s">
        <v>51</v>
      </c>
      <c r="B7" s="4" t="s">
        <v>52</v>
      </c>
    </row>
    <row r="8" spans="1:10" x14ac:dyDescent="0.3">
      <c r="A8" s="4" t="s">
        <v>53</v>
      </c>
      <c r="B8" s="4" t="s">
        <v>54</v>
      </c>
    </row>
    <row r="9" spans="1:10" x14ac:dyDescent="0.3">
      <c r="A9" s="4" t="s">
        <v>55</v>
      </c>
      <c r="B9" s="16">
        <v>812</v>
      </c>
    </row>
    <row r="10" spans="1:10" x14ac:dyDescent="0.3">
      <c r="A10" s="4" t="s">
        <v>56</v>
      </c>
      <c r="B10" s="16">
        <v>82064</v>
      </c>
    </row>
    <row r="11" spans="1:10" x14ac:dyDescent="0.3">
      <c r="A11" s="4" t="s">
        <v>57</v>
      </c>
      <c r="B11" s="17">
        <f>WACC!B17</f>
        <v>1800</v>
      </c>
    </row>
    <row r="12" spans="1:10" x14ac:dyDescent="0.3">
      <c r="A12" s="4" t="s">
        <v>58</v>
      </c>
      <c r="B12" s="17">
        <f>WACC!B18</f>
        <v>60263.999999999993</v>
      </c>
    </row>
    <row r="13" spans="1:10" x14ac:dyDescent="0.3">
      <c r="B13" s="10"/>
    </row>
    <row r="14" spans="1:10" x14ac:dyDescent="0.3">
      <c r="A14" s="2" t="s">
        <v>59</v>
      </c>
      <c r="B14" s="18" t="s">
        <v>60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4" t="s">
        <v>61</v>
      </c>
      <c r="B15" s="17" t="s">
        <v>62</v>
      </c>
    </row>
    <row r="16" spans="1:10" x14ac:dyDescent="0.3">
      <c r="A16" s="4" t="s">
        <v>63</v>
      </c>
      <c r="B16" s="17" t="s">
        <v>64</v>
      </c>
    </row>
    <row r="17" spans="1:10" x14ac:dyDescent="0.3">
      <c r="A17" s="4" t="s">
        <v>65</v>
      </c>
      <c r="B17" s="17" t="s">
        <v>66</v>
      </c>
    </row>
    <row r="18" spans="1:10" x14ac:dyDescent="0.3">
      <c r="A18" s="4" t="s">
        <v>67</v>
      </c>
      <c r="B18" s="17" t="s">
        <v>68</v>
      </c>
    </row>
    <row r="19" spans="1:10" x14ac:dyDescent="0.3">
      <c r="A19" s="4" t="s">
        <v>69</v>
      </c>
      <c r="B19" s="17" t="s">
        <v>70</v>
      </c>
    </row>
    <row r="20" spans="1:10" x14ac:dyDescent="0.3">
      <c r="A20" s="19"/>
      <c r="B20" s="20"/>
    </row>
    <row r="21" spans="1:10" x14ac:dyDescent="0.3">
      <c r="A21" s="2" t="s">
        <v>71</v>
      </c>
      <c r="B21" s="2" t="s">
        <v>46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4" t="s">
        <v>72</v>
      </c>
      <c r="B22" s="4" t="s">
        <v>73</v>
      </c>
    </row>
    <row r="23" spans="1:10" x14ac:dyDescent="0.3">
      <c r="A23" s="4" t="s">
        <v>74</v>
      </c>
      <c r="B23" s="4" t="s">
        <v>75</v>
      </c>
    </row>
    <row r="24" spans="1:10" x14ac:dyDescent="0.3">
      <c r="A24" s="4" t="s">
        <v>76</v>
      </c>
      <c r="B24" s="4">
        <v>23.356999999999999</v>
      </c>
    </row>
    <row r="25" spans="1:10" x14ac:dyDescent="0.3">
      <c r="A25" s="19"/>
      <c r="B25" s="19"/>
    </row>
    <row r="26" spans="1:10" x14ac:dyDescent="0.3">
      <c r="A26" s="2" t="s">
        <v>77</v>
      </c>
      <c r="B26" s="2" t="s">
        <v>78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4" t="s">
        <v>79</v>
      </c>
      <c r="B27" s="6">
        <f>Datos!G6</f>
        <v>177515</v>
      </c>
    </row>
    <row r="28" spans="1:10" x14ac:dyDescent="0.3">
      <c r="A28" s="4" t="s">
        <v>80</v>
      </c>
      <c r="B28" s="6">
        <f>Datos!G8</f>
        <v>42764</v>
      </c>
    </row>
    <row r="29" spans="1:10" x14ac:dyDescent="0.3">
      <c r="A29" s="4" t="s">
        <v>81</v>
      </c>
      <c r="B29" s="6">
        <f>Datos!G9</f>
        <v>7552</v>
      </c>
    </row>
    <row r="30" spans="1:10" x14ac:dyDescent="0.3">
      <c r="A30" s="4" t="s">
        <v>82</v>
      </c>
      <c r="B30" s="6">
        <f>Datos!G13</f>
        <v>3334</v>
      </c>
    </row>
    <row r="31" spans="1:10" x14ac:dyDescent="0.3">
      <c r="A31" s="4" t="s">
        <v>33</v>
      </c>
      <c r="B31" s="12">
        <f>Datos!G8/Datos!G6</f>
        <v>0.24090358561248346</v>
      </c>
    </row>
    <row r="32" spans="1:10" x14ac:dyDescent="0.3">
      <c r="A32" s="4" t="s">
        <v>83</v>
      </c>
      <c r="B32" s="12">
        <f>Datos!G9/Datos!G6</f>
        <v>4.2542883699969017E-2</v>
      </c>
    </row>
    <row r="33" spans="1:10" x14ac:dyDescent="0.3">
      <c r="A33" s="4" t="s">
        <v>34</v>
      </c>
      <c r="B33" s="12">
        <f>Datos!G13/Datos!G6</f>
        <v>1.8781511421570009E-2</v>
      </c>
    </row>
    <row r="34" spans="1:10" x14ac:dyDescent="0.3">
      <c r="B34" s="10"/>
    </row>
    <row r="35" spans="1:10" x14ac:dyDescent="0.3">
      <c r="A35" s="2" t="s">
        <v>84</v>
      </c>
      <c r="B35" s="2" t="s">
        <v>85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4" t="s">
        <v>79</v>
      </c>
      <c r="B36" s="6">
        <f>Datos!F6</f>
        <v>43559</v>
      </c>
    </row>
    <row r="37" spans="1:10" x14ac:dyDescent="0.3">
      <c r="A37" s="4" t="s">
        <v>86</v>
      </c>
      <c r="B37" s="6">
        <f>Datos!F7</f>
        <v>32919</v>
      </c>
    </row>
    <row r="38" spans="1:10" x14ac:dyDescent="0.3">
      <c r="A38" s="4" t="s">
        <v>80</v>
      </c>
      <c r="B38" s="6">
        <f>Datos!F8</f>
        <v>10640</v>
      </c>
    </row>
    <row r="39" spans="1:10" x14ac:dyDescent="0.3">
      <c r="A39" s="4" t="s">
        <v>87</v>
      </c>
      <c r="B39" s="6">
        <f>Datos!F9</f>
        <v>1855</v>
      </c>
    </row>
    <row r="40" spans="1:10" x14ac:dyDescent="0.3">
      <c r="A40" s="4" t="s">
        <v>88</v>
      </c>
      <c r="B40" s="6">
        <f>Datos!F10</f>
        <v>582</v>
      </c>
    </row>
    <row r="41" spans="1:10" x14ac:dyDescent="0.3">
      <c r="A41" s="4" t="s">
        <v>89</v>
      </c>
      <c r="B41" s="6">
        <f>Datos!F13</f>
        <v>1090</v>
      </c>
    </row>
    <row r="42" spans="1:10" x14ac:dyDescent="0.3">
      <c r="B42" s="10"/>
    </row>
    <row r="43" spans="1:10" x14ac:dyDescent="0.3">
      <c r="A43" s="2" t="s">
        <v>90</v>
      </c>
      <c r="B43" s="2" t="s">
        <v>91</v>
      </c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4" t="s">
        <v>92</v>
      </c>
      <c r="B44" s="6">
        <f>Datos!G20</f>
        <v>156038</v>
      </c>
    </row>
    <row r="45" spans="1:10" x14ac:dyDescent="0.3">
      <c r="A45" s="4" t="s">
        <v>93</v>
      </c>
      <c r="B45" s="6">
        <f>Datos!G23</f>
        <v>71306</v>
      </c>
    </row>
    <row r="46" spans="1:10" x14ac:dyDescent="0.3">
      <c r="A46" s="4" t="s">
        <v>94</v>
      </c>
      <c r="B46" s="6">
        <f>Datos!G24</f>
        <v>84732</v>
      </c>
    </row>
    <row r="47" spans="1:10" x14ac:dyDescent="0.3">
      <c r="A47" s="4" t="s">
        <v>95</v>
      </c>
      <c r="B47" s="6">
        <f>Datos!G25+Datos!G26</f>
        <v>11500</v>
      </c>
    </row>
    <row r="48" spans="1:10" x14ac:dyDescent="0.3">
      <c r="A48" s="4" t="s">
        <v>96</v>
      </c>
      <c r="B48" s="6">
        <f>Datos!G17</f>
        <v>9295</v>
      </c>
    </row>
    <row r="49" spans="1:10" x14ac:dyDescent="0.3">
      <c r="B49" s="10"/>
    </row>
    <row r="50" spans="1:10" x14ac:dyDescent="0.3">
      <c r="A50" s="2" t="s">
        <v>97</v>
      </c>
      <c r="B50" s="2" t="s">
        <v>78</v>
      </c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4" t="s">
        <v>98</v>
      </c>
      <c r="B51" s="6">
        <f>Datos!G15</f>
        <v>13738</v>
      </c>
    </row>
    <row r="52" spans="1:10" x14ac:dyDescent="0.3">
      <c r="A52" s="4" t="s">
        <v>99</v>
      </c>
      <c r="B52" s="6">
        <f>Datos!G16</f>
        <v>2867</v>
      </c>
    </row>
    <row r="53" spans="1:10" x14ac:dyDescent="0.3">
      <c r="A53" s="4" t="s">
        <v>100</v>
      </c>
      <c r="B53" s="6">
        <f>B51-B52</f>
        <v>10871</v>
      </c>
    </row>
    <row r="54" spans="1:10" x14ac:dyDescent="0.3">
      <c r="B54" s="10"/>
    </row>
    <row r="55" spans="1:10" x14ac:dyDescent="0.3">
      <c r="A55" s="2" t="s">
        <v>101</v>
      </c>
      <c r="B55" s="2" t="s">
        <v>78</v>
      </c>
      <c r="C55" s="3"/>
      <c r="D55" s="3"/>
      <c r="E55" s="3"/>
      <c r="F55" s="3"/>
      <c r="G55" s="3"/>
      <c r="H55" s="3"/>
      <c r="I55" s="3"/>
      <c r="J55" s="3"/>
    </row>
    <row r="56" spans="1:10" x14ac:dyDescent="0.3">
      <c r="A56" s="4" t="s">
        <v>102</v>
      </c>
      <c r="B56" s="11">
        <f>WACC!B13/(Datos!G13/WACC!B17)</f>
        <v>18.075584883023392</v>
      </c>
    </row>
    <row r="57" spans="1:10" x14ac:dyDescent="0.3">
      <c r="A57" s="4" t="s">
        <v>103</v>
      </c>
      <c r="B57" s="7">
        <f>Datos!G24/WACC!B17</f>
        <v>47.073333333333331</v>
      </c>
    </row>
    <row r="58" spans="1:10" x14ac:dyDescent="0.3">
      <c r="A58" s="4" t="s">
        <v>104</v>
      </c>
      <c r="B58" s="11">
        <f>WACC!B13/B57</f>
        <v>0.71123070386630782</v>
      </c>
    </row>
    <row r="59" spans="1:10" x14ac:dyDescent="0.3">
      <c r="A59" s="4" t="s">
        <v>105</v>
      </c>
      <c r="B59" s="12">
        <f>Comparativo!B48</f>
        <v>3.9347590048623898E-2</v>
      </c>
    </row>
    <row r="60" spans="1:10" x14ac:dyDescent="0.3">
      <c r="B60" s="10"/>
    </row>
    <row r="61" spans="1:10" x14ac:dyDescent="0.3">
      <c r="A61" s="2" t="s">
        <v>106</v>
      </c>
      <c r="B61" s="2" t="s">
        <v>78</v>
      </c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4" t="s">
        <v>107</v>
      </c>
      <c r="B62" s="21">
        <v>0.55559999999999998</v>
      </c>
    </row>
    <row r="63" spans="1:10" x14ac:dyDescent="0.3">
      <c r="A63" s="4" t="s">
        <v>108</v>
      </c>
      <c r="B63" s="5">
        <f>B62/WACC!B13</f>
        <v>1.6594982078853047E-2</v>
      </c>
    </row>
    <row r="64" spans="1:10" x14ac:dyDescent="0.3">
      <c r="B64" s="10"/>
    </row>
    <row r="65" spans="1:10" x14ac:dyDescent="0.3">
      <c r="A65" s="2" t="s">
        <v>109</v>
      </c>
      <c r="B65" s="2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4" t="s">
        <v>110</v>
      </c>
      <c r="B66" s="4" t="s">
        <v>111</v>
      </c>
    </row>
    <row r="67" spans="1:10" x14ac:dyDescent="0.3">
      <c r="A67" s="4" t="s">
        <v>112</v>
      </c>
      <c r="B67" s="12">
        <f>Datos!F8/Datos!F6</f>
        <v>0.24426639730021352</v>
      </c>
    </row>
    <row r="68" spans="1:10" x14ac:dyDescent="0.3">
      <c r="A68" s="4" t="s">
        <v>113</v>
      </c>
      <c r="B68" s="16">
        <v>477</v>
      </c>
    </row>
    <row r="69" spans="1:10" x14ac:dyDescent="0.3">
      <c r="A69" s="4" t="s">
        <v>114</v>
      </c>
      <c r="B69" s="16">
        <f>Datos!F25+Datos!F26-Datos!F17</f>
        <v>4624.616</v>
      </c>
    </row>
    <row r="70" spans="1:10" x14ac:dyDescent="0.3">
      <c r="A70" s="4" t="s">
        <v>115</v>
      </c>
      <c r="B70" s="16">
        <f>Datos!E16+Datos!F16</f>
        <v>1410.9</v>
      </c>
    </row>
    <row r="71" spans="1:10" x14ac:dyDescent="0.3">
      <c r="B71" s="10"/>
    </row>
    <row r="72" spans="1:10" x14ac:dyDescent="0.3">
      <c r="A72" s="2" t="s">
        <v>116</v>
      </c>
      <c r="B72" s="2" t="s">
        <v>78</v>
      </c>
      <c r="C72" s="3"/>
      <c r="D72" s="3"/>
      <c r="E72" s="3"/>
      <c r="F72" s="3"/>
      <c r="G72" s="3"/>
      <c r="H72" s="3"/>
      <c r="I72" s="3"/>
      <c r="J72" s="3"/>
    </row>
    <row r="73" spans="1:10" x14ac:dyDescent="0.3">
      <c r="A73" s="4" t="s">
        <v>117</v>
      </c>
      <c r="B73" s="22" t="s">
        <v>118</v>
      </c>
    </row>
    <row r="74" spans="1:10" x14ac:dyDescent="0.3">
      <c r="A74" s="4" t="s">
        <v>119</v>
      </c>
      <c r="B74" s="23">
        <f>B24/WACC!B13-1</f>
        <v>-0.30235961768219832</v>
      </c>
    </row>
    <row r="75" spans="1:10" x14ac:dyDescent="0.3">
      <c r="A75" s="4" t="s">
        <v>120</v>
      </c>
      <c r="B75" s="16">
        <v>196480</v>
      </c>
    </row>
    <row r="76" spans="1:10" x14ac:dyDescent="0.3">
      <c r="B76" s="10"/>
    </row>
    <row r="77" spans="1:10" x14ac:dyDescent="0.3">
      <c r="A77" s="2" t="s">
        <v>121</v>
      </c>
      <c r="B77" s="2" t="s">
        <v>78</v>
      </c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4" t="s">
        <v>122</v>
      </c>
      <c r="B78" s="7">
        <f>WACC!B13</f>
        <v>33.479999999999997</v>
      </c>
    </row>
    <row r="79" spans="1:10" x14ac:dyDescent="0.3">
      <c r="A79" s="4" t="s">
        <v>123</v>
      </c>
      <c r="B79" s="4" t="s">
        <v>124</v>
      </c>
    </row>
    <row r="80" spans="1:10" x14ac:dyDescent="0.3">
      <c r="A80" s="4" t="s">
        <v>125</v>
      </c>
      <c r="B80" s="12">
        <v>0.2127</v>
      </c>
    </row>
    <row r="81" spans="1:10" x14ac:dyDescent="0.3">
      <c r="A81" s="4" t="s">
        <v>126</v>
      </c>
      <c r="B81" s="4" t="s">
        <v>127</v>
      </c>
    </row>
    <row r="82" spans="1:10" x14ac:dyDescent="0.3">
      <c r="A82" s="4" t="s">
        <v>128</v>
      </c>
      <c r="B82" s="13">
        <v>75</v>
      </c>
    </row>
    <row r="83" spans="1:10" x14ac:dyDescent="0.3">
      <c r="A83" s="4" t="s">
        <v>129</v>
      </c>
      <c r="B83" s="24">
        <v>1.1539999999999999</v>
      </c>
    </row>
    <row r="84" spans="1:10" x14ac:dyDescent="0.3">
      <c r="A84" s="4" t="s">
        <v>130</v>
      </c>
      <c r="B84" s="7">
        <v>29.68</v>
      </c>
    </row>
    <row r="85" spans="1:10" x14ac:dyDescent="0.3">
      <c r="A85" s="4" t="s">
        <v>131</v>
      </c>
      <c r="B85" s="7">
        <v>29.71</v>
      </c>
    </row>
    <row r="88" spans="1:10" x14ac:dyDescent="0.3">
      <c r="A88" s="2" t="s">
        <v>132</v>
      </c>
      <c r="B88" s="2" t="s">
        <v>1</v>
      </c>
      <c r="C88" s="2" t="s">
        <v>2</v>
      </c>
      <c r="D88" s="2" t="s">
        <v>3</v>
      </c>
      <c r="E88" s="2" t="s">
        <v>4</v>
      </c>
      <c r="F88" s="3"/>
      <c r="G88" s="3"/>
      <c r="H88" s="3"/>
      <c r="I88" s="3"/>
      <c r="J88" s="3"/>
    </row>
    <row r="89" spans="1:10" x14ac:dyDescent="0.3">
      <c r="A89" s="4" t="s">
        <v>133</v>
      </c>
      <c r="B89" s="7">
        <f>WACC!B13</f>
        <v>33.479999999999997</v>
      </c>
      <c r="C89" s="7">
        <f>WACC!C13</f>
        <v>46.6</v>
      </c>
      <c r="D89" s="7">
        <f>WACC!D13</f>
        <v>92.94</v>
      </c>
      <c r="E89" s="7">
        <f>WACC!E13</f>
        <v>32.08</v>
      </c>
    </row>
    <row r="90" spans="1:10" x14ac:dyDescent="0.3">
      <c r="A90" s="4" t="s">
        <v>134</v>
      </c>
      <c r="B90" s="11">
        <f>B56</f>
        <v>18.075584883023392</v>
      </c>
      <c r="C90" s="11">
        <f>WACC!C13/(Datos!G39/WACC!C17)</f>
        <v>16.308101600691447</v>
      </c>
      <c r="D90" s="11">
        <f>WACC!D13/(Datos!G65/WACC!D17)</f>
        <v>13.481170900533614</v>
      </c>
      <c r="E90" s="11">
        <f>WACC!E13/(Datos!G91/WACC!E17)</f>
        <v>12.735033821031619</v>
      </c>
    </row>
    <row r="91" spans="1:10" x14ac:dyDescent="0.3">
      <c r="A91" s="4" t="s">
        <v>135</v>
      </c>
      <c r="B91" s="12">
        <f>B63</f>
        <v>1.6594982078853047E-2</v>
      </c>
      <c r="C91" s="12">
        <v>2.53E-2</v>
      </c>
      <c r="D91" s="12">
        <v>2.4899999999999999E-2</v>
      </c>
      <c r="E91" s="12">
        <v>8.8000000000000005E-3</v>
      </c>
    </row>
    <row r="92" spans="1:10" x14ac:dyDescent="0.3">
      <c r="A92" s="4" t="s">
        <v>125</v>
      </c>
      <c r="B92" s="12">
        <f>B80</f>
        <v>0.2127</v>
      </c>
      <c r="C92" s="12">
        <v>-0.1686</v>
      </c>
      <c r="D92" s="12">
        <v>-0.41249999999999998</v>
      </c>
      <c r="E92" s="12">
        <v>-0.2051</v>
      </c>
    </row>
    <row r="93" spans="1:10" x14ac:dyDescent="0.3">
      <c r="A93" s="4" t="s">
        <v>136</v>
      </c>
      <c r="B93" s="25">
        <v>-0.24</v>
      </c>
      <c r="C93" s="25">
        <v>0.03</v>
      </c>
      <c r="D93" s="25">
        <v>-0.06</v>
      </c>
      <c r="E93" s="25">
        <v>0.17</v>
      </c>
    </row>
    <row r="94" spans="1:10" x14ac:dyDescent="0.3">
      <c r="A94" s="4" t="s">
        <v>137</v>
      </c>
      <c r="B94" s="4" t="s">
        <v>127</v>
      </c>
      <c r="C94" s="4" t="s">
        <v>127</v>
      </c>
      <c r="D94" s="4" t="s">
        <v>127</v>
      </c>
      <c r="E94" s="4" t="s">
        <v>127</v>
      </c>
    </row>
    <row r="95" spans="1:10" x14ac:dyDescent="0.3">
      <c r="A95" s="4" t="s">
        <v>128</v>
      </c>
      <c r="B95" s="13">
        <f>B82</f>
        <v>75</v>
      </c>
      <c r="C95" s="13">
        <v>41.07</v>
      </c>
      <c r="D95" s="13">
        <v>60.23</v>
      </c>
      <c r="E95" s="13">
        <v>40.03</v>
      </c>
    </row>
    <row r="96" spans="1:10" x14ac:dyDescent="0.3">
      <c r="A96" s="4" t="s">
        <v>74</v>
      </c>
      <c r="B96" s="4" t="s">
        <v>75</v>
      </c>
      <c r="C96" s="4" t="s">
        <v>138</v>
      </c>
      <c r="D96" s="4" t="s">
        <v>138</v>
      </c>
      <c r="E96" s="4" t="s">
        <v>139</v>
      </c>
    </row>
    <row r="97" spans="1:5" x14ac:dyDescent="0.3">
      <c r="A97" s="4" t="s">
        <v>140</v>
      </c>
      <c r="B97" s="7">
        <f>Comparativo!B18</f>
        <v>23.356999999999999</v>
      </c>
      <c r="C97" s="7">
        <f>Comparativo!C18</f>
        <v>60.094000000000001</v>
      </c>
      <c r="D97" s="7">
        <f>Comparativo!D18</f>
        <v>128.93299999999999</v>
      </c>
      <c r="E97" s="7">
        <f>Comparativo!E18</f>
        <v>47.67</v>
      </c>
    </row>
    <row r="98" spans="1:5" x14ac:dyDescent="0.3">
      <c r="A98" s="4" t="s">
        <v>141</v>
      </c>
      <c r="B98" s="4" t="s">
        <v>142</v>
      </c>
      <c r="C98" s="4" t="s">
        <v>143</v>
      </c>
      <c r="D98" s="4" t="s">
        <v>144</v>
      </c>
      <c r="E98" s="4" t="s">
        <v>143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topLeftCell="A19" zoomScale="87" zoomScaleNormal="87" workbookViewId="0">
      <selection activeCell="A37" sqref="A37"/>
    </sheetView>
  </sheetViews>
  <sheetFormatPr baseColWidth="10" defaultColWidth="11.44140625" defaultRowHeight="14.4" x14ac:dyDescent="0.3"/>
  <cols>
    <col min="1" max="1" width="48.109375" customWidth="1"/>
    <col min="2" max="9" width="14.44140625" customWidth="1"/>
    <col min="10" max="10" width="48.109375" customWidth="1"/>
  </cols>
  <sheetData>
    <row r="1" spans="1:10" ht="18.75" customHeight="1" x14ac:dyDescent="0.35">
      <c r="A1" s="14"/>
    </row>
    <row r="2" spans="1:10" x14ac:dyDescent="0.3">
      <c r="A2" s="15"/>
    </row>
    <row r="5" spans="1:10" x14ac:dyDescent="0.3">
      <c r="A5" s="2" t="s">
        <v>145</v>
      </c>
      <c r="B5" s="2" t="s">
        <v>146</v>
      </c>
      <c r="C5" s="2" t="s">
        <v>147</v>
      </c>
      <c r="D5" s="2" t="s">
        <v>148</v>
      </c>
      <c r="E5" s="2" t="s">
        <v>149</v>
      </c>
      <c r="F5" s="2" t="s">
        <v>85</v>
      </c>
      <c r="G5" s="2" t="s">
        <v>150</v>
      </c>
      <c r="H5" s="3"/>
      <c r="I5" s="3"/>
      <c r="J5" s="3"/>
    </row>
    <row r="6" spans="1:10" x14ac:dyDescent="0.3">
      <c r="A6" s="4" t="s">
        <v>79</v>
      </c>
      <c r="B6" s="6">
        <v>45810</v>
      </c>
      <c r="C6" s="6">
        <v>42683</v>
      </c>
      <c r="D6" s="6">
        <v>47592</v>
      </c>
      <c r="E6" s="6">
        <v>40444</v>
      </c>
      <c r="F6" s="6">
        <v>43559</v>
      </c>
      <c r="G6" s="6">
        <v>177515</v>
      </c>
    </row>
    <row r="7" spans="1:10" x14ac:dyDescent="0.3">
      <c r="A7" s="4" t="s">
        <v>86</v>
      </c>
      <c r="B7" s="6">
        <v>34856</v>
      </c>
      <c r="C7" s="6">
        <v>31998</v>
      </c>
      <c r="D7" s="6">
        <v>35795</v>
      </c>
      <c r="E7" s="6">
        <v>30466</v>
      </c>
      <c r="F7" s="6">
        <v>32919</v>
      </c>
      <c r="G7" s="6">
        <v>134752</v>
      </c>
      <c r="H7" s="10"/>
      <c r="I7" s="10"/>
    </row>
    <row r="8" spans="1:10" x14ac:dyDescent="0.3">
      <c r="A8" s="4" t="s">
        <v>80</v>
      </c>
      <c r="B8" s="6">
        <v>10954</v>
      </c>
      <c r="C8" s="6">
        <v>10685</v>
      </c>
      <c r="D8" s="6">
        <v>11797</v>
      </c>
      <c r="E8" s="6">
        <v>9978</v>
      </c>
      <c r="F8" s="6">
        <v>10640</v>
      </c>
      <c r="G8" s="6">
        <v>42764</v>
      </c>
      <c r="H8" s="10"/>
      <c r="I8" s="10"/>
    </row>
    <row r="9" spans="1:10" x14ac:dyDescent="0.3">
      <c r="A9" s="4" t="s">
        <v>81</v>
      </c>
      <c r="B9" s="6">
        <v>1909</v>
      </c>
      <c r="C9" s="6">
        <v>1468</v>
      </c>
      <c r="D9" s="6">
        <v>2486</v>
      </c>
      <c r="E9" s="6">
        <v>1822</v>
      </c>
      <c r="F9" s="6">
        <v>1855</v>
      </c>
      <c r="G9" s="6">
        <v>7552</v>
      </c>
      <c r="H9" s="10"/>
      <c r="I9" s="10"/>
    </row>
    <row r="10" spans="1:10" x14ac:dyDescent="0.3">
      <c r="A10" s="4" t="s">
        <v>151</v>
      </c>
      <c r="B10" s="6">
        <v>829</v>
      </c>
      <c r="C10" s="6">
        <v>786</v>
      </c>
      <c r="D10" s="6">
        <v>616</v>
      </c>
      <c r="E10" s="6">
        <v>588</v>
      </c>
      <c r="F10" s="6">
        <v>582</v>
      </c>
      <c r="G10" s="6">
        <v>3074</v>
      </c>
      <c r="H10" s="10"/>
      <c r="I10" s="10"/>
    </row>
    <row r="11" spans="1:10" x14ac:dyDescent="0.3">
      <c r="A11" s="4" t="s">
        <v>152</v>
      </c>
      <c r="B11" s="6">
        <v>1203</v>
      </c>
      <c r="C11" s="6">
        <v>764</v>
      </c>
      <c r="D11" s="6">
        <v>1763</v>
      </c>
      <c r="E11" s="6">
        <v>1326</v>
      </c>
      <c r="F11" s="6">
        <v>1372</v>
      </c>
      <c r="G11" s="6">
        <v>4766</v>
      </c>
      <c r="H11" s="10"/>
      <c r="I11" s="10"/>
    </row>
    <row r="12" spans="1:10" x14ac:dyDescent="0.3">
      <c r="A12" s="4" t="s">
        <v>153</v>
      </c>
      <c r="B12" s="6">
        <v>461</v>
      </c>
      <c r="C12" s="6">
        <v>179</v>
      </c>
      <c r="D12" s="6">
        <v>455</v>
      </c>
      <c r="E12" s="6">
        <v>492</v>
      </c>
      <c r="F12" s="6">
        <v>282</v>
      </c>
      <c r="G12" s="6">
        <v>1433</v>
      </c>
      <c r="H12" s="10"/>
      <c r="I12" s="10"/>
    </row>
    <row r="13" spans="1:10" x14ac:dyDescent="0.3">
      <c r="A13" s="4" t="s">
        <v>82</v>
      </c>
      <c r="B13" s="6">
        <v>743</v>
      </c>
      <c r="C13" s="6">
        <v>584</v>
      </c>
      <c r="D13" s="6">
        <v>1308</v>
      </c>
      <c r="E13" s="6">
        <v>834</v>
      </c>
      <c r="F13" s="6">
        <v>1090</v>
      </c>
      <c r="G13" s="6">
        <v>3334</v>
      </c>
      <c r="H13" s="10"/>
      <c r="I13" s="10"/>
    </row>
    <row r="14" spans="1:10" x14ac:dyDescent="0.3">
      <c r="A14" s="4" t="s">
        <v>154</v>
      </c>
      <c r="B14" s="6">
        <v>1105.905</v>
      </c>
      <c r="C14" s="6">
        <v>1049.3489999999999</v>
      </c>
      <c r="D14" s="6">
        <v>1051</v>
      </c>
      <c r="E14" s="6">
        <v>1048.8889999999999</v>
      </c>
      <c r="F14" s="6">
        <v>1030.633</v>
      </c>
      <c r="G14" s="6">
        <v>4342</v>
      </c>
      <c r="H14" s="10"/>
      <c r="I14" s="10"/>
    </row>
    <row r="15" spans="1:10" x14ac:dyDescent="0.3">
      <c r="A15" s="4" t="s">
        <v>98</v>
      </c>
      <c r="B15" s="6">
        <v>4013.1129999999998</v>
      </c>
      <c r="C15" s="6">
        <v>-205.9</v>
      </c>
      <c r="D15" s="6">
        <v>13017</v>
      </c>
      <c r="E15" s="6">
        <v>-3565.6</v>
      </c>
      <c r="F15" s="6">
        <v>3916.0030000000002</v>
      </c>
      <c r="G15" s="6">
        <v>13738</v>
      </c>
      <c r="H15" s="10"/>
      <c r="I15" s="10"/>
    </row>
    <row r="16" spans="1:10" x14ac:dyDescent="0.3">
      <c r="A16" s="4" t="s">
        <v>155</v>
      </c>
      <c r="B16" s="6">
        <f>SUM(B110:B112)</f>
        <v>663.2</v>
      </c>
      <c r="C16" s="6">
        <f>SUM(C110:C112)</f>
        <v>775.2</v>
      </c>
      <c r="D16" s="6">
        <f>SUM(D110:D112)</f>
        <v>816</v>
      </c>
      <c r="E16" s="6">
        <f>SUM(E110:E112)</f>
        <v>501</v>
      </c>
      <c r="F16" s="6">
        <f>SUM(F110:F112)</f>
        <v>909.9</v>
      </c>
      <c r="G16" s="6">
        <v>2867</v>
      </c>
      <c r="H16" s="10"/>
      <c r="I16" s="10"/>
    </row>
    <row r="17" spans="1:10" x14ac:dyDescent="0.3">
      <c r="A17" s="4" t="s">
        <v>13</v>
      </c>
      <c r="B17" s="6">
        <v>7540</v>
      </c>
      <c r="C17" s="6">
        <v>5798</v>
      </c>
      <c r="D17" s="6">
        <v>9295</v>
      </c>
      <c r="E17" s="6">
        <v>4589</v>
      </c>
      <c r="F17" s="6">
        <v>6875.384</v>
      </c>
      <c r="G17" s="6">
        <f t="shared" ref="G17:G28" si="0">D17</f>
        <v>9295</v>
      </c>
      <c r="H17" s="10"/>
      <c r="I17" s="10"/>
    </row>
    <row r="18" spans="1:10" x14ac:dyDescent="0.3">
      <c r="A18" s="4" t="s">
        <v>156</v>
      </c>
      <c r="B18" s="6">
        <v>37421</v>
      </c>
      <c r="C18" s="6">
        <v>36394</v>
      </c>
      <c r="D18" s="6">
        <v>32283</v>
      </c>
      <c r="E18" s="6">
        <v>32635</v>
      </c>
      <c r="F18" s="6">
        <v>35486.661</v>
      </c>
      <c r="G18" s="6">
        <f t="shared" si="0"/>
        <v>32283</v>
      </c>
      <c r="H18" s="10"/>
      <c r="I18" s="10"/>
    </row>
    <row r="19" spans="1:10" x14ac:dyDescent="0.3">
      <c r="A19" s="4" t="s">
        <v>157</v>
      </c>
      <c r="B19" s="6">
        <v>52131</v>
      </c>
      <c r="C19" s="6">
        <v>49767</v>
      </c>
      <c r="D19" s="6">
        <v>48529</v>
      </c>
      <c r="E19" s="6">
        <v>43562</v>
      </c>
      <c r="F19" s="6">
        <v>49259.847000000002</v>
      </c>
      <c r="G19" s="6">
        <f t="shared" si="0"/>
        <v>48529</v>
      </c>
      <c r="H19" s="10"/>
      <c r="I19" s="10"/>
    </row>
    <row r="20" spans="1:10" x14ac:dyDescent="0.3">
      <c r="A20" s="4" t="s">
        <v>92</v>
      </c>
      <c r="B20" s="6">
        <v>159842</v>
      </c>
      <c r="C20" s="6">
        <v>157502</v>
      </c>
      <c r="D20" s="6">
        <v>156038</v>
      </c>
      <c r="E20" s="6">
        <v>150941</v>
      </c>
      <c r="F20" s="6">
        <f>F23+F24</f>
        <v>156813</v>
      </c>
      <c r="G20" s="6">
        <f t="shared" si="0"/>
        <v>156038</v>
      </c>
      <c r="H20" s="10"/>
      <c r="I20" s="10"/>
    </row>
    <row r="21" spans="1:10" x14ac:dyDescent="0.3">
      <c r="A21" s="4" t="s">
        <v>158</v>
      </c>
      <c r="B21" s="6">
        <v>41065</v>
      </c>
      <c r="C21" s="6">
        <v>38190</v>
      </c>
      <c r="D21" s="6">
        <v>39219</v>
      </c>
      <c r="E21" s="6">
        <v>33850</v>
      </c>
      <c r="F21" s="6">
        <v>41957.932999999997</v>
      </c>
      <c r="G21" s="6">
        <f t="shared" si="0"/>
        <v>39219</v>
      </c>
      <c r="H21" s="10"/>
      <c r="I21" s="10"/>
    </row>
    <row r="22" spans="1:10" x14ac:dyDescent="0.3">
      <c r="A22" s="4" t="s">
        <v>159</v>
      </c>
      <c r="B22" s="6">
        <v>34801</v>
      </c>
      <c r="C22" s="6">
        <v>34753</v>
      </c>
      <c r="D22" s="6">
        <v>32086</v>
      </c>
      <c r="E22" s="6">
        <v>31527</v>
      </c>
      <c r="F22" s="6">
        <f>F23-F21</f>
        <v>28201.067000000003</v>
      </c>
      <c r="G22" s="6">
        <f t="shared" si="0"/>
        <v>32086</v>
      </c>
      <c r="H22" s="10"/>
      <c r="I22" s="10"/>
    </row>
    <row r="23" spans="1:10" x14ac:dyDescent="0.3">
      <c r="A23" s="4" t="s">
        <v>93</v>
      </c>
      <c r="B23" s="6">
        <v>75866</v>
      </c>
      <c r="C23" s="6">
        <v>72943</v>
      </c>
      <c r="D23" s="6">
        <v>71306</v>
      </c>
      <c r="E23" s="6">
        <v>65377</v>
      </c>
      <c r="F23" s="6">
        <v>70159</v>
      </c>
      <c r="G23" s="6">
        <f t="shared" si="0"/>
        <v>71306</v>
      </c>
      <c r="H23" s="10"/>
      <c r="I23" s="10"/>
    </row>
    <row r="24" spans="1:10" x14ac:dyDescent="0.3">
      <c r="A24" s="4" t="s">
        <v>94</v>
      </c>
      <c r="B24" s="6">
        <v>83976</v>
      </c>
      <c r="C24" s="6">
        <v>84559</v>
      </c>
      <c r="D24" s="6">
        <v>84732</v>
      </c>
      <c r="E24" s="6">
        <v>85564</v>
      </c>
      <c r="F24" s="6">
        <v>86654</v>
      </c>
      <c r="G24" s="6">
        <f t="shared" si="0"/>
        <v>84732</v>
      </c>
      <c r="H24" s="10"/>
      <c r="I24" s="10"/>
    </row>
    <row r="25" spans="1:10" x14ac:dyDescent="0.3">
      <c r="A25" s="4" t="s">
        <v>160</v>
      </c>
      <c r="B25" s="6">
        <v>6627</v>
      </c>
      <c r="C25" s="6">
        <v>6553</v>
      </c>
      <c r="D25" s="6">
        <v>3000</v>
      </c>
      <c r="E25" s="6">
        <v>3000</v>
      </c>
      <c r="F25" s="6">
        <v>6500</v>
      </c>
      <c r="G25" s="6">
        <f t="shared" si="0"/>
        <v>3000</v>
      </c>
      <c r="H25" s="10"/>
      <c r="I25" s="10"/>
    </row>
    <row r="26" spans="1:10" x14ac:dyDescent="0.3">
      <c r="A26" s="4" t="s">
        <v>161</v>
      </c>
      <c r="B26" s="6">
        <v>11500</v>
      </c>
      <c r="C26" s="6">
        <v>11500</v>
      </c>
      <c r="D26" s="6">
        <v>8500</v>
      </c>
      <c r="E26" s="6">
        <v>8500</v>
      </c>
      <c r="F26" s="6">
        <v>5000</v>
      </c>
      <c r="G26" s="6">
        <f t="shared" si="0"/>
        <v>8500</v>
      </c>
      <c r="H26" s="10"/>
      <c r="I26" s="10"/>
    </row>
    <row r="27" spans="1:10" x14ac:dyDescent="0.3">
      <c r="A27" s="4" t="s">
        <v>162</v>
      </c>
      <c r="B27" s="6">
        <v>638</v>
      </c>
      <c r="C27" s="6">
        <v>659</v>
      </c>
      <c r="D27" s="6">
        <v>676</v>
      </c>
      <c r="E27" s="6">
        <v>683</v>
      </c>
      <c r="F27" s="6">
        <v>639.96799999999996</v>
      </c>
      <c r="G27" s="6">
        <f t="shared" si="0"/>
        <v>676</v>
      </c>
      <c r="H27" s="10"/>
      <c r="I27" s="10"/>
    </row>
    <row r="28" spans="1:10" x14ac:dyDescent="0.3">
      <c r="A28" s="4" t="s">
        <v>163</v>
      </c>
      <c r="B28" s="6">
        <v>11389</v>
      </c>
      <c r="C28" s="6">
        <v>11506</v>
      </c>
      <c r="D28" s="6">
        <v>11442</v>
      </c>
      <c r="E28" s="6">
        <v>11540</v>
      </c>
      <c r="F28" s="6">
        <v>11580.62</v>
      </c>
      <c r="G28" s="6">
        <f t="shared" si="0"/>
        <v>11442</v>
      </c>
      <c r="H28" s="10"/>
      <c r="I28" s="10"/>
    </row>
    <row r="29" spans="1:10" x14ac:dyDescent="0.3">
      <c r="A29" s="4" t="s">
        <v>164</v>
      </c>
      <c r="B29" s="6">
        <f t="shared" ref="B29:G29" si="1">IF(COUNT(B25:B28)=4,SUM(B25:B28),"n.d.")</f>
        <v>30154</v>
      </c>
      <c r="C29" s="6">
        <f t="shared" si="1"/>
        <v>30218</v>
      </c>
      <c r="D29" s="6">
        <f t="shared" si="1"/>
        <v>23618</v>
      </c>
      <c r="E29" s="6">
        <f t="shared" si="1"/>
        <v>23723</v>
      </c>
      <c r="F29" s="6">
        <f t="shared" si="1"/>
        <v>23720.588000000003</v>
      </c>
      <c r="G29" s="6">
        <f t="shared" si="1"/>
        <v>23618</v>
      </c>
      <c r="H29" s="10"/>
      <c r="I29" s="10"/>
    </row>
    <row r="30" spans="1:10" x14ac:dyDescent="0.3">
      <c r="B30" s="10"/>
      <c r="C30" s="10"/>
      <c r="D30" s="10"/>
      <c r="E30" s="10"/>
      <c r="F30" s="10"/>
      <c r="G30" s="10"/>
      <c r="H30" s="10"/>
      <c r="I30" s="10"/>
    </row>
    <row r="31" spans="1:10" x14ac:dyDescent="0.3">
      <c r="A31" s="4" t="s">
        <v>165</v>
      </c>
      <c r="B31" s="4" t="s">
        <v>146</v>
      </c>
      <c r="C31" s="4" t="s">
        <v>147</v>
      </c>
      <c r="D31" s="4" t="s">
        <v>148</v>
      </c>
      <c r="E31" s="4" t="s">
        <v>149</v>
      </c>
      <c r="F31" s="4" t="s">
        <v>85</v>
      </c>
      <c r="G31" s="4" t="s">
        <v>150</v>
      </c>
    </row>
    <row r="32" spans="1:10" x14ac:dyDescent="0.3">
      <c r="A32" s="2" t="s">
        <v>79</v>
      </c>
      <c r="B32" s="26">
        <v>246253.8</v>
      </c>
      <c r="C32" s="26">
        <v>241520.2</v>
      </c>
      <c r="D32" s="26">
        <v>282849.3</v>
      </c>
      <c r="E32" s="26">
        <v>245018.5</v>
      </c>
      <c r="F32" s="26">
        <v>250947.8</v>
      </c>
      <c r="G32" s="26">
        <v>1011597.9</v>
      </c>
      <c r="H32" s="3"/>
      <c r="I32" s="3"/>
      <c r="J32" s="3"/>
    </row>
    <row r="33" spans="1:9" x14ac:dyDescent="0.3">
      <c r="A33" s="4" t="s">
        <v>86</v>
      </c>
      <c r="B33" s="6">
        <v>186848.1</v>
      </c>
      <c r="C33" s="6">
        <v>181746.3</v>
      </c>
      <c r="D33" s="6">
        <v>214905.4</v>
      </c>
      <c r="E33" s="6">
        <v>185425.3</v>
      </c>
      <c r="F33" s="6">
        <v>190822.8</v>
      </c>
      <c r="G33" s="6">
        <v>766400</v>
      </c>
      <c r="H33" s="10"/>
      <c r="I33" s="10"/>
    </row>
    <row r="34" spans="1:9" x14ac:dyDescent="0.3">
      <c r="A34" s="4" t="s">
        <v>80</v>
      </c>
      <c r="B34" s="6">
        <v>59405.7</v>
      </c>
      <c r="C34" s="6">
        <v>59773.8</v>
      </c>
      <c r="D34" s="6">
        <v>67943.899999999994</v>
      </c>
      <c r="E34" s="6">
        <v>59593.2</v>
      </c>
      <c r="F34" s="6">
        <v>60125</v>
      </c>
      <c r="G34" s="6">
        <v>245197.9</v>
      </c>
      <c r="H34" s="10"/>
      <c r="I34" s="10"/>
    </row>
    <row r="35" spans="1:9" x14ac:dyDescent="0.3">
      <c r="A35" s="4" t="s">
        <v>81</v>
      </c>
      <c r="B35" s="6">
        <v>17267.099999999999</v>
      </c>
      <c r="C35" s="6">
        <v>19020.8</v>
      </c>
      <c r="D35" s="6">
        <v>23317</v>
      </c>
      <c r="E35" s="6">
        <v>18471.599999999999</v>
      </c>
      <c r="F35" s="6">
        <v>17019.7</v>
      </c>
      <c r="G35" s="6">
        <v>78493.8</v>
      </c>
      <c r="H35" s="10"/>
      <c r="I35" s="10"/>
    </row>
    <row r="36" spans="1:9" x14ac:dyDescent="0.3">
      <c r="A36" s="4" t="s">
        <v>151</v>
      </c>
      <c r="B36" s="6">
        <v>2646.3</v>
      </c>
      <c r="C36" s="6">
        <v>3223.3</v>
      </c>
      <c r="D36" s="6">
        <v>2795.1</v>
      </c>
      <c r="E36" s="6">
        <v>2895.6</v>
      </c>
      <c r="F36" s="6">
        <v>2799.6</v>
      </c>
      <c r="G36" s="6">
        <v>11464.7</v>
      </c>
      <c r="H36" s="10"/>
      <c r="I36" s="10"/>
    </row>
    <row r="37" spans="1:9" x14ac:dyDescent="0.3">
      <c r="A37" s="4" t="s">
        <v>152</v>
      </c>
      <c r="B37" s="6">
        <v>15076.8</v>
      </c>
      <c r="C37" s="6">
        <v>16328</v>
      </c>
      <c r="D37" s="6">
        <v>21053.3</v>
      </c>
      <c r="E37" s="6">
        <v>16176.4</v>
      </c>
      <c r="F37" s="6">
        <v>14754.6</v>
      </c>
      <c r="G37" s="6">
        <v>68876.600000000006</v>
      </c>
      <c r="H37" s="10"/>
      <c r="I37" s="10"/>
    </row>
    <row r="38" spans="1:9" x14ac:dyDescent="0.3">
      <c r="A38" s="4" t="s">
        <v>153</v>
      </c>
      <c r="B38" s="6">
        <v>3849.9</v>
      </c>
      <c r="C38" s="6">
        <v>4580.7</v>
      </c>
      <c r="D38" s="6">
        <v>6453.5</v>
      </c>
      <c r="E38" s="6">
        <v>3676.9</v>
      </c>
      <c r="F38" s="6">
        <v>3602.2</v>
      </c>
      <c r="G38" s="6">
        <v>18985.900000000001</v>
      </c>
      <c r="H38" s="10"/>
      <c r="I38" s="10"/>
    </row>
    <row r="39" spans="1:9" x14ac:dyDescent="0.3">
      <c r="A39" s="4" t="s">
        <v>82</v>
      </c>
      <c r="B39" s="6">
        <v>11226.9</v>
      </c>
      <c r="C39" s="6">
        <v>11747.3</v>
      </c>
      <c r="D39" s="6">
        <v>14599.8</v>
      </c>
      <c r="E39" s="6">
        <v>12499.6</v>
      </c>
      <c r="F39" s="6">
        <v>11152.4</v>
      </c>
      <c r="G39" s="6">
        <v>49890.7</v>
      </c>
      <c r="H39" s="10"/>
      <c r="I39" s="10"/>
    </row>
    <row r="40" spans="1:9" x14ac:dyDescent="0.3">
      <c r="A40" s="4" t="s">
        <v>154</v>
      </c>
      <c r="B40" s="6">
        <v>6227.732</v>
      </c>
      <c r="C40" s="6">
        <v>6245.37</v>
      </c>
      <c r="D40" s="6">
        <v>6277.9290000000001</v>
      </c>
      <c r="E40" s="6">
        <v>6506.9189999999999</v>
      </c>
      <c r="F40" s="6">
        <v>6620.741</v>
      </c>
      <c r="G40" s="6">
        <v>24953.1</v>
      </c>
      <c r="H40" s="10"/>
      <c r="I40" s="10"/>
    </row>
    <row r="41" spans="1:9" x14ac:dyDescent="0.3">
      <c r="A41" s="4" t="s">
        <v>98</v>
      </c>
      <c r="B41" s="6">
        <v>21549.377</v>
      </c>
      <c r="C41" s="6">
        <v>22017.151999999998</v>
      </c>
      <c r="D41" s="6">
        <v>43314.63</v>
      </c>
      <c r="E41" s="6">
        <v>4955.6469999999999</v>
      </c>
      <c r="F41" s="6">
        <v>18326.103999999999</v>
      </c>
      <c r="G41" s="6">
        <v>82437.7</v>
      </c>
      <c r="H41" s="10"/>
      <c r="I41" s="10"/>
    </row>
    <row r="42" spans="1:9" x14ac:dyDescent="0.3">
      <c r="A42" s="4" t="s">
        <v>155</v>
      </c>
      <c r="B42" s="6">
        <f>SUM(B113:B115)</f>
        <v>7989.7</v>
      </c>
      <c r="C42" s="6">
        <f>SUM(C113:C115)</f>
        <v>11746.3</v>
      </c>
      <c r="D42" s="6">
        <f>SUM(D113:D115)</f>
        <v>15831.8</v>
      </c>
      <c r="E42" s="6">
        <f>SUM(E113:E115)</f>
        <v>2436.5</v>
      </c>
      <c r="F42" s="6">
        <f>SUM(F113:F115)</f>
        <v>9264.9</v>
      </c>
      <c r="G42" s="6">
        <v>38982</v>
      </c>
      <c r="H42" s="10"/>
      <c r="I42" s="10"/>
    </row>
    <row r="43" spans="1:9" x14ac:dyDescent="0.3">
      <c r="A43" s="4" t="s">
        <v>13</v>
      </c>
      <c r="B43" s="6">
        <v>32443.8</v>
      </c>
      <c r="C43" s="6">
        <v>35181.699999999997</v>
      </c>
      <c r="D43" s="6">
        <v>28591.200000000001</v>
      </c>
      <c r="E43" s="6">
        <v>28085.1</v>
      </c>
      <c r="F43" s="6">
        <v>30118.3</v>
      </c>
      <c r="G43" s="6">
        <f t="shared" ref="G43:G54" si="2">D43</f>
        <v>28591.200000000001</v>
      </c>
      <c r="H43" s="10"/>
      <c r="I43" s="10"/>
    </row>
    <row r="44" spans="1:9" x14ac:dyDescent="0.3">
      <c r="A44" s="4" t="s">
        <v>156</v>
      </c>
      <c r="B44" s="6">
        <v>106742.39999999999</v>
      </c>
      <c r="C44" s="6">
        <v>113238.39999999999</v>
      </c>
      <c r="D44" s="6">
        <v>107450.9</v>
      </c>
      <c r="E44" s="6">
        <v>106202</v>
      </c>
      <c r="F44" s="6">
        <v>107528.9</v>
      </c>
      <c r="G44" s="6">
        <f t="shared" si="2"/>
        <v>107450.9</v>
      </c>
      <c r="H44" s="10"/>
      <c r="I44" s="10"/>
    </row>
    <row r="45" spans="1:9" x14ac:dyDescent="0.3">
      <c r="A45" s="4" t="s">
        <v>157</v>
      </c>
      <c r="B45" s="6">
        <v>166663.9</v>
      </c>
      <c r="C45" s="6">
        <v>176974.1</v>
      </c>
      <c r="D45" s="6">
        <v>164109.4</v>
      </c>
      <c r="E45" s="6">
        <v>163317.9</v>
      </c>
      <c r="F45" s="6">
        <v>168653.5</v>
      </c>
      <c r="G45" s="6">
        <f t="shared" si="2"/>
        <v>164109.4</v>
      </c>
      <c r="H45" s="10"/>
      <c r="I45" s="10"/>
    </row>
    <row r="46" spans="1:9" x14ac:dyDescent="0.3">
      <c r="A46" s="4" t="s">
        <v>92</v>
      </c>
      <c r="B46" s="6">
        <v>480957.5</v>
      </c>
      <c r="C46" s="6">
        <v>497334.5</v>
      </c>
      <c r="D46" s="6">
        <v>495273.3</v>
      </c>
      <c r="E46" s="6">
        <v>496840.7</v>
      </c>
      <c r="F46" s="6">
        <v>505946.6</v>
      </c>
      <c r="G46" s="6">
        <f t="shared" si="2"/>
        <v>495273.3</v>
      </c>
      <c r="H46" s="10"/>
      <c r="I46" s="10"/>
    </row>
    <row r="47" spans="1:9" x14ac:dyDescent="0.3">
      <c r="A47" s="4" t="s">
        <v>158</v>
      </c>
      <c r="B47" s="6">
        <v>177161.4</v>
      </c>
      <c r="C47" s="6">
        <v>186356.5</v>
      </c>
      <c r="D47" s="6">
        <v>169716.7</v>
      </c>
      <c r="E47" s="6">
        <v>153660.1</v>
      </c>
      <c r="F47" s="6">
        <v>174921.4</v>
      </c>
      <c r="G47" s="6">
        <f t="shared" si="2"/>
        <v>169716.7</v>
      </c>
      <c r="H47" s="10"/>
      <c r="I47" s="10"/>
    </row>
    <row r="48" spans="1:9" x14ac:dyDescent="0.3">
      <c r="A48" s="4" t="s">
        <v>159</v>
      </c>
      <c r="B48" s="6">
        <v>86252.9</v>
      </c>
      <c r="C48" s="6">
        <v>87538.9</v>
      </c>
      <c r="D48" s="6">
        <v>89976.5</v>
      </c>
      <c r="E48" s="6">
        <v>90611.7</v>
      </c>
      <c r="F48" s="6">
        <v>92411.4</v>
      </c>
      <c r="G48" s="6">
        <f t="shared" si="2"/>
        <v>89976.5</v>
      </c>
      <c r="H48" s="10"/>
      <c r="I48" s="10"/>
    </row>
    <row r="49" spans="1:10" x14ac:dyDescent="0.3">
      <c r="A49" s="4" t="s">
        <v>93</v>
      </c>
      <c r="B49" s="6">
        <v>263414.3</v>
      </c>
      <c r="C49" s="6">
        <v>273895.40000000002</v>
      </c>
      <c r="D49" s="6">
        <v>259693.2</v>
      </c>
      <c r="E49" s="6">
        <v>244271.8</v>
      </c>
      <c r="F49" s="6">
        <v>267332.8</v>
      </c>
      <c r="G49" s="6">
        <f t="shared" si="2"/>
        <v>259693.2</v>
      </c>
      <c r="H49" s="10"/>
      <c r="I49" s="10"/>
    </row>
    <row r="50" spans="1:10" x14ac:dyDescent="0.3">
      <c r="A50" s="4" t="s">
        <v>94</v>
      </c>
      <c r="B50" s="6">
        <v>217543.2</v>
      </c>
      <c r="C50" s="6">
        <v>223439.1</v>
      </c>
      <c r="D50" s="6">
        <v>235580.1</v>
      </c>
      <c r="E50" s="6">
        <v>252568.9</v>
      </c>
      <c r="F50" s="6">
        <v>238613.8</v>
      </c>
      <c r="G50" s="6">
        <f t="shared" si="2"/>
        <v>235580.1</v>
      </c>
      <c r="H50" s="10"/>
      <c r="I50" s="10"/>
    </row>
    <row r="51" spans="1:10" x14ac:dyDescent="0.3">
      <c r="A51" s="4" t="s">
        <v>160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f t="shared" si="2"/>
        <v>0</v>
      </c>
      <c r="H51" s="10"/>
      <c r="I51" s="10"/>
    </row>
    <row r="52" spans="1:10" x14ac:dyDescent="0.3">
      <c r="A52" s="4" t="s">
        <v>161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f t="shared" si="2"/>
        <v>0</v>
      </c>
      <c r="H52" s="10"/>
      <c r="I52" s="10"/>
    </row>
    <row r="53" spans="1:10" x14ac:dyDescent="0.3">
      <c r="A53" s="4" t="s">
        <v>162</v>
      </c>
      <c r="B53" s="6">
        <v>4917.5</v>
      </c>
      <c r="C53" s="6">
        <v>4981.5</v>
      </c>
      <c r="D53" s="6">
        <v>5186.8999999999996</v>
      </c>
      <c r="E53" s="6">
        <v>5317.6</v>
      </c>
      <c r="F53" s="6">
        <v>5495.2</v>
      </c>
      <c r="G53" s="6">
        <f t="shared" si="2"/>
        <v>5186.8999999999996</v>
      </c>
      <c r="H53" s="10"/>
      <c r="I53" s="10"/>
    </row>
    <row r="54" spans="1:10" x14ac:dyDescent="0.3">
      <c r="A54" s="4" t="s">
        <v>163</v>
      </c>
      <c r="B54" s="6">
        <v>73863</v>
      </c>
      <c r="C54" s="6">
        <v>74013.7</v>
      </c>
      <c r="D54" s="6">
        <v>75661.2</v>
      </c>
      <c r="E54" s="6">
        <v>75952.899999999994</v>
      </c>
      <c r="F54" s="6">
        <v>77602.899999999994</v>
      </c>
      <c r="G54" s="6">
        <f t="shared" si="2"/>
        <v>75661.2</v>
      </c>
      <c r="H54" s="10"/>
      <c r="I54" s="10"/>
    </row>
    <row r="55" spans="1:10" x14ac:dyDescent="0.3">
      <c r="A55" s="4" t="s">
        <v>164</v>
      </c>
      <c r="B55" s="6">
        <f t="shared" ref="B55:G55" si="3">IF(COUNT(B51:B54)=4,SUM(B51:B54),"n.d.")</f>
        <v>78780.5</v>
      </c>
      <c r="C55" s="6">
        <f t="shared" si="3"/>
        <v>78995.199999999997</v>
      </c>
      <c r="D55" s="6">
        <f t="shared" si="3"/>
        <v>80848.099999999991</v>
      </c>
      <c r="E55" s="6">
        <f t="shared" si="3"/>
        <v>81270.5</v>
      </c>
      <c r="F55" s="6">
        <f t="shared" si="3"/>
        <v>83098.099999999991</v>
      </c>
      <c r="G55" s="6">
        <f t="shared" si="3"/>
        <v>80848.099999999991</v>
      </c>
      <c r="H55" s="10"/>
      <c r="I55" s="10"/>
    </row>
    <row r="56" spans="1:10" x14ac:dyDescent="0.3">
      <c r="B56" s="10"/>
      <c r="C56" s="10"/>
      <c r="D56" s="10"/>
      <c r="E56" s="10"/>
      <c r="F56" s="10"/>
      <c r="G56" s="10"/>
      <c r="H56" s="10"/>
      <c r="I56" s="10"/>
    </row>
    <row r="57" spans="1:10" x14ac:dyDescent="0.3">
      <c r="A57" s="4" t="s">
        <v>166</v>
      </c>
      <c r="B57" s="4" t="s">
        <v>146</v>
      </c>
      <c r="C57" s="4" t="s">
        <v>147</v>
      </c>
      <c r="D57" s="4" t="s">
        <v>148</v>
      </c>
      <c r="E57" s="4" t="s">
        <v>149</v>
      </c>
      <c r="F57" s="27" t="s">
        <v>85</v>
      </c>
      <c r="G57" s="4" t="s">
        <v>150</v>
      </c>
      <c r="H57" s="28"/>
      <c r="I57" s="28" t="s">
        <v>167</v>
      </c>
      <c r="J57" s="28"/>
    </row>
    <row r="58" spans="1:10" x14ac:dyDescent="0.3">
      <c r="A58" s="4" t="s">
        <v>79</v>
      </c>
      <c r="B58" s="6">
        <v>73883.849000000002</v>
      </c>
      <c r="C58" s="6">
        <v>71768.073000000004</v>
      </c>
      <c r="D58" s="6">
        <v>75221.137000000002</v>
      </c>
      <c r="E58" s="6">
        <v>69795.808000000005</v>
      </c>
      <c r="F58" s="29">
        <v>71034.917000000001</v>
      </c>
      <c r="G58" s="6">
        <v>295313.65000000002</v>
      </c>
      <c r="H58" s="28"/>
      <c r="I58" s="28"/>
      <c r="J58" s="28"/>
    </row>
    <row r="59" spans="1:10" x14ac:dyDescent="0.3">
      <c r="A59" s="2" t="s">
        <v>86</v>
      </c>
      <c r="B59" s="26">
        <v>56049.955999999998</v>
      </c>
      <c r="C59" s="26">
        <v>54122.158000000003</v>
      </c>
      <c r="D59" s="26">
        <v>60335.175999999999</v>
      </c>
      <c r="E59" s="26">
        <v>52843.175999999999</v>
      </c>
      <c r="F59" s="30">
        <v>53394.044999999998</v>
      </c>
      <c r="G59" s="26">
        <v>227511.81</v>
      </c>
      <c r="H59" s="31"/>
      <c r="I59" s="31"/>
      <c r="J59" s="31"/>
    </row>
    <row r="60" spans="1:10" x14ac:dyDescent="0.3">
      <c r="A60" s="4" t="s">
        <v>80</v>
      </c>
      <c r="B60" s="6">
        <v>17833.893</v>
      </c>
      <c r="C60" s="6">
        <v>17645.915000000001</v>
      </c>
      <c r="D60" s="6">
        <v>14885.960999999999</v>
      </c>
      <c r="E60" s="6">
        <v>16952.632000000001</v>
      </c>
      <c r="F60" s="29">
        <v>17640.871999999999</v>
      </c>
      <c r="G60" s="6">
        <v>67801.84</v>
      </c>
      <c r="H60" s="28"/>
      <c r="I60" s="28"/>
      <c r="J60" s="28"/>
    </row>
    <row r="61" spans="1:10" x14ac:dyDescent="0.3">
      <c r="A61" s="4" t="s">
        <v>81</v>
      </c>
      <c r="B61" s="6">
        <v>4247.9970000000003</v>
      </c>
      <c r="C61" s="6">
        <v>3745.26</v>
      </c>
      <c r="D61" s="6">
        <v>3402.9839999999999</v>
      </c>
      <c r="E61" s="6">
        <v>3680.616</v>
      </c>
      <c r="F61" s="29">
        <v>4016.8939999999998</v>
      </c>
      <c r="G61" s="6">
        <v>15097.9</v>
      </c>
      <c r="H61" s="28"/>
      <c r="I61" s="28"/>
      <c r="J61" s="28"/>
    </row>
    <row r="62" spans="1:10" x14ac:dyDescent="0.3">
      <c r="A62" s="4" t="s">
        <v>151</v>
      </c>
      <c r="B62" s="6">
        <v>880.6</v>
      </c>
      <c r="C62" s="6">
        <v>944.2</v>
      </c>
      <c r="D62" s="6">
        <v>1003.1</v>
      </c>
      <c r="E62" s="6">
        <v>904.7</v>
      </c>
      <c r="F62" s="29">
        <v>892.5</v>
      </c>
      <c r="G62" s="6">
        <v>3846.89</v>
      </c>
      <c r="H62" s="28"/>
      <c r="I62" s="28"/>
      <c r="J62" s="28"/>
    </row>
    <row r="63" spans="1:10" x14ac:dyDescent="0.3">
      <c r="A63" s="4" t="s">
        <v>152</v>
      </c>
      <c r="B63" s="6">
        <v>2986.855</v>
      </c>
      <c r="C63" s="6">
        <v>2417.7559999999999</v>
      </c>
      <c r="D63" s="6">
        <v>1813.8050000000001</v>
      </c>
      <c r="E63" s="6">
        <v>2306.498</v>
      </c>
      <c r="F63" s="29">
        <v>2653.7829999999999</v>
      </c>
      <c r="G63" s="6">
        <v>9508.6200000000008</v>
      </c>
      <c r="H63" s="28"/>
      <c r="I63" s="28"/>
      <c r="J63" s="28"/>
    </row>
    <row r="64" spans="1:10" x14ac:dyDescent="0.3">
      <c r="A64" s="4" t="s">
        <v>153</v>
      </c>
      <c r="B64" s="6">
        <v>924.53300000000002</v>
      </c>
      <c r="C64" s="6">
        <v>771.39300000000003</v>
      </c>
      <c r="D64" s="6">
        <v>469.642</v>
      </c>
      <c r="E64" s="6">
        <v>723.23800000000006</v>
      </c>
      <c r="F64" s="29">
        <v>829.09500000000003</v>
      </c>
      <c r="G64" s="6">
        <v>2888.58</v>
      </c>
      <c r="H64" s="28"/>
      <c r="I64" s="28"/>
      <c r="J64" s="28"/>
    </row>
    <row r="65" spans="1:10" x14ac:dyDescent="0.3">
      <c r="A65" s="4" t="s">
        <v>82</v>
      </c>
      <c r="B65" s="6">
        <v>2062.3220000000001</v>
      </c>
      <c r="C65" s="6">
        <v>1646.3630000000001</v>
      </c>
      <c r="D65" s="6">
        <v>1344.163</v>
      </c>
      <c r="E65" s="6">
        <v>1583.26</v>
      </c>
      <c r="F65" s="29">
        <v>1824.6880000000001</v>
      </c>
      <c r="G65" s="6">
        <v>6620.05</v>
      </c>
      <c r="H65" s="28"/>
      <c r="I65" s="28"/>
      <c r="J65" s="28"/>
    </row>
    <row r="66" spans="1:10" x14ac:dyDescent="0.3">
      <c r="A66" s="4" t="s">
        <v>154</v>
      </c>
      <c r="B66" s="6">
        <v>2303.6680000000001</v>
      </c>
      <c r="C66" s="6">
        <v>2297.2280000000001</v>
      </c>
      <c r="D66" s="6">
        <v>2308.71</v>
      </c>
      <c r="E66" s="6">
        <v>2258.9540000000002</v>
      </c>
      <c r="F66" s="29">
        <v>2312.7310000000002</v>
      </c>
      <c r="G66" s="6">
        <v>9293.25</v>
      </c>
      <c r="H66" s="28"/>
      <c r="I66" s="28"/>
      <c r="J66" s="28"/>
    </row>
    <row r="67" spans="1:10" x14ac:dyDescent="0.3">
      <c r="A67" s="4" t="s">
        <v>98</v>
      </c>
      <c r="B67" s="6">
        <v>5617.8159999999998</v>
      </c>
      <c r="C67" s="6">
        <v>4366.0190000000002</v>
      </c>
      <c r="D67" s="6">
        <v>10197.404</v>
      </c>
      <c r="E67" s="6">
        <v>-756.9</v>
      </c>
      <c r="F67" s="29">
        <v>5978.777</v>
      </c>
      <c r="G67" s="6">
        <v>18240.86</v>
      </c>
      <c r="H67" s="28"/>
      <c r="I67" s="28"/>
      <c r="J67" s="28"/>
    </row>
    <row r="68" spans="1:10" x14ac:dyDescent="0.3">
      <c r="A68" s="4" t="s">
        <v>155</v>
      </c>
      <c r="B68" s="6">
        <f>SUM(B116:B118)</f>
        <v>2185.8999999999996</v>
      </c>
      <c r="C68" s="6">
        <f>SUM(C116:C118)</f>
        <v>2286.1000000000004</v>
      </c>
      <c r="D68" s="6">
        <f>SUM(D116:D118)</f>
        <v>2688.8750000000009</v>
      </c>
      <c r="E68" s="6">
        <f>SUM(E116:E118)</f>
        <v>2195.6000000000004</v>
      </c>
      <c r="F68" s="29">
        <f>SUM(F116:F118)</f>
        <v>2859.1000000000004</v>
      </c>
      <c r="G68" s="6">
        <f>I68</f>
        <v>7747.88</v>
      </c>
      <c r="H68" s="28"/>
      <c r="I68" s="32">
        <v>7747.88</v>
      </c>
      <c r="J68" s="28" t="s">
        <v>168</v>
      </c>
    </row>
    <row r="69" spans="1:10" x14ac:dyDescent="0.3">
      <c r="A69" s="4" t="s">
        <v>13</v>
      </c>
      <c r="B69" s="6">
        <v>9740.3150000000005</v>
      </c>
      <c r="C69" s="6">
        <v>9638.0139999999992</v>
      </c>
      <c r="D69" s="6">
        <v>14640.162</v>
      </c>
      <c r="E69" s="6">
        <v>10487.937</v>
      </c>
      <c r="F69" s="29">
        <v>8499.7780000000002</v>
      </c>
      <c r="G69" s="6">
        <v>14640.16</v>
      </c>
      <c r="H69" s="28"/>
      <c r="I69" s="28"/>
      <c r="J69" s="28"/>
    </row>
    <row r="70" spans="1:10" x14ac:dyDescent="0.3">
      <c r="A70" s="4" t="s">
        <v>156</v>
      </c>
      <c r="B70" s="6">
        <v>22914.705000000002</v>
      </c>
      <c r="C70" s="6">
        <v>23527.624</v>
      </c>
      <c r="D70" s="6">
        <v>23430.115000000002</v>
      </c>
      <c r="E70" s="6">
        <v>23660.893</v>
      </c>
      <c r="F70" s="29">
        <v>22606.468000000001</v>
      </c>
      <c r="G70" s="6">
        <f>D70</f>
        <v>23430.115000000002</v>
      </c>
      <c r="H70" s="28"/>
      <c r="I70" s="28"/>
      <c r="J70" s="28"/>
    </row>
    <row r="71" spans="1:10" x14ac:dyDescent="0.3">
      <c r="A71" s="4" t="s">
        <v>157</v>
      </c>
      <c r="B71" s="6">
        <v>39608.184999999998</v>
      </c>
      <c r="C71" s="6">
        <v>41642.553</v>
      </c>
      <c r="D71" s="6">
        <v>44626.646999999997</v>
      </c>
      <c r="E71" s="6">
        <v>41294.339</v>
      </c>
      <c r="F71" s="29">
        <v>38968.063999999998</v>
      </c>
      <c r="G71" s="6">
        <v>44626.65</v>
      </c>
      <c r="H71" s="28"/>
      <c r="I71" s="28"/>
      <c r="J71" s="28"/>
    </row>
    <row r="72" spans="1:10" x14ac:dyDescent="0.3">
      <c r="A72" s="4" t="s">
        <v>92</v>
      </c>
      <c r="B72" s="6">
        <v>154895.83900000001</v>
      </c>
      <c r="C72" s="6">
        <v>155620.701</v>
      </c>
      <c r="D72" s="6">
        <v>160365.41</v>
      </c>
      <c r="E72" s="6">
        <v>156233.20499999999</v>
      </c>
      <c r="F72" s="29">
        <v>152993.18799999999</v>
      </c>
      <c r="G72" s="6">
        <v>160365.41</v>
      </c>
      <c r="H72" s="28"/>
      <c r="I72" s="28"/>
      <c r="J72" s="28"/>
    </row>
    <row r="73" spans="1:10" x14ac:dyDescent="0.3">
      <c r="A73" s="4" t="s">
        <v>158</v>
      </c>
      <c r="B73" s="6">
        <v>42247.697</v>
      </c>
      <c r="C73" s="6">
        <v>43507.303</v>
      </c>
      <c r="D73" s="6">
        <v>48465.256999999998</v>
      </c>
      <c r="E73" s="6">
        <v>43264.981</v>
      </c>
      <c r="F73" s="29">
        <v>43358.105000000003</v>
      </c>
      <c r="G73" s="6">
        <v>48465.26</v>
      </c>
      <c r="H73" s="28"/>
      <c r="I73" s="28"/>
      <c r="J73" s="28"/>
    </row>
    <row r="74" spans="1:10" x14ac:dyDescent="0.3">
      <c r="A74" s="4" t="s">
        <v>159</v>
      </c>
      <c r="B74" s="6">
        <f t="shared" ref="B74:G74" si="4">B75-B73</f>
        <v>61262.858999999997</v>
      </c>
      <c r="C74" s="6">
        <f t="shared" si="4"/>
        <v>60415.588000000003</v>
      </c>
      <c r="D74" s="6">
        <f t="shared" si="4"/>
        <v>59551.489000000001</v>
      </c>
      <c r="E74" s="6">
        <f t="shared" si="4"/>
        <v>58979.770000000004</v>
      </c>
      <c r="F74" s="29">
        <f t="shared" si="4"/>
        <v>56310.094999999994</v>
      </c>
      <c r="G74" s="6">
        <f t="shared" si="4"/>
        <v>59551.49</v>
      </c>
      <c r="H74" s="28"/>
      <c r="I74" s="28"/>
      <c r="J74" s="28"/>
    </row>
    <row r="75" spans="1:10" x14ac:dyDescent="0.3">
      <c r="A75" s="4" t="s">
        <v>93</v>
      </c>
      <c r="B75" s="6">
        <v>103510.556</v>
      </c>
      <c r="C75" s="6">
        <v>103922.891</v>
      </c>
      <c r="D75" s="6">
        <v>108016.746</v>
      </c>
      <c r="E75" s="6">
        <v>102244.751</v>
      </c>
      <c r="F75" s="29">
        <v>99668.2</v>
      </c>
      <c r="G75" s="6">
        <v>108016.75</v>
      </c>
      <c r="H75" s="28"/>
      <c r="I75" s="28"/>
      <c r="J75" s="28"/>
    </row>
    <row r="76" spans="1:10" x14ac:dyDescent="0.3">
      <c r="A76" s="4" t="s">
        <v>94</v>
      </c>
      <c r="B76" s="6">
        <v>51385.283000000003</v>
      </c>
      <c r="C76" s="6">
        <v>51697.81</v>
      </c>
      <c r="D76" s="6">
        <v>52348.663999999997</v>
      </c>
      <c r="E76" s="6">
        <v>53988.453999999998</v>
      </c>
      <c r="F76" s="29">
        <v>53324.987999999998</v>
      </c>
      <c r="G76" s="6">
        <v>52348.66</v>
      </c>
      <c r="H76" s="28"/>
      <c r="I76" s="28"/>
      <c r="J76" s="28"/>
    </row>
    <row r="77" spans="1:10" x14ac:dyDescent="0.3">
      <c r="A77" s="4" t="s">
        <v>160</v>
      </c>
      <c r="B77" s="6">
        <v>1055.0540000000001</v>
      </c>
      <c r="C77" s="6">
        <v>1541.9069999999999</v>
      </c>
      <c r="D77" s="6">
        <v>530.01800000000003</v>
      </c>
      <c r="E77" s="6">
        <v>705.31899999999996</v>
      </c>
      <c r="F77" s="29">
        <v>1087.08</v>
      </c>
      <c r="G77" s="6">
        <f>D77</f>
        <v>530.01800000000003</v>
      </c>
      <c r="H77" s="28"/>
      <c r="I77" s="28"/>
      <c r="J77" s="28"/>
    </row>
    <row r="78" spans="1:10" x14ac:dyDescent="0.3">
      <c r="A78" s="4" t="s">
        <v>161</v>
      </c>
      <c r="B78" s="6">
        <v>7557.12</v>
      </c>
      <c r="C78" s="6">
        <v>7353.0010000000002</v>
      </c>
      <c r="D78" s="6">
        <v>7186.68</v>
      </c>
      <c r="E78" s="6">
        <v>7226.68</v>
      </c>
      <c r="F78" s="29">
        <v>5241</v>
      </c>
      <c r="G78" s="6">
        <f>D78</f>
        <v>7186.68</v>
      </c>
      <c r="H78" s="28"/>
      <c r="I78" s="28"/>
      <c r="J78" s="28"/>
    </row>
    <row r="79" spans="1:10" x14ac:dyDescent="0.3">
      <c r="A79" s="4" t="s">
        <v>162</v>
      </c>
      <c r="B79" s="6">
        <v>2674.355</v>
      </c>
      <c r="C79" s="6">
        <v>2626.8690000000001</v>
      </c>
      <c r="D79" s="6">
        <v>2925.9740000000002</v>
      </c>
      <c r="E79" s="6">
        <v>3014.6480000000001</v>
      </c>
      <c r="F79" s="29">
        <v>3015.6210000000001</v>
      </c>
      <c r="G79" s="6">
        <f>D79</f>
        <v>2925.9740000000002</v>
      </c>
      <c r="H79" s="28"/>
      <c r="I79" s="28"/>
      <c r="J79" s="28"/>
    </row>
    <row r="80" spans="1:10" x14ac:dyDescent="0.3">
      <c r="A80" s="4" t="s">
        <v>163</v>
      </c>
      <c r="B80" s="6">
        <v>48473.082999999999</v>
      </c>
      <c r="C80" s="6">
        <v>47033.288999999997</v>
      </c>
      <c r="D80" s="6">
        <v>46631.682999999997</v>
      </c>
      <c r="E80" s="6">
        <v>46405.889000000003</v>
      </c>
      <c r="F80" s="29">
        <v>45276.747000000003</v>
      </c>
      <c r="G80" s="6">
        <f>D80</f>
        <v>46631.682999999997</v>
      </c>
      <c r="H80" s="28"/>
      <c r="I80" s="28"/>
      <c r="J80" s="28"/>
    </row>
    <row r="81" spans="1:10" x14ac:dyDescent="0.3">
      <c r="A81" s="4" t="s">
        <v>164</v>
      </c>
      <c r="B81" s="6">
        <f>IF(COUNT(B77:B80)=4,SUM(B77:B80),"n.d.")</f>
        <v>59759.611999999994</v>
      </c>
      <c r="C81" s="6">
        <f>IF(COUNT(C77:C80)=4,SUM(C77:C80),"n.d.")</f>
        <v>58555.065999999999</v>
      </c>
      <c r="D81" s="6">
        <f>IF(COUNT(D77:D80)=4,SUM(D77:D80),"n.d.")</f>
        <v>57274.354999999996</v>
      </c>
      <c r="E81" s="6">
        <f>IF(COUNT(E77:E80)=4,SUM(E77:E80),"n.d.")</f>
        <v>57352.536000000007</v>
      </c>
      <c r="F81" s="29">
        <f>IF(COUNT(F77:F80)=4,SUM(F77:F80),"n.d.")</f>
        <v>54620.448000000004</v>
      </c>
      <c r="G81" s="6">
        <v>56744.34</v>
      </c>
      <c r="H81" s="28"/>
      <c r="I81" s="28"/>
      <c r="J81" s="28"/>
    </row>
    <row r="82" spans="1:10" x14ac:dyDescent="0.3">
      <c r="B82" s="10"/>
      <c r="C82" s="10"/>
      <c r="D82" s="10"/>
      <c r="E82" s="10"/>
      <c r="F82" s="10"/>
      <c r="G82" s="10"/>
      <c r="H82" s="10"/>
      <c r="I82" s="10"/>
    </row>
    <row r="83" spans="1:10" x14ac:dyDescent="0.3">
      <c r="A83" s="4" t="s">
        <v>169</v>
      </c>
      <c r="B83" s="4" t="s">
        <v>146</v>
      </c>
      <c r="C83" s="4" t="s">
        <v>147</v>
      </c>
      <c r="D83" s="4" t="s">
        <v>148</v>
      </c>
      <c r="E83" s="4" t="s">
        <v>149</v>
      </c>
      <c r="F83" s="27" t="s">
        <v>85</v>
      </c>
      <c r="G83" s="4" t="s">
        <v>150</v>
      </c>
      <c r="H83" s="28"/>
      <c r="I83" s="4" t="s">
        <v>170</v>
      </c>
    </row>
    <row r="84" spans="1:10" x14ac:dyDescent="0.3">
      <c r="A84" s="4" t="s">
        <v>79</v>
      </c>
      <c r="B84" s="6">
        <v>12232.6</v>
      </c>
      <c r="C84" s="6">
        <v>11813.2</v>
      </c>
      <c r="D84" s="6">
        <f>G84-I84</f>
        <v>12404.39</v>
      </c>
      <c r="E84" s="6">
        <v>12006.5</v>
      </c>
      <c r="F84" s="29">
        <v>12933.1</v>
      </c>
      <c r="G84" s="6">
        <v>47526.64</v>
      </c>
      <c r="H84" s="28"/>
      <c r="I84" s="6">
        <v>35122.25</v>
      </c>
    </row>
    <row r="85" spans="1:10" x14ac:dyDescent="0.3">
      <c r="A85" s="4" t="s">
        <v>86</v>
      </c>
      <c r="B85" s="6">
        <v>8718.1</v>
      </c>
      <c r="C85" s="6">
        <v>8306.7000000000007</v>
      </c>
      <c r="D85" s="6">
        <f>G85-I85</f>
        <v>8694.2900000000009</v>
      </c>
      <c r="E85" s="6">
        <v>8328.1</v>
      </c>
      <c r="F85" s="29">
        <v>9130.7000000000007</v>
      </c>
      <c r="G85" s="6">
        <v>33441.01</v>
      </c>
      <c r="H85" s="28"/>
      <c r="I85" s="6">
        <v>24746.720000000001</v>
      </c>
    </row>
    <row r="86" spans="1:10" x14ac:dyDescent="0.3">
      <c r="A86" s="2" t="s">
        <v>80</v>
      </c>
      <c r="B86" s="26">
        <v>3514.5</v>
      </c>
      <c r="C86" s="26">
        <v>3506.5</v>
      </c>
      <c r="D86" s="26">
        <f>G86-I86</f>
        <v>3710.0999999999985</v>
      </c>
      <c r="E86" s="26">
        <v>3678.4</v>
      </c>
      <c r="F86" s="30">
        <v>3802.4</v>
      </c>
      <c r="G86" s="26">
        <v>14085.63</v>
      </c>
      <c r="H86" s="31"/>
      <c r="I86" s="26">
        <v>10375.530000000001</v>
      </c>
      <c r="J86" s="3"/>
    </row>
    <row r="87" spans="1:10" x14ac:dyDescent="0.3">
      <c r="A87" s="4" t="s">
        <v>81</v>
      </c>
      <c r="B87" s="6">
        <v>1026.3</v>
      </c>
      <c r="C87" s="6">
        <v>839</v>
      </c>
      <c r="D87" s="6">
        <f>G87-I87</f>
        <v>712.57000000000016</v>
      </c>
      <c r="E87" s="6">
        <v>1001.4</v>
      </c>
      <c r="F87" s="29">
        <v>932.2</v>
      </c>
      <c r="G87" s="6">
        <v>3564.06</v>
      </c>
      <c r="H87" s="28"/>
      <c r="I87" s="6">
        <v>2851.49</v>
      </c>
    </row>
    <row r="88" spans="1:10" x14ac:dyDescent="0.3">
      <c r="A88" s="4" t="s">
        <v>151</v>
      </c>
      <c r="B88" s="6">
        <v>90.2</v>
      </c>
      <c r="C88" s="6">
        <v>76.7</v>
      </c>
      <c r="D88" s="6">
        <v>64.900000000000006</v>
      </c>
      <c r="E88" s="6">
        <v>73.3</v>
      </c>
      <c r="F88" s="29">
        <v>76</v>
      </c>
      <c r="G88" s="6">
        <v>265.95999999999998</v>
      </c>
      <c r="H88" s="28"/>
      <c r="I88" s="6">
        <v>235.52</v>
      </c>
    </row>
    <row r="89" spans="1:10" x14ac:dyDescent="0.3">
      <c r="A89" s="4" t="s">
        <v>152</v>
      </c>
      <c r="B89" s="6">
        <v>1003.4</v>
      </c>
      <c r="C89" s="6">
        <v>817</v>
      </c>
      <c r="D89" s="6">
        <f>G89-I89</f>
        <v>697.65000000000009</v>
      </c>
      <c r="E89" s="6">
        <v>992.7</v>
      </c>
      <c r="F89" s="29">
        <v>893.8</v>
      </c>
      <c r="G89" s="6">
        <v>3507.62</v>
      </c>
      <c r="H89" s="28"/>
      <c r="I89" s="6">
        <v>2809.97</v>
      </c>
    </row>
    <row r="90" spans="1:10" x14ac:dyDescent="0.3">
      <c r="A90" s="4" t="s">
        <v>153</v>
      </c>
      <c r="B90" s="6">
        <v>200.4</v>
      </c>
      <c r="C90" s="6">
        <v>176.1</v>
      </c>
      <c r="D90" s="6">
        <f>G90-I90</f>
        <v>191.43999999999994</v>
      </c>
      <c r="E90" s="6">
        <v>250.5</v>
      </c>
      <c r="F90" s="29">
        <v>222.6</v>
      </c>
      <c r="G90" s="6">
        <v>822.9</v>
      </c>
      <c r="H90" s="28"/>
      <c r="I90" s="6">
        <v>631.46</v>
      </c>
    </row>
    <row r="91" spans="1:10" x14ac:dyDescent="0.3">
      <c r="A91" s="4" t="s">
        <v>82</v>
      </c>
      <c r="B91" s="6">
        <v>803</v>
      </c>
      <c r="C91" s="6">
        <v>640.9</v>
      </c>
      <c r="D91" s="6">
        <f>G91-I91</f>
        <v>506.20999999999958</v>
      </c>
      <c r="E91" s="6">
        <v>742.2</v>
      </c>
      <c r="F91" s="29">
        <v>671.1</v>
      </c>
      <c r="G91" s="6">
        <v>2684.72</v>
      </c>
      <c r="H91" s="28"/>
      <c r="I91" s="6">
        <v>2178.5100000000002</v>
      </c>
    </row>
    <row r="92" spans="1:10" x14ac:dyDescent="0.3">
      <c r="A92" s="4" t="s">
        <v>154</v>
      </c>
      <c r="B92" s="6">
        <v>407.83499999999998</v>
      </c>
      <c r="C92" s="6">
        <v>411.71699999999998</v>
      </c>
      <c r="D92" s="6">
        <v>397.26</v>
      </c>
      <c r="E92" s="6">
        <v>386.41199999999998</v>
      </c>
      <c r="F92" s="29">
        <v>399.125</v>
      </c>
      <c r="G92" s="6">
        <f>I92/I84*G84</f>
        <v>1650.7548178832508</v>
      </c>
      <c r="H92" s="28"/>
      <c r="I92" s="6">
        <v>1219.9100000000001</v>
      </c>
    </row>
    <row r="93" spans="1:10" x14ac:dyDescent="0.3">
      <c r="A93" s="4" t="s">
        <v>98</v>
      </c>
      <c r="B93" s="6">
        <v>1576.03</v>
      </c>
      <c r="C93" s="6">
        <v>468.589</v>
      </c>
      <c r="D93" s="6">
        <v>1924.595</v>
      </c>
      <c r="E93" s="6">
        <v>583.82500000000005</v>
      </c>
      <c r="F93" s="29">
        <v>988.72500000000002</v>
      </c>
      <c r="G93" s="6">
        <f>744.022+B93+C93+D93</f>
        <v>4713.2359999999999</v>
      </c>
      <c r="H93" s="28"/>
      <c r="I93" s="6">
        <v>2788.64</v>
      </c>
    </row>
    <row r="94" spans="1:10" x14ac:dyDescent="0.3">
      <c r="A94" s="4" t="s">
        <v>155</v>
      </c>
      <c r="B94" s="6">
        <f>SUM(B119:B121)</f>
        <v>1484.5</v>
      </c>
      <c r="C94" s="6">
        <f>SUM(C119:C121)</f>
        <v>912.2</v>
      </c>
      <c r="D94" s="6">
        <f>SUM(D119:D121)</f>
        <v>1480.1000000000001</v>
      </c>
      <c r="E94" s="6">
        <f>SUM(E119:E121)</f>
        <v>606.79999999999995</v>
      </c>
      <c r="F94" s="29">
        <f>SUM(F119:F121)</f>
        <v>1670.1</v>
      </c>
      <c r="G94" s="6">
        <f>I94/I84*G84</f>
        <v>3842.6723992227144</v>
      </c>
      <c r="H94" s="28"/>
      <c r="I94" s="6">
        <v>2839.74</v>
      </c>
    </row>
    <row r="95" spans="1:10" x14ac:dyDescent="0.3">
      <c r="A95" s="4" t="s">
        <v>13</v>
      </c>
      <c r="B95" s="6">
        <v>3071.7739999999999</v>
      </c>
      <c r="C95" s="6">
        <v>2615.8000000000002</v>
      </c>
      <c r="D95" s="6">
        <v>2962.8</v>
      </c>
      <c r="E95" s="6">
        <v>2813</v>
      </c>
      <c r="F95" s="29">
        <v>1665.7</v>
      </c>
      <c r="G95" s="6">
        <f t="shared" ref="G95:G106" si="5">D95</f>
        <v>2962.8</v>
      </c>
      <c r="H95" s="28"/>
      <c r="I95" s="28"/>
    </row>
    <row r="96" spans="1:10" x14ac:dyDescent="0.3">
      <c r="A96" s="4" t="s">
        <v>156</v>
      </c>
      <c r="B96" s="6">
        <v>6630.4219999999996</v>
      </c>
      <c r="C96" s="6">
        <v>6020.2</v>
      </c>
      <c r="D96" s="6">
        <v>5943.1</v>
      </c>
      <c r="E96" s="6">
        <v>6182.4</v>
      </c>
      <c r="F96" s="29">
        <v>7365.3</v>
      </c>
      <c r="G96" s="6">
        <f t="shared" si="5"/>
        <v>5943.1</v>
      </c>
      <c r="H96" s="28"/>
      <c r="I96" s="28"/>
    </row>
    <row r="97" spans="1:9" x14ac:dyDescent="0.3">
      <c r="A97" s="4" t="s">
        <v>157</v>
      </c>
      <c r="B97" s="6">
        <v>11202.654</v>
      </c>
      <c r="C97" s="6">
        <v>10026.299999999999</v>
      </c>
      <c r="D97" s="6">
        <v>10147.200000000001</v>
      </c>
      <c r="E97" s="6">
        <v>10422.299999999999</v>
      </c>
      <c r="F97" s="29">
        <v>10810.2</v>
      </c>
      <c r="G97" s="6">
        <f t="shared" si="5"/>
        <v>10147.200000000001</v>
      </c>
      <c r="H97" s="28"/>
      <c r="I97" s="28"/>
    </row>
    <row r="98" spans="1:9" x14ac:dyDescent="0.3">
      <c r="A98" s="4" t="s">
        <v>92</v>
      </c>
      <c r="B98" s="6">
        <v>43616.194000000003</v>
      </c>
      <c r="C98" s="6">
        <v>42970.2</v>
      </c>
      <c r="D98" s="6">
        <v>44188.5</v>
      </c>
      <c r="E98" s="6">
        <v>44754.6</v>
      </c>
      <c r="F98" s="29">
        <v>46541.8</v>
      </c>
      <c r="G98" s="6">
        <f t="shared" si="5"/>
        <v>44188.5</v>
      </c>
      <c r="H98" s="28"/>
      <c r="I98" s="28"/>
    </row>
    <row r="99" spans="1:9" x14ac:dyDescent="0.3">
      <c r="A99" s="4" t="s">
        <v>158</v>
      </c>
      <c r="B99" s="6">
        <v>9031.0239999999994</v>
      </c>
      <c r="C99" s="6">
        <v>7608.5</v>
      </c>
      <c r="D99" s="6">
        <v>8406.7000000000007</v>
      </c>
      <c r="E99" s="6">
        <v>8294</v>
      </c>
      <c r="F99" s="29">
        <v>9623.2000000000007</v>
      </c>
      <c r="G99" s="6">
        <f t="shared" si="5"/>
        <v>8406.7000000000007</v>
      </c>
      <c r="H99" s="28"/>
      <c r="I99" s="28"/>
    </row>
    <row r="100" spans="1:9" x14ac:dyDescent="0.3">
      <c r="A100" s="4" t="s">
        <v>159</v>
      </c>
      <c r="B100" s="6">
        <f>B101-B99</f>
        <v>2754.7650000000012</v>
      </c>
      <c r="C100" s="6">
        <v>2852.9</v>
      </c>
      <c r="D100" s="6">
        <v>2838.5</v>
      </c>
      <c r="E100" s="6">
        <v>2853</v>
      </c>
      <c r="F100" s="29">
        <v>3034.5</v>
      </c>
      <c r="G100" s="6">
        <f t="shared" si="5"/>
        <v>2838.5</v>
      </c>
      <c r="H100" s="28"/>
      <c r="I100" s="28"/>
    </row>
    <row r="101" spans="1:9" x14ac:dyDescent="0.3">
      <c r="A101" s="4" t="s">
        <v>93</v>
      </c>
      <c r="B101" s="6">
        <v>11785.789000000001</v>
      </c>
      <c r="C101" s="6">
        <v>10461.4</v>
      </c>
      <c r="D101" s="6">
        <v>11245.2</v>
      </c>
      <c r="E101" s="6">
        <v>11147</v>
      </c>
      <c r="F101" s="29">
        <v>12657.7</v>
      </c>
      <c r="G101" s="6">
        <f t="shared" si="5"/>
        <v>11245.2</v>
      </c>
      <c r="H101" s="28"/>
      <c r="I101" s="28"/>
    </row>
    <row r="102" spans="1:9" x14ac:dyDescent="0.3">
      <c r="A102" s="4" t="s">
        <v>94</v>
      </c>
      <c r="B102" s="6">
        <v>31830.404999999999</v>
      </c>
      <c r="C102" s="6">
        <v>32508.799999999999</v>
      </c>
      <c r="D102" s="6">
        <v>32943.300000000003</v>
      </c>
      <c r="E102" s="6">
        <v>33607.599999999999</v>
      </c>
      <c r="F102" s="29">
        <v>33884.1</v>
      </c>
      <c r="G102" s="6">
        <f t="shared" si="5"/>
        <v>32943.300000000003</v>
      </c>
      <c r="H102" s="28"/>
      <c r="I102" s="28"/>
    </row>
    <row r="103" spans="1:9" x14ac:dyDescent="0.3">
      <c r="A103" s="4" t="s">
        <v>160</v>
      </c>
      <c r="B103" s="6">
        <v>0</v>
      </c>
      <c r="C103" s="6">
        <v>0</v>
      </c>
      <c r="D103" s="6">
        <v>0</v>
      </c>
      <c r="E103" s="6">
        <v>0</v>
      </c>
      <c r="F103" s="29">
        <v>0</v>
      </c>
      <c r="G103" s="6">
        <f t="shared" si="5"/>
        <v>0</v>
      </c>
      <c r="H103" s="28"/>
      <c r="I103" s="28"/>
    </row>
    <row r="104" spans="1:9" x14ac:dyDescent="0.3">
      <c r="A104" s="4" t="s">
        <v>161</v>
      </c>
      <c r="B104" s="6">
        <v>0</v>
      </c>
      <c r="C104" s="6">
        <v>0</v>
      </c>
      <c r="D104" s="6">
        <v>0</v>
      </c>
      <c r="E104" s="6">
        <v>0</v>
      </c>
      <c r="F104" s="29">
        <v>0</v>
      </c>
      <c r="G104" s="6">
        <f t="shared" si="5"/>
        <v>0</v>
      </c>
      <c r="H104" s="28"/>
      <c r="I104" s="28"/>
    </row>
    <row r="105" spans="1:9" x14ac:dyDescent="0.3">
      <c r="A105" s="4" t="s">
        <v>162</v>
      </c>
      <c r="B105" s="6">
        <v>93.388999999999996</v>
      </c>
      <c r="C105" s="6">
        <v>92.3</v>
      </c>
      <c r="D105" s="6">
        <v>98.3</v>
      </c>
      <c r="E105" s="6">
        <v>99.7</v>
      </c>
      <c r="F105" s="29">
        <v>105.6</v>
      </c>
      <c r="G105" s="6">
        <f t="shared" si="5"/>
        <v>98.3</v>
      </c>
      <c r="H105" s="28"/>
      <c r="I105" s="28"/>
    </row>
    <row r="106" spans="1:9" x14ac:dyDescent="0.3">
      <c r="A106" s="4" t="s">
        <v>163</v>
      </c>
      <c r="B106" s="6">
        <v>2260.3470000000002</v>
      </c>
      <c r="C106" s="6">
        <v>2272.5</v>
      </c>
      <c r="D106" s="6">
        <v>2343.5</v>
      </c>
      <c r="E106" s="6">
        <v>2344.6999999999998</v>
      </c>
      <c r="F106" s="29">
        <v>2443.6999999999998</v>
      </c>
      <c r="G106" s="6">
        <f t="shared" si="5"/>
        <v>2343.5</v>
      </c>
      <c r="H106" s="28"/>
      <c r="I106" s="28"/>
    </row>
    <row r="107" spans="1:9" x14ac:dyDescent="0.3">
      <c r="A107" s="4" t="s">
        <v>164</v>
      </c>
      <c r="B107" s="6">
        <f t="shared" ref="B107:G107" si="6">IF(COUNT(B103:B106)=4,SUM(B103:B106),"n.d.")</f>
        <v>2353.7360000000003</v>
      </c>
      <c r="C107" s="6">
        <f t="shared" si="6"/>
        <v>2364.8000000000002</v>
      </c>
      <c r="D107" s="6">
        <f t="shared" si="6"/>
        <v>2441.8000000000002</v>
      </c>
      <c r="E107" s="6">
        <f t="shared" si="6"/>
        <v>2444.3999999999996</v>
      </c>
      <c r="F107" s="29">
        <f t="shared" si="6"/>
        <v>2549.2999999999997</v>
      </c>
      <c r="G107" s="6">
        <f t="shared" si="6"/>
        <v>2441.8000000000002</v>
      </c>
      <c r="H107" s="28"/>
      <c r="I107" s="28"/>
    </row>
    <row r="109" spans="1:9" x14ac:dyDescent="0.3">
      <c r="A109" s="2" t="s">
        <v>171</v>
      </c>
      <c r="B109" s="2" t="str">
        <f>B5</f>
        <v>2T25</v>
      </c>
      <c r="C109" s="2" t="str">
        <f>C5</f>
        <v>3T25</v>
      </c>
      <c r="D109" s="2" t="str">
        <f>D5</f>
        <v>4T25</v>
      </c>
      <c r="E109" s="2" t="str">
        <f>E5</f>
        <v>1T26</v>
      </c>
      <c r="F109" s="2" t="str">
        <f>F5</f>
        <v>2T26</v>
      </c>
    </row>
    <row r="110" spans="1:9" x14ac:dyDescent="0.3">
      <c r="A110" s="4" t="s">
        <v>172</v>
      </c>
      <c r="B110" s="6">
        <v>543.70000000000005</v>
      </c>
      <c r="C110" s="6">
        <v>1033.7</v>
      </c>
      <c r="D110" s="6">
        <v>816</v>
      </c>
      <c r="E110" s="6">
        <v>384.7</v>
      </c>
      <c r="F110" s="6">
        <v>795.5</v>
      </c>
    </row>
    <row r="111" spans="1:9" x14ac:dyDescent="0.3">
      <c r="A111" s="4" t="s">
        <v>173</v>
      </c>
      <c r="B111" s="6">
        <v>119.5</v>
      </c>
      <c r="C111" s="6">
        <v>0</v>
      </c>
      <c r="D111" s="6">
        <v>0</v>
      </c>
      <c r="E111" s="6">
        <v>116.3</v>
      </c>
      <c r="F111" s="6">
        <v>114.4</v>
      </c>
    </row>
    <row r="112" spans="1:9" x14ac:dyDescent="0.3">
      <c r="A112" s="4" t="s">
        <v>174</v>
      </c>
      <c r="B112" s="6">
        <v>0</v>
      </c>
      <c r="C112" s="6">
        <v>-258.5</v>
      </c>
      <c r="D112" s="6">
        <v>0</v>
      </c>
      <c r="E112" s="6">
        <v>0</v>
      </c>
      <c r="F112" s="6">
        <v>0</v>
      </c>
    </row>
    <row r="113" spans="1:6" x14ac:dyDescent="0.3">
      <c r="A113" s="4" t="s">
        <v>175</v>
      </c>
      <c r="B113" s="6">
        <v>7989.7</v>
      </c>
      <c r="C113" s="6">
        <v>11746.3</v>
      </c>
      <c r="D113" s="6">
        <v>15831.8</v>
      </c>
      <c r="E113" s="6">
        <v>2436.5</v>
      </c>
      <c r="F113" s="6">
        <v>9264.9</v>
      </c>
    </row>
    <row r="114" spans="1:6" x14ac:dyDescent="0.3">
      <c r="A114" s="4" t="s">
        <v>176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</row>
    <row r="115" spans="1:6" x14ac:dyDescent="0.3">
      <c r="A115" s="4" t="s">
        <v>177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</row>
    <row r="116" spans="1:6" x14ac:dyDescent="0.3">
      <c r="A116" s="4" t="s">
        <v>178</v>
      </c>
      <c r="B116" s="6">
        <v>2117.1999999999998</v>
      </c>
      <c r="C116" s="6">
        <v>2215.3000000000002</v>
      </c>
      <c r="D116" s="6">
        <v>8220.6</v>
      </c>
      <c r="E116" s="6">
        <v>2159.3000000000002</v>
      </c>
      <c r="F116" s="6">
        <v>2752.3</v>
      </c>
    </row>
    <row r="117" spans="1:6" x14ac:dyDescent="0.3">
      <c r="A117" s="4" t="s">
        <v>179</v>
      </c>
      <c r="B117" s="6">
        <v>68.7</v>
      </c>
      <c r="C117" s="6">
        <v>70.8</v>
      </c>
      <c r="D117" s="6">
        <v>140.6</v>
      </c>
      <c r="E117" s="6">
        <v>36.299999999999997</v>
      </c>
      <c r="F117" s="6">
        <v>106.8</v>
      </c>
    </row>
    <row r="118" spans="1:6" x14ac:dyDescent="0.3">
      <c r="A118" s="4" t="s">
        <v>180</v>
      </c>
      <c r="B118" s="6">
        <v>0</v>
      </c>
      <c r="C118" s="6">
        <v>0</v>
      </c>
      <c r="D118" s="6">
        <v>-5672.3249999999998</v>
      </c>
      <c r="E118" s="6">
        <v>0</v>
      </c>
      <c r="F118" s="6">
        <v>0</v>
      </c>
    </row>
    <row r="119" spans="1:6" x14ac:dyDescent="0.3">
      <c r="A119" s="4" t="s">
        <v>181</v>
      </c>
      <c r="B119" s="6">
        <v>1484.5</v>
      </c>
      <c r="C119" s="6">
        <v>912.2</v>
      </c>
      <c r="D119" s="6">
        <v>1447.7</v>
      </c>
      <c r="E119" s="6">
        <v>606.79999999999995</v>
      </c>
      <c r="F119" s="6">
        <v>1670.1</v>
      </c>
    </row>
    <row r="120" spans="1:6" x14ac:dyDescent="0.3">
      <c r="A120" s="4" t="s">
        <v>182</v>
      </c>
      <c r="B120" s="6">
        <v>0</v>
      </c>
      <c r="C120" s="6">
        <v>0</v>
      </c>
      <c r="D120" s="6">
        <v>32.4</v>
      </c>
      <c r="E120" s="6">
        <v>0</v>
      </c>
      <c r="F120" s="6">
        <v>0</v>
      </c>
    </row>
    <row r="121" spans="1:6" x14ac:dyDescent="0.3">
      <c r="A121" s="4" t="s">
        <v>183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9"/>
  <sheetViews>
    <sheetView zoomScale="89" zoomScaleNormal="89" workbookViewId="0">
      <pane xSplit="1" topLeftCell="B1" activePane="topRight" state="frozen"/>
      <selection pane="topRight" activeCell="E18" sqref="E18"/>
    </sheetView>
  </sheetViews>
  <sheetFormatPr baseColWidth="10" defaultColWidth="11.44140625" defaultRowHeight="14.4" x14ac:dyDescent="0.3"/>
  <cols>
    <col min="1" max="1" width="38.88671875" customWidth="1"/>
    <col min="2" max="7" width="12.44140625" customWidth="1"/>
    <col min="8" max="8" width="96.33203125" customWidth="1"/>
  </cols>
  <sheetData>
    <row r="1" spans="1:9" ht="18.75" customHeight="1" x14ac:dyDescent="0.35">
      <c r="A1" s="14"/>
    </row>
    <row r="2" spans="1:9" x14ac:dyDescent="0.3">
      <c r="A2" s="15"/>
    </row>
    <row r="3" spans="1:9" x14ac:dyDescent="0.3">
      <c r="A3" s="2" t="s">
        <v>184</v>
      </c>
      <c r="B3" s="33">
        <v>91.25</v>
      </c>
      <c r="C3" s="3"/>
      <c r="D3" s="3"/>
      <c r="E3" s="3"/>
      <c r="F3" s="3"/>
      <c r="G3" s="3"/>
      <c r="H3" s="3"/>
      <c r="I3" s="3"/>
    </row>
    <row r="5" spans="1:9" x14ac:dyDescent="0.3">
      <c r="B5" s="10"/>
      <c r="C5" s="10"/>
      <c r="D5" s="10"/>
      <c r="E5" s="10"/>
      <c r="F5" s="10"/>
      <c r="G5" s="10"/>
      <c r="H5" s="34"/>
    </row>
    <row r="6" spans="1:9" x14ac:dyDescent="0.3">
      <c r="A6" s="2" t="s">
        <v>185</v>
      </c>
      <c r="B6" s="2" t="s">
        <v>146</v>
      </c>
      <c r="C6" s="2" t="s">
        <v>147</v>
      </c>
      <c r="D6" s="2" t="s">
        <v>148</v>
      </c>
      <c r="E6" s="2" t="s">
        <v>149</v>
      </c>
      <c r="F6" s="2" t="s">
        <v>85</v>
      </c>
      <c r="G6" s="2" t="s">
        <v>186</v>
      </c>
      <c r="H6" s="3"/>
      <c r="I6" s="3"/>
    </row>
    <row r="7" spans="1:9" x14ac:dyDescent="0.3">
      <c r="A7" s="4" t="s">
        <v>25</v>
      </c>
      <c r="B7" s="11">
        <f>Datos!B19/Datos!B21</f>
        <v>1.2694752222086936</v>
      </c>
      <c r="C7" s="11">
        <f>Datos!C19/Datos!C21</f>
        <v>1.3031421838177533</v>
      </c>
      <c r="D7" s="11">
        <f>Datos!D19/Datos!D21</f>
        <v>1.2373849409724877</v>
      </c>
      <c r="E7" s="11">
        <f>Datos!E19/Datos!E21</f>
        <v>1.2869128508124077</v>
      </c>
      <c r="F7" s="11">
        <f>Datos!F19/Datos!F21</f>
        <v>1.1740294022586861</v>
      </c>
      <c r="G7" s="11">
        <f t="shared" ref="G7:G19" si="0">AVERAGE(B7:F7)</f>
        <v>1.2541889200140055</v>
      </c>
    </row>
    <row r="8" spans="1:9" x14ac:dyDescent="0.3">
      <c r="A8" s="4" t="s">
        <v>26</v>
      </c>
      <c r="B8" s="11">
        <f>(Datos!B19-Datos!B18)/Datos!B21</f>
        <v>0.35821258979666382</v>
      </c>
      <c r="C8" s="11">
        <f>(Datos!C19-Datos!C18)/Datos!C21</f>
        <v>0.35017020162346163</v>
      </c>
      <c r="D8" s="11">
        <f>(Datos!D19-Datos!D18)/Datos!D21</f>
        <v>0.41423799688926288</v>
      </c>
      <c r="E8" s="11">
        <f>(Datos!E19-Datos!E18)/Datos!E21</f>
        <v>0.32280649926144755</v>
      </c>
      <c r="F8" s="11">
        <f>(Datos!F19-Datos!F18)/Datos!F21</f>
        <v>0.32826178544114654</v>
      </c>
      <c r="G8" s="11">
        <f t="shared" si="0"/>
        <v>0.35473781460239651</v>
      </c>
    </row>
    <row r="9" spans="1:9" x14ac:dyDescent="0.3">
      <c r="A9" s="4" t="s">
        <v>27</v>
      </c>
      <c r="B9" s="12">
        <f>Datos!B23/Datos!B20</f>
        <v>0.47463119830832945</v>
      </c>
      <c r="C9" s="12">
        <f>Datos!C23/Datos!C20</f>
        <v>0.46312427778694876</v>
      </c>
      <c r="D9" s="12">
        <f>Datos!D23/Datos!D20</f>
        <v>0.45697842833156027</v>
      </c>
      <c r="E9" s="12">
        <f>Datos!E23/Datos!E20</f>
        <v>0.43312950093082725</v>
      </c>
      <c r="F9" s="12">
        <f>Datos!F23/Datos!F20</f>
        <v>0.44740550847187416</v>
      </c>
      <c r="G9" s="12">
        <f t="shared" si="0"/>
        <v>0.45505378276590802</v>
      </c>
    </row>
    <row r="10" spans="1:9" x14ac:dyDescent="0.3">
      <c r="A10" s="4" t="s">
        <v>28</v>
      </c>
      <c r="B10" s="12">
        <f>Datos!B22/Datos!B20</f>
        <v>0.21772124973411244</v>
      </c>
      <c r="C10" s="12">
        <f>Datos!C22/Datos!C20</f>
        <v>0.22065116633439574</v>
      </c>
      <c r="D10" s="12">
        <f>Datos!D22/Datos!D20</f>
        <v>0.20562939796716184</v>
      </c>
      <c r="E10" s="12">
        <f>Datos!E22/Datos!E20</f>
        <v>0.20886969080634155</v>
      </c>
      <c r="F10" s="12">
        <f>Datos!F22/Datos!F20</f>
        <v>0.17983883351507848</v>
      </c>
      <c r="G10" s="12">
        <f t="shared" si="0"/>
        <v>0.20654206767141803</v>
      </c>
    </row>
    <row r="11" spans="1:9" x14ac:dyDescent="0.3">
      <c r="A11" s="4" t="s">
        <v>29</v>
      </c>
      <c r="B11" s="11">
        <f>Datos!B9/Datos!B10</f>
        <v>2.3027744270205068</v>
      </c>
      <c r="C11" s="11">
        <f>Datos!C9/Datos!C10</f>
        <v>1.8676844783715012</v>
      </c>
      <c r="D11" s="11">
        <f>Datos!D9/Datos!D10</f>
        <v>4.0357142857142856</v>
      </c>
      <c r="E11" s="11">
        <f>Datos!E9/Datos!E10</f>
        <v>3.0986394557823131</v>
      </c>
      <c r="F11" s="11">
        <f>Datos!F9/Datos!F10</f>
        <v>3.1872852233676974</v>
      </c>
      <c r="G11" s="11">
        <f t="shared" si="0"/>
        <v>2.8984195740512613</v>
      </c>
    </row>
    <row r="12" spans="1:9" x14ac:dyDescent="0.3">
      <c r="A12" s="4" t="s">
        <v>187</v>
      </c>
      <c r="B12" s="11">
        <f>Datos!B7/Datos!B18</f>
        <v>0.93145559979690551</v>
      </c>
      <c r="C12" s="11">
        <f>Datos!C7/Datos!C18</f>
        <v>0.87921085893279116</v>
      </c>
      <c r="D12" s="11">
        <f>Datos!D7/Datos!D18</f>
        <v>1.1087879069479292</v>
      </c>
      <c r="E12" s="11">
        <f>Datos!E7/Datos!E18</f>
        <v>0.93353761299218629</v>
      </c>
      <c r="F12" s="11">
        <f>Datos!F7/Datos!F18</f>
        <v>0.92764433373993682</v>
      </c>
      <c r="G12" s="11">
        <f t="shared" si="0"/>
        <v>0.95612726248194979</v>
      </c>
    </row>
    <row r="13" spans="1:9" x14ac:dyDescent="0.3">
      <c r="A13" s="4" t="s">
        <v>31</v>
      </c>
      <c r="B13" s="13">
        <f>$B$3*Datos!B18/Datos!B7</f>
        <v>97.964948645857248</v>
      </c>
      <c r="C13" s="13">
        <f>$B$3*Datos!C18/Datos!C7</f>
        <v>103.78625226576661</v>
      </c>
      <c r="D13" s="13">
        <f>$B$3*Datos!D18/Datos!D7</f>
        <v>82.297073613633188</v>
      </c>
      <c r="E13" s="13">
        <f>$B$3*Datos!E18/Datos!E7</f>
        <v>97.746463270531081</v>
      </c>
      <c r="F13" s="13">
        <f>$B$3*Datos!F18/Datos!F7</f>
        <v>98.367441788936489</v>
      </c>
      <c r="G13" s="13">
        <f t="shared" si="0"/>
        <v>96.032435916944934</v>
      </c>
    </row>
    <row r="14" spans="1:9" x14ac:dyDescent="0.3">
      <c r="A14" s="4" t="s">
        <v>188</v>
      </c>
      <c r="B14" s="11">
        <f>Datos!B6/Datos!B20</f>
        <v>0.28659551306915582</v>
      </c>
      <c r="C14" s="11">
        <f>Datos!C6/Datos!C20</f>
        <v>0.27099973333671951</v>
      </c>
      <c r="D14" s="11">
        <f>Datos!D6/Datos!D20</f>
        <v>0.30500262756508029</v>
      </c>
      <c r="E14" s="11">
        <f>Datos!E6/Datos!E20</f>
        <v>0.26794575363883899</v>
      </c>
      <c r="F14" s="11">
        <f>Datos!F6/Datos!F20</f>
        <v>0.27777671494072559</v>
      </c>
      <c r="G14" s="11">
        <f t="shared" si="0"/>
        <v>0.28166406851010406</v>
      </c>
    </row>
    <row r="15" spans="1:9" x14ac:dyDescent="0.3">
      <c r="A15" s="4" t="s">
        <v>33</v>
      </c>
      <c r="B15" s="12">
        <f>Datos!B8/Datos!B6</f>
        <v>0.23911809648548352</v>
      </c>
      <c r="C15" s="12">
        <f>Datos!C8/Datos!C6</f>
        <v>0.25033385657053159</v>
      </c>
      <c r="D15" s="12">
        <f>Datos!D8/Datos!D6</f>
        <v>0.24787779458732559</v>
      </c>
      <c r="E15" s="12">
        <f>Datos!E8/Datos!E6</f>
        <v>0.24671150232420136</v>
      </c>
      <c r="F15" s="12">
        <f>Datos!F8/Datos!F6</f>
        <v>0.24426639730021352</v>
      </c>
      <c r="G15" s="12">
        <f t="shared" si="0"/>
        <v>0.24566152945355113</v>
      </c>
    </row>
    <row r="16" spans="1:9" x14ac:dyDescent="0.3">
      <c r="A16" s="4" t="s">
        <v>34</v>
      </c>
      <c r="B16" s="12">
        <f>Datos!B13/Datos!B6</f>
        <v>1.6219166120934294E-2</v>
      </c>
      <c r="C16" s="12">
        <f>Datos!C13/Datos!C6</f>
        <v>1.3682262258978985E-2</v>
      </c>
      <c r="D16" s="12">
        <f>Datos!D13/Datos!D6</f>
        <v>2.7483610690872417E-2</v>
      </c>
      <c r="E16" s="12">
        <f>Datos!E13/Datos!E6</f>
        <v>2.0621105726436554E-2</v>
      </c>
      <c r="F16" s="12">
        <f>Datos!F13/Datos!F6</f>
        <v>2.5023531302371498E-2</v>
      </c>
      <c r="G16" s="12">
        <f t="shared" si="0"/>
        <v>2.0605935219918749E-2</v>
      </c>
    </row>
    <row r="17" spans="1:9" x14ac:dyDescent="0.3">
      <c r="A17" s="4" t="s">
        <v>189</v>
      </c>
      <c r="B17" s="5">
        <f>Datos!B13/Datos!B20</f>
        <v>4.6483402359830334E-3</v>
      </c>
      <c r="C17" s="5">
        <f>Datos!C13/Datos!C20</f>
        <v>3.7078894236263669E-3</v>
      </c>
      <c r="D17" s="5">
        <f>Datos!D13/Datos!D20</f>
        <v>8.3825734756918183E-3</v>
      </c>
      <c r="E17" s="5">
        <f>Datos!E13/Datos!E20</f>
        <v>5.5253377147362216E-3</v>
      </c>
      <c r="F17" s="5">
        <f>Datos!F13/Datos!F20</f>
        <v>6.9509543213891701E-3</v>
      </c>
      <c r="G17" s="5">
        <f t="shared" si="0"/>
        <v>5.8430190342853216E-3</v>
      </c>
    </row>
    <row r="18" spans="1:9" x14ac:dyDescent="0.3">
      <c r="A18" s="4" t="s">
        <v>190</v>
      </c>
      <c r="B18" s="5">
        <f>Datos!B13/Datos!B24</f>
        <v>8.8477660283890636E-3</v>
      </c>
      <c r="C18" s="5">
        <f>Datos!C13/Datos!C24</f>
        <v>6.9064203692096645E-3</v>
      </c>
      <c r="D18" s="5">
        <f>Datos!D13/Datos!D24</f>
        <v>1.5436906953689279E-2</v>
      </c>
      <c r="E18" s="5">
        <f>Datos!E13/Datos!E24</f>
        <v>9.747089897620494E-3</v>
      </c>
      <c r="F18" s="5">
        <f>Datos!F13/Datos!F24</f>
        <v>1.2578761511297805E-2</v>
      </c>
      <c r="G18" s="5">
        <f t="shared" si="0"/>
        <v>1.0703388952041261E-2</v>
      </c>
    </row>
    <row r="19" spans="1:9" x14ac:dyDescent="0.3">
      <c r="A19" s="4" t="s">
        <v>191</v>
      </c>
      <c r="B19" s="5">
        <f>Datos!B9*(1-WACC!$B$10)/(Datos!B24+Datos!B29)</f>
        <v>1.1708577937439761E-2</v>
      </c>
      <c r="C19" s="5">
        <f>Datos!C9*(1-WACC!$B$10)/(Datos!C24+Datos!C29)</f>
        <v>8.953013234358799E-3</v>
      </c>
      <c r="D19" s="5">
        <f>Datos!D9*(1-WACC!$B$10)/(Datos!D24+Datos!D29)</f>
        <v>1.6060913705583754E-2</v>
      </c>
      <c r="E19" s="5">
        <f>Datos!E9*(1-WACC!$B$10)/(Datos!E24+Datos!E29)</f>
        <v>1.1670189501038548E-2</v>
      </c>
      <c r="F19" s="5">
        <f>Datos!F9*(1-WACC!$B$10)/(Datos!F24+Datos!F29)</f>
        <v>1.1764483324730507E-2</v>
      </c>
      <c r="G19" s="5">
        <f t="shared" si="0"/>
        <v>1.2031435540630273E-2</v>
      </c>
    </row>
    <row r="20" spans="1:9" x14ac:dyDescent="0.3">
      <c r="B20" s="10"/>
      <c r="C20" s="10"/>
      <c r="D20" s="10"/>
      <c r="E20" s="10"/>
      <c r="F20" s="10"/>
      <c r="G20" s="35"/>
    </row>
    <row r="21" spans="1:9" x14ac:dyDescent="0.3">
      <c r="B21" s="10"/>
      <c r="C21" s="10"/>
      <c r="D21" s="10"/>
      <c r="E21" s="10"/>
      <c r="F21" s="10"/>
      <c r="G21" s="35"/>
    </row>
    <row r="22" spans="1:9" x14ac:dyDescent="0.3">
      <c r="A22" s="2" t="s">
        <v>192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85</v>
      </c>
      <c r="G22" s="2" t="s">
        <v>186</v>
      </c>
      <c r="H22" s="3"/>
      <c r="I22" s="3"/>
    </row>
    <row r="23" spans="1:9" x14ac:dyDescent="0.3">
      <c r="A23" s="4" t="s">
        <v>25</v>
      </c>
      <c r="B23" s="11">
        <f>Datos!B45/Datos!B47</f>
        <v>0.9407461218978852</v>
      </c>
      <c r="C23" s="11">
        <f>Datos!C45/Datos!C47</f>
        <v>0.9496534867310773</v>
      </c>
      <c r="D23" s="11">
        <f>Datos!D45/Datos!D47</f>
        <v>0.96696082353710611</v>
      </c>
      <c r="E23" s="11">
        <f>Datos!E45/Datos!E47</f>
        <v>1.062851709715144</v>
      </c>
      <c r="F23" s="11">
        <f>Datos!F45/Datos!F47</f>
        <v>0.96416733458570536</v>
      </c>
      <c r="G23" s="11">
        <f t="shared" ref="G23:G35" si="1">AVERAGE(B23:F23)</f>
        <v>0.9768758952933837</v>
      </c>
    </row>
    <row r="24" spans="1:9" x14ac:dyDescent="0.3">
      <c r="A24" s="4" t="s">
        <v>26</v>
      </c>
      <c r="B24" s="11">
        <f>(Datos!B45-Datos!B44)/Datos!B47</f>
        <v>0.33823112709653458</v>
      </c>
      <c r="C24" s="11">
        <f>(Datos!C45-Datos!C44)/Datos!C47</f>
        <v>0.34200953548709068</v>
      </c>
      <c r="D24" s="11">
        <f>(Datos!D45-Datos!D44)/Datos!D47</f>
        <v>0.33384163137746609</v>
      </c>
      <c r="E24" s="11">
        <f>(Datos!E45-Datos!E44)/Datos!E47</f>
        <v>0.37170286886446119</v>
      </c>
      <c r="F24" s="11">
        <f>(Datos!F45-Datos!F44)/Datos!F47</f>
        <v>0.34944037722085469</v>
      </c>
      <c r="G24" s="11">
        <f t="shared" si="1"/>
        <v>0.34704510800928146</v>
      </c>
    </row>
    <row r="25" spans="1:9" x14ac:dyDescent="0.3">
      <c r="A25" s="4" t="s">
        <v>27</v>
      </c>
      <c r="B25" s="12">
        <f>Datos!B49/Datos!B46</f>
        <v>0.54768726966519909</v>
      </c>
      <c r="C25" s="12">
        <f>Datos!C49/Datos!C46</f>
        <v>0.55072672416653179</v>
      </c>
      <c r="D25" s="12">
        <f>Datos!D49/Datos!D46</f>
        <v>0.52434322625507979</v>
      </c>
      <c r="E25" s="12">
        <f>Datos!E49/Datos!E46</f>
        <v>0.49165014057825773</v>
      </c>
      <c r="F25" s="12">
        <f>Datos!F49/Datos!F46</f>
        <v>0.52838145369491563</v>
      </c>
      <c r="G25" s="12">
        <f t="shared" si="1"/>
        <v>0.52855776287199685</v>
      </c>
    </row>
    <row r="26" spans="1:9" x14ac:dyDescent="0.3">
      <c r="A26" s="4" t="s">
        <v>28</v>
      </c>
      <c r="B26" s="12">
        <f>Datos!B48/Datos!B46</f>
        <v>0.17933580409911479</v>
      </c>
      <c r="C26" s="12">
        <f>Datos!C48/Datos!C46</f>
        <v>0.17601614205328606</v>
      </c>
      <c r="D26" s="12">
        <f>Datos!D48/Datos!D46</f>
        <v>0.18167040298760301</v>
      </c>
      <c r="E26" s="12">
        <f>Datos!E48/Datos!E46</f>
        <v>0.18237575947381121</v>
      </c>
      <c r="F26" s="12">
        <f>Datos!F48/Datos!F46</f>
        <v>0.18265050106078387</v>
      </c>
      <c r="G26" s="12">
        <f t="shared" si="1"/>
        <v>0.1804097219349198</v>
      </c>
    </row>
    <row r="27" spans="1:9" x14ac:dyDescent="0.3">
      <c r="A27" s="4" t="s">
        <v>29</v>
      </c>
      <c r="B27" s="11">
        <f>Datos!B35/Datos!B36</f>
        <v>6.5249971658542103</v>
      </c>
      <c r="C27" s="11">
        <f>Datos!C35/Datos!C36</f>
        <v>5.9010331027208132</v>
      </c>
      <c r="D27" s="11">
        <f>Datos!D35/Datos!D36</f>
        <v>8.3420986726771851</v>
      </c>
      <c r="E27" s="11">
        <f>Datos!E35/Datos!E36</f>
        <v>6.3791960215499373</v>
      </c>
      <c r="F27" s="11">
        <f>Datos!F35/Datos!F36</f>
        <v>6.0793327618231183</v>
      </c>
      <c r="G27" s="11">
        <f t="shared" si="1"/>
        <v>6.6453315449250523</v>
      </c>
    </row>
    <row r="28" spans="1:9" x14ac:dyDescent="0.3">
      <c r="A28" s="4" t="s">
        <v>187</v>
      </c>
      <c r="B28" s="11">
        <f>Datos!B33/Datos!B44</f>
        <v>1.7504581122403096</v>
      </c>
      <c r="C28" s="11">
        <f>Datos!C33/Datos!C44</f>
        <v>1.6049882372057536</v>
      </c>
      <c r="D28" s="11">
        <f>Datos!D33/Datos!D44</f>
        <v>2.0000335036747017</v>
      </c>
      <c r="E28" s="11">
        <f>Datos!E33/Datos!E44</f>
        <v>1.7459680608651438</v>
      </c>
      <c r="F28" s="11">
        <f>Datos!F33/Datos!F44</f>
        <v>1.7746187304064303</v>
      </c>
      <c r="G28" s="11">
        <f t="shared" si="1"/>
        <v>1.7752133288784677</v>
      </c>
    </row>
    <row r="29" spans="1:9" x14ac:dyDescent="0.3">
      <c r="A29" s="4" t="s">
        <v>31</v>
      </c>
      <c r="B29" s="13">
        <f>$B$3*Datos!B44/Datos!B33</f>
        <v>52.129210840249378</v>
      </c>
      <c r="C29" s="13">
        <f>$B$3*Datos!C44/Datos!C33</f>
        <v>56.853999228595029</v>
      </c>
      <c r="D29" s="13">
        <f>$B$3*Datos!D44/Datos!D33</f>
        <v>45.624235710224127</v>
      </c>
      <c r="E29" s="13">
        <f>$B$3*Datos!E44/Datos!E33</f>
        <v>52.26326989898358</v>
      </c>
      <c r="F29" s="13">
        <f>$B$3*Datos!F44/Datos!F33</f>
        <v>51.419495600106487</v>
      </c>
      <c r="G29" s="13">
        <f t="shared" si="1"/>
        <v>51.65804225563172</v>
      </c>
    </row>
    <row r="30" spans="1:9" x14ac:dyDescent="0.3">
      <c r="A30" s="4" t="s">
        <v>188</v>
      </c>
      <c r="B30" s="11">
        <f>Datos!B32/Datos!B46</f>
        <v>0.51200740190141536</v>
      </c>
      <c r="C30" s="11">
        <f>Datos!C32/Datos!C46</f>
        <v>0.48562928974362329</v>
      </c>
      <c r="D30" s="11">
        <f>Datos!D32/Datos!D46</f>
        <v>0.57109741227722144</v>
      </c>
      <c r="E30" s="11">
        <f>Datos!E32/Datos!E46</f>
        <v>0.49315303677818662</v>
      </c>
      <c r="F30" s="11">
        <f>Datos!F32/Datos!F46</f>
        <v>0.49599661308130144</v>
      </c>
      <c r="G30" s="11">
        <f t="shared" si="1"/>
        <v>0.51157675075634967</v>
      </c>
    </row>
    <row r="31" spans="1:9" x14ac:dyDescent="0.3">
      <c r="A31" s="4" t="s">
        <v>33</v>
      </c>
      <c r="B31" s="12">
        <f>Datos!B34/Datos!B32</f>
        <v>0.24123769866698502</v>
      </c>
      <c r="C31" s="12">
        <f>Datos!C34/Datos!C32</f>
        <v>0.24748985799117423</v>
      </c>
      <c r="D31" s="12">
        <f>Datos!D34/Datos!D32</f>
        <v>0.24021236750453331</v>
      </c>
      <c r="E31" s="12">
        <f>Datos!E34/Datos!E32</f>
        <v>0.24321918549007523</v>
      </c>
      <c r="F31" s="12">
        <f>Datos!F34/Datos!F32</f>
        <v>0.23959166009823557</v>
      </c>
      <c r="G31" s="12">
        <f t="shared" si="1"/>
        <v>0.24235015395020071</v>
      </c>
    </row>
    <row r="32" spans="1:9" x14ac:dyDescent="0.3">
      <c r="A32" s="4" t="s">
        <v>34</v>
      </c>
      <c r="B32" s="12">
        <f>Datos!B39/Datos!B32</f>
        <v>4.5590768548546254E-2</v>
      </c>
      <c r="C32" s="12">
        <f>Datos!C39/Datos!C32</f>
        <v>4.863899582726413E-2</v>
      </c>
      <c r="D32" s="12">
        <f>Datos!D39/Datos!D32</f>
        <v>5.1616885740922817E-2</v>
      </c>
      <c r="E32" s="12">
        <f>Datos!E39/Datos!E32</f>
        <v>5.1014923362929739E-2</v>
      </c>
      <c r="F32" s="12">
        <f>Datos!F39/Datos!F32</f>
        <v>4.444111484539813E-2</v>
      </c>
      <c r="G32" s="12">
        <f t="shared" si="1"/>
        <v>4.8260537665012218E-2</v>
      </c>
    </row>
    <row r="33" spans="1:9" x14ac:dyDescent="0.3">
      <c r="A33" s="4" t="s">
        <v>189</v>
      </c>
      <c r="B33" s="5">
        <f>Datos!B39/Datos!B46</f>
        <v>2.3342810955229932E-2</v>
      </c>
      <c r="C33" s="5">
        <f>Datos!C39/Datos!C46</f>
        <v>2.3620520997437337E-2</v>
      </c>
      <c r="D33" s="5">
        <f>Datos!D39/Datos!D46</f>
        <v>2.9478269876450032E-2</v>
      </c>
      <c r="E33" s="5">
        <f>Datos!E39/Datos!E46</f>
        <v>2.5158164377435264E-2</v>
      </c>
      <c r="F33" s="5">
        <f>Datos!F39/Datos!F46</f>
        <v>2.2042642444874617E-2</v>
      </c>
      <c r="G33" s="5">
        <f t="shared" si="1"/>
        <v>2.4728481730285433E-2</v>
      </c>
    </row>
    <row r="34" spans="1:9" x14ac:dyDescent="0.3">
      <c r="A34" s="4" t="s">
        <v>190</v>
      </c>
      <c r="B34" s="5">
        <f>Datos!B39/Datos!B50</f>
        <v>5.1607680681354316E-2</v>
      </c>
      <c r="C34" s="5">
        <f>Datos!C39/Datos!C50</f>
        <v>5.2574952190552145E-2</v>
      </c>
      <c r="D34" s="5">
        <f>Datos!D39/Datos!D50</f>
        <v>6.1973825463186402E-2</v>
      </c>
      <c r="E34" s="5">
        <f>Datos!E39/Datos!E50</f>
        <v>4.9489861974296917E-2</v>
      </c>
      <c r="F34" s="5">
        <f>Datos!F39/Datos!F50</f>
        <v>4.6738285882878525E-2</v>
      </c>
      <c r="G34" s="5">
        <f t="shared" si="1"/>
        <v>5.2476921238453655E-2</v>
      </c>
    </row>
    <row r="35" spans="1:9" x14ac:dyDescent="0.3">
      <c r="A35" s="4" t="s">
        <v>191</v>
      </c>
      <c r="B35" s="5">
        <f>Datos!B35*(1-WACC!$B$10)/(Datos!B50+Datos!B55)</f>
        <v>4.0789751207885153E-2</v>
      </c>
      <c r="C35" s="5">
        <f>Datos!C35*(1-WACC!$B$10)/(Datos!C50+Datos!C55)</f>
        <v>4.402463609451706E-2</v>
      </c>
      <c r="D35" s="5">
        <f>Datos!D35*(1-WACC!$B$10)/(Datos!D50+Datos!D55)</f>
        <v>5.1581685829518352E-2</v>
      </c>
      <c r="E35" s="5">
        <f>Datos!E35*(1-WACC!$B$10)/(Datos!E50+Datos!E55)</f>
        <v>3.8731557749025425E-2</v>
      </c>
      <c r="F35" s="5">
        <f>Datos!F35*(1-WACC!$B$10)/(Datos!F50+Datos!F55)</f>
        <v>3.7032481546377366E-2</v>
      </c>
      <c r="G35" s="5">
        <f t="shared" si="1"/>
        <v>4.2432022485464668E-2</v>
      </c>
    </row>
    <row r="36" spans="1:9" x14ac:dyDescent="0.3">
      <c r="B36" s="10"/>
      <c r="C36" s="10"/>
      <c r="D36" s="10"/>
      <c r="E36" s="10"/>
      <c r="F36" s="10"/>
      <c r="G36" s="35"/>
    </row>
    <row r="37" spans="1:9" x14ac:dyDescent="0.3">
      <c r="B37" s="10"/>
      <c r="C37" s="10"/>
      <c r="D37" s="10"/>
      <c r="E37" s="10"/>
      <c r="F37" s="10"/>
      <c r="G37" s="35"/>
    </row>
    <row r="38" spans="1:9" x14ac:dyDescent="0.3">
      <c r="A38" s="2" t="s">
        <v>193</v>
      </c>
      <c r="B38" s="2" t="s">
        <v>146</v>
      </c>
      <c r="C38" s="2" t="s">
        <v>147</v>
      </c>
      <c r="D38" s="2" t="s">
        <v>148</v>
      </c>
      <c r="E38" s="2" t="s">
        <v>149</v>
      </c>
      <c r="F38" s="2" t="s">
        <v>85</v>
      </c>
      <c r="G38" s="2" t="s">
        <v>186</v>
      </c>
      <c r="H38" s="3"/>
      <c r="I38" s="3"/>
    </row>
    <row r="39" spans="1:9" x14ac:dyDescent="0.3">
      <c r="A39" s="4" t="s">
        <v>25</v>
      </c>
      <c r="B39" s="11">
        <f>Datos!B71/Datos!B73</f>
        <v>0.93752293764083749</v>
      </c>
      <c r="C39" s="11">
        <f>Datos!C71/Datos!C73</f>
        <v>0.95713937956577089</v>
      </c>
      <c r="D39" s="11">
        <f>Datos!D71/Datos!D73</f>
        <v>0.92079666471179544</v>
      </c>
      <c r="E39" s="11">
        <f>Datos!E71/Datos!E73</f>
        <v>0.95445180017529652</v>
      </c>
      <c r="F39" s="11">
        <f>Datos!F71/Datos!F73</f>
        <v>0.89874924192374173</v>
      </c>
      <c r="G39" s="11">
        <f t="shared" ref="G39:G51" si="2">AVERAGE(B39:F39)</f>
        <v>0.9337320048034885</v>
      </c>
    </row>
    <row r="40" spans="1:9" x14ac:dyDescent="0.3">
      <c r="A40" s="4" t="s">
        <v>26</v>
      </c>
      <c r="B40" s="11">
        <f>(Datos!B71-Datos!B70)/Datos!B73</f>
        <v>0.39513349094508027</v>
      </c>
      <c r="C40" s="11">
        <f>(Datos!C71-Datos!C70)/Datos!C73</f>
        <v>0.41636524792171098</v>
      </c>
      <c r="D40" s="11">
        <f>(Datos!D71-Datos!D70)/Datos!D73</f>
        <v>0.43735519652768984</v>
      </c>
      <c r="E40" s="11">
        <f>(Datos!E71-Datos!E70)/Datos!E73</f>
        <v>0.40756855989373947</v>
      </c>
      <c r="F40" s="11">
        <f>(Datos!F71-Datos!F70)/Datos!F73</f>
        <v>0.3773595732562573</v>
      </c>
      <c r="G40" s="11">
        <f t="shared" si="2"/>
        <v>0.40675641370889554</v>
      </c>
    </row>
    <row r="41" spans="1:9" x14ac:dyDescent="0.3">
      <c r="A41" s="4" t="s">
        <v>27</v>
      </c>
      <c r="B41" s="12">
        <f>Datos!B75/Datos!B72</f>
        <v>0.66825911314505992</v>
      </c>
      <c r="C41" s="12">
        <f>Datos!C75/Datos!C72</f>
        <v>0.66779606011413617</v>
      </c>
      <c r="D41" s="12">
        <f>Datos!D75/Datos!D72</f>
        <v>0.67356636322009833</v>
      </c>
      <c r="E41" s="12">
        <f>Datos!E75/Datos!E72</f>
        <v>0.65443675049743755</v>
      </c>
      <c r="F41" s="12">
        <f>Datos!F75/Datos!F72</f>
        <v>0.65145514844752439</v>
      </c>
      <c r="G41" s="12">
        <f t="shared" si="2"/>
        <v>0.66310268708485132</v>
      </c>
    </row>
    <row r="42" spans="1:9" x14ac:dyDescent="0.3">
      <c r="A42" s="4" t="s">
        <v>28</v>
      </c>
      <c r="B42" s="12">
        <f>Datos!B74/Datos!B72</f>
        <v>0.39551003690938397</v>
      </c>
      <c r="C42" s="12">
        <f>Datos!C74/Datos!C72</f>
        <v>0.38822333797352582</v>
      </c>
      <c r="D42" s="12">
        <f>Datos!D74/Datos!D72</f>
        <v>0.37134871541188341</v>
      </c>
      <c r="E42" s="12">
        <f>Datos!E74/Datos!E72</f>
        <v>0.37751110591375253</v>
      </c>
      <c r="F42" s="12">
        <f>Datos!F74/Datos!F72</f>
        <v>0.36805622352284073</v>
      </c>
      <c r="G42" s="12">
        <f t="shared" si="2"/>
        <v>0.38012988394627734</v>
      </c>
    </row>
    <row r="43" spans="1:9" x14ac:dyDescent="0.3">
      <c r="A43" s="4" t="s">
        <v>29</v>
      </c>
      <c r="B43" s="11">
        <f>Datos!B61/Datos!B62</f>
        <v>4.8239802407449472</v>
      </c>
      <c r="C43" s="11">
        <f>Datos!C61/Datos!C62</f>
        <v>3.9665960601567467</v>
      </c>
      <c r="D43" s="11">
        <f>Datos!D61/Datos!D62</f>
        <v>3.3924673512112449</v>
      </c>
      <c r="E43" s="11">
        <f>Datos!E61/Datos!E62</f>
        <v>4.0683276224162706</v>
      </c>
      <c r="F43" s="11">
        <f>Datos!F61/Datos!F62</f>
        <v>4.5007215686274504</v>
      </c>
      <c r="G43" s="11">
        <f t="shared" si="2"/>
        <v>4.1504185686313324</v>
      </c>
    </row>
    <row r="44" spans="1:9" x14ac:dyDescent="0.3">
      <c r="A44" s="4" t="s">
        <v>187</v>
      </c>
      <c r="B44" s="11">
        <f>Datos!B59/Datos!B70</f>
        <v>2.4460256416131037</v>
      </c>
      <c r="C44" s="11">
        <f>Datos!C59/Datos!C70</f>
        <v>2.3003664968464306</v>
      </c>
      <c r="D44" s="11">
        <f>Datos!D59/Datos!D70</f>
        <v>2.5751122433671365</v>
      </c>
      <c r="E44" s="11">
        <f>Datos!E59/Datos!E70</f>
        <v>2.2333550977978724</v>
      </c>
      <c r="F44" s="11">
        <f>Datos!F59/Datos!F70</f>
        <v>2.361892401767494</v>
      </c>
      <c r="G44" s="11">
        <f t="shared" si="2"/>
        <v>2.3833503762784076</v>
      </c>
    </row>
    <row r="45" spans="1:9" x14ac:dyDescent="0.3">
      <c r="A45" s="4" t="s">
        <v>31</v>
      </c>
      <c r="B45" s="13">
        <f>$B$3*Datos!B70/Datos!B59</f>
        <v>37.305414320931853</v>
      </c>
      <c r="C45" s="13">
        <f>$B$3*Datos!C70/Datos!C59</f>
        <v>39.667592153291444</v>
      </c>
      <c r="D45" s="13">
        <f>$B$3*Datos!D70/Datos!D59</f>
        <v>35.435348589187846</v>
      </c>
      <c r="E45" s="13">
        <f>$B$3*Datos!E70/Datos!E59</f>
        <v>40.857810784310168</v>
      </c>
      <c r="F45" s="13">
        <f>$B$3*Datos!F70/Datos!F59</f>
        <v>38.63427475854283</v>
      </c>
      <c r="G45" s="13">
        <f t="shared" si="2"/>
        <v>38.380088121252825</v>
      </c>
    </row>
    <row r="46" spans="1:9" x14ac:dyDescent="0.3">
      <c r="A46" s="4" t="s">
        <v>188</v>
      </c>
      <c r="B46" s="11">
        <f>Datos!B58/Datos!B72</f>
        <v>0.47699053426477128</v>
      </c>
      <c r="C46" s="11">
        <f>Datos!C58/Datos!C72</f>
        <v>0.46117304792246117</v>
      </c>
      <c r="D46" s="11">
        <f>Datos!D58/Datos!D72</f>
        <v>0.46906085919650631</v>
      </c>
      <c r="E46" s="11">
        <f>Datos!E58/Datos!E72</f>
        <v>0.44674119051708638</v>
      </c>
      <c r="F46" s="11">
        <f>Datos!F58/Datos!F72</f>
        <v>0.46430117529154308</v>
      </c>
      <c r="G46" s="11">
        <f t="shared" si="2"/>
        <v>0.46365336143847358</v>
      </c>
    </row>
    <row r="47" spans="1:9" x14ac:dyDescent="0.3">
      <c r="A47" s="4" t="s">
        <v>33</v>
      </c>
      <c r="B47" s="12">
        <f>Datos!B60/Datos!B58</f>
        <v>0.2413774220127595</v>
      </c>
      <c r="C47" s="12">
        <f>Datos!C60/Datos!C58</f>
        <v>0.24587416468601575</v>
      </c>
      <c r="D47" s="12">
        <f>Datos!D60/Datos!D58</f>
        <v>0.1978959850075119</v>
      </c>
      <c r="E47" s="12">
        <f>Datos!E60/Datos!E58</f>
        <v>0.24288897121156619</v>
      </c>
      <c r="F47" s="12">
        <f>Datos!F60/Datos!F58</f>
        <v>0.24834085468136746</v>
      </c>
      <c r="G47" s="12">
        <f t="shared" si="2"/>
        <v>0.23527547951984412</v>
      </c>
    </row>
    <row r="48" spans="1:9" x14ac:dyDescent="0.3">
      <c r="A48" s="4" t="s">
        <v>34</v>
      </c>
      <c r="B48" s="12">
        <f>Datos!B65/Datos!B58</f>
        <v>2.7913028732436503E-2</v>
      </c>
      <c r="C48" s="12">
        <f>Datos!C65/Datos!C58</f>
        <v>2.2940047449790103E-2</v>
      </c>
      <c r="D48" s="12">
        <f>Datos!D65/Datos!D58</f>
        <v>1.7869485275129514E-2</v>
      </c>
      <c r="E48" s="12">
        <f>Datos!E65/Datos!E58</f>
        <v>2.2684170373097477E-2</v>
      </c>
      <c r="F48" s="12">
        <f>Datos!F65/Datos!F58</f>
        <v>2.5687198311219257E-2</v>
      </c>
      <c r="G48" s="12">
        <f t="shared" si="2"/>
        <v>2.3418786028334568E-2</v>
      </c>
    </row>
    <row r="49" spans="1:9" x14ac:dyDescent="0.3">
      <c r="A49" s="4" t="s">
        <v>189</v>
      </c>
      <c r="B49" s="5">
        <f>Datos!B65/Datos!B72</f>
        <v>1.33142504880328E-2</v>
      </c>
      <c r="C49" s="5">
        <f>Datos!C65/Datos!C72</f>
        <v>1.0579331601905585E-2</v>
      </c>
      <c r="D49" s="5">
        <f>Datos!D65/Datos!D72</f>
        <v>8.3818761165515687E-3</v>
      </c>
      <c r="E49" s="5">
        <f>Datos!E65/Datos!E72</f>
        <v>1.0133953278369986E-2</v>
      </c>
      <c r="F49" s="5">
        <f>Datos!F65/Datos!F72</f>
        <v>1.1926596365846042E-2</v>
      </c>
      <c r="G49" s="5">
        <f t="shared" si="2"/>
        <v>1.0867201570141196E-2</v>
      </c>
    </row>
    <row r="50" spans="1:9" x14ac:dyDescent="0.3">
      <c r="A50" s="4" t="s">
        <v>190</v>
      </c>
      <c r="B50" s="5">
        <f>Datos!B65/Datos!B76</f>
        <v>4.0134487534105825E-2</v>
      </c>
      <c r="C50" s="5">
        <f>Datos!C65/Datos!C76</f>
        <v>3.1845894439242205E-2</v>
      </c>
      <c r="D50" s="5">
        <f>Datos!D65/Datos!D76</f>
        <v>2.5677121387472277E-2</v>
      </c>
      <c r="E50" s="5">
        <f>Datos!E65/Datos!E76</f>
        <v>2.9325899941494898E-2</v>
      </c>
      <c r="F50" s="5">
        <f>Datos!F65/Datos!F76</f>
        <v>3.4218254301341809E-2</v>
      </c>
      <c r="G50" s="5">
        <f t="shared" si="2"/>
        <v>3.22403315207314E-2</v>
      </c>
    </row>
    <row r="51" spans="1:9" x14ac:dyDescent="0.3">
      <c r="A51" s="4" t="s">
        <v>191</v>
      </c>
      <c r="B51" s="5">
        <f>Datos!B61*(1-WACC!$B$10)/(Datos!B76+Datos!B81)</f>
        <v>2.6754246337629815E-2</v>
      </c>
      <c r="C51" s="5">
        <f>Datos!C61*(1-WACC!$B$10)/(Datos!C76+Datos!C81)</f>
        <v>2.3778808273445855E-2</v>
      </c>
      <c r="D51" s="5">
        <f>Datos!D61*(1-WACC!$B$10)/(Datos!D76+Datos!D81)</f>
        <v>2.172982300368867E-2</v>
      </c>
      <c r="E51" s="5">
        <f>Datos!E61*(1-WACC!$B$10)/(Datos!E76+Datos!E81)</f>
        <v>2.3140006209752581E-2</v>
      </c>
      <c r="F51" s="5">
        <f>Datos!F61*(1-WACC!$B$10)/(Datos!F76+Datos!F81)</f>
        <v>2.6048584397769255E-2</v>
      </c>
      <c r="G51" s="5">
        <f t="shared" si="2"/>
        <v>2.4290293644457235E-2</v>
      </c>
    </row>
    <row r="52" spans="1:9" x14ac:dyDescent="0.3">
      <c r="B52" s="10"/>
      <c r="C52" s="10"/>
      <c r="D52" s="10"/>
      <c r="E52" s="10"/>
      <c r="F52" s="10"/>
      <c r="G52" s="35"/>
    </row>
    <row r="53" spans="1:9" x14ac:dyDescent="0.3">
      <c r="B53" s="10"/>
      <c r="C53" s="10"/>
      <c r="D53" s="10"/>
      <c r="E53" s="10"/>
      <c r="F53" s="10"/>
      <c r="G53" s="35"/>
    </row>
    <row r="54" spans="1:9" x14ac:dyDescent="0.3">
      <c r="A54" s="2" t="s">
        <v>194</v>
      </c>
      <c r="B54" s="2" t="s">
        <v>146</v>
      </c>
      <c r="C54" s="2" t="s">
        <v>147</v>
      </c>
      <c r="D54" s="2" t="s">
        <v>148</v>
      </c>
      <c r="E54" s="2" t="s">
        <v>149</v>
      </c>
      <c r="F54" s="2" t="s">
        <v>85</v>
      </c>
      <c r="G54" s="2" t="s">
        <v>186</v>
      </c>
      <c r="H54" s="3"/>
      <c r="I54" s="3"/>
    </row>
    <row r="55" spans="1:9" x14ac:dyDescent="0.3">
      <c r="A55" s="4" t="s">
        <v>25</v>
      </c>
      <c r="B55" s="11">
        <f>Datos!B97/Datos!B99</f>
        <v>1.2404633184453946</v>
      </c>
      <c r="C55" s="11">
        <f>Datos!C97/Datos!C99</f>
        <v>1.3177761713872642</v>
      </c>
      <c r="D55" s="11">
        <f>Datos!D97/Datos!D99</f>
        <v>1.2070372441029178</v>
      </c>
      <c r="E55" s="11">
        <f>Datos!E97/Datos!E99</f>
        <v>1.2566071859175307</v>
      </c>
      <c r="F55" s="11">
        <f>Datos!F97/Datos!F99</f>
        <v>1.1233477429545267</v>
      </c>
      <c r="G55" s="11">
        <f t="shared" ref="G55:G67" si="3">AVERAGE(B55:F55)</f>
        <v>1.2290463325615266</v>
      </c>
    </row>
    <row r="56" spans="1:9" x14ac:dyDescent="0.3">
      <c r="A56" s="4" t="s">
        <v>26</v>
      </c>
      <c r="B56" s="11">
        <f>(Datos!B97-Datos!B96)/Datos!B99</f>
        <v>0.50628057239134805</v>
      </c>
      <c r="C56" s="11">
        <f>(Datos!C97-Datos!C96)/Datos!C99</f>
        <v>0.52652953933101132</v>
      </c>
      <c r="D56" s="11">
        <f>(Datos!D97-Datos!D96)/Datos!D99</f>
        <v>0.50008921455505728</v>
      </c>
      <c r="E56" s="11">
        <f>(Datos!E97-Datos!E96)/Datos!E99</f>
        <v>0.51120086809741982</v>
      </c>
      <c r="F56" s="11">
        <f>(Datos!F97-Datos!F96)/Datos!F99</f>
        <v>0.35797863496550009</v>
      </c>
      <c r="G56" s="11">
        <f t="shared" si="3"/>
        <v>0.48041576586806728</v>
      </c>
    </row>
    <row r="57" spans="1:9" x14ac:dyDescent="0.3">
      <c r="A57" s="4" t="s">
        <v>27</v>
      </c>
      <c r="B57" s="12">
        <f>Datos!B101/Datos!B98</f>
        <v>0.27021589733391227</v>
      </c>
      <c r="C57" s="12">
        <f>Datos!C101/Datos!C98</f>
        <v>0.24345709352062592</v>
      </c>
      <c r="D57" s="12">
        <f>Datos!D101/Datos!D98</f>
        <v>0.25448250110322823</v>
      </c>
      <c r="E57" s="12">
        <f>Datos!E101/Datos!E98</f>
        <v>0.24906936940560301</v>
      </c>
      <c r="F57" s="12">
        <f>Datos!F101/Datos!F98</f>
        <v>0.27196412687089883</v>
      </c>
      <c r="G57" s="12">
        <f t="shared" si="3"/>
        <v>0.25783779764685366</v>
      </c>
    </row>
    <row r="58" spans="1:9" x14ac:dyDescent="0.3">
      <c r="A58" s="4" t="s">
        <v>28</v>
      </c>
      <c r="B58" s="12">
        <f>Datos!B100/Datos!B98</f>
        <v>6.3159224759501045E-2</v>
      </c>
      <c r="C58" s="12">
        <f>Datos!C100/Datos!C98</f>
        <v>6.639252319049016E-2</v>
      </c>
      <c r="D58" s="12">
        <f>Datos!D100/Datos!D98</f>
        <v>6.4236170044242286E-2</v>
      </c>
      <c r="E58" s="12">
        <f>Datos!E100/Datos!E98</f>
        <v>6.3747637114397182E-2</v>
      </c>
      <c r="F58" s="12">
        <f>Datos!F100/Datos!F98</f>
        <v>6.5199455113467891E-2</v>
      </c>
      <c r="G58" s="12">
        <f t="shared" si="3"/>
        <v>6.4547002044419724E-2</v>
      </c>
    </row>
    <row r="59" spans="1:9" x14ac:dyDescent="0.3">
      <c r="A59" s="4" t="s">
        <v>29</v>
      </c>
      <c r="B59" s="11">
        <f>Datos!B87/Datos!B88</f>
        <v>11.378048780487804</v>
      </c>
      <c r="C59" s="11">
        <f>Datos!C87/Datos!C88</f>
        <v>10.938722294654498</v>
      </c>
      <c r="D59" s="11">
        <f>Datos!D87/Datos!D88</f>
        <v>10.979506933744224</v>
      </c>
      <c r="E59" s="11">
        <f>Datos!E87/Datos!E88</f>
        <v>13.661664392905866</v>
      </c>
      <c r="F59" s="11">
        <f>Datos!F87/Datos!F88</f>
        <v>12.265789473684212</v>
      </c>
      <c r="G59" s="11">
        <f t="shared" si="3"/>
        <v>11.844746375095321</v>
      </c>
    </row>
    <row r="60" spans="1:9" x14ac:dyDescent="0.3">
      <c r="A60" s="4" t="s">
        <v>187</v>
      </c>
      <c r="B60" s="11">
        <f>Datos!B85/Datos!B96</f>
        <v>1.31486351849098</v>
      </c>
      <c r="C60" s="11">
        <f>Datos!C85/Datos!C96</f>
        <v>1.3798046576525698</v>
      </c>
      <c r="D60" s="11">
        <f>Datos!D85/Datos!D96</f>
        <v>1.4629217075263752</v>
      </c>
      <c r="E60" s="11">
        <f>Datos!E85/Datos!E96</f>
        <v>1.3470658643892341</v>
      </c>
      <c r="F60" s="11">
        <f>Datos!F85/Datos!F96</f>
        <v>1.2396915264822885</v>
      </c>
      <c r="G60" s="11">
        <f t="shared" si="3"/>
        <v>1.3488694549082896</v>
      </c>
    </row>
    <row r="61" spans="1:9" x14ac:dyDescent="0.3">
      <c r="A61" s="4" t="s">
        <v>31</v>
      </c>
      <c r="B61" s="13">
        <f>$B$3*Datos!B96/Datos!B85</f>
        <v>69.39883776281529</v>
      </c>
      <c r="C61" s="13">
        <f>$B$3*Datos!C96/Datos!C85</f>
        <v>66.132549628613035</v>
      </c>
      <c r="D61" s="13">
        <f>$B$3*Datos!D96/Datos!D85</f>
        <v>62.375176696429492</v>
      </c>
      <c r="E61" s="13">
        <f>$B$3*Datos!E96/Datos!E85</f>
        <v>67.739820607341414</v>
      </c>
      <c r="F61" s="13">
        <f>$B$3*Datos!F96/Datos!F85</f>
        <v>73.607020819871423</v>
      </c>
      <c r="G61" s="13">
        <f t="shared" si="3"/>
        <v>67.850681103014125</v>
      </c>
    </row>
    <row r="62" spans="1:9" x14ac:dyDescent="0.3">
      <c r="A62" s="4" t="s">
        <v>188</v>
      </c>
      <c r="B62" s="11">
        <f>Datos!B84/Datos!B98</f>
        <v>0.28046005114522371</v>
      </c>
      <c r="C62" s="11">
        <f>Datos!C84/Datos!C98</f>
        <v>0.27491610464926858</v>
      </c>
      <c r="D62" s="11">
        <f>Datos!D84/Datos!D98</f>
        <v>0.28071534449008223</v>
      </c>
      <c r="E62" s="11">
        <f>Datos!E84/Datos!E98</f>
        <v>0.26827409919874157</v>
      </c>
      <c r="F62" s="11">
        <f>Datos!F84/Datos!F98</f>
        <v>0.27788138834338166</v>
      </c>
      <c r="G62" s="11">
        <f t="shared" si="3"/>
        <v>0.27644939756533959</v>
      </c>
    </row>
    <row r="63" spans="1:9" x14ac:dyDescent="0.3">
      <c r="A63" s="4" t="s">
        <v>33</v>
      </c>
      <c r="B63" s="12">
        <f>Datos!B86/Datos!B84</f>
        <v>0.28730605104393175</v>
      </c>
      <c r="C63" s="12">
        <f>Datos!C86/Datos!C84</f>
        <v>0.29682897098161376</v>
      </c>
      <c r="D63" s="12">
        <f>Datos!D86/Datos!D84</f>
        <v>0.29909572336890394</v>
      </c>
      <c r="E63" s="12">
        <f>Datos!E86/Datos!E84</f>
        <v>0.30636738433348604</v>
      </c>
      <c r="F63" s="12">
        <f>Datos!F86/Datos!F84</f>
        <v>0.29400530421940602</v>
      </c>
      <c r="G63" s="12">
        <f t="shared" si="3"/>
        <v>0.29672068678946828</v>
      </c>
    </row>
    <row r="64" spans="1:9" x14ac:dyDescent="0.3">
      <c r="A64" s="4" t="s">
        <v>34</v>
      </c>
      <c r="B64" s="12">
        <f>Datos!B91/Datos!B84</f>
        <v>6.5644262053856081E-2</v>
      </c>
      <c r="C64" s="12">
        <f>Datos!C91/Datos!C84</f>
        <v>5.4252869671215245E-2</v>
      </c>
      <c r="D64" s="12">
        <f>Datos!D91/Datos!D84</f>
        <v>4.0808939415803568E-2</v>
      </c>
      <c r="E64" s="12">
        <f>Datos!E91/Datos!E84</f>
        <v>6.1816516053804192E-2</v>
      </c>
      <c r="F64" s="12">
        <f>Datos!F91/Datos!F84</f>
        <v>5.1890111419535923E-2</v>
      </c>
      <c r="G64" s="12">
        <f t="shared" si="3"/>
        <v>5.4882539722843002E-2</v>
      </c>
    </row>
    <row r="65" spans="1:7" x14ac:dyDescent="0.3">
      <c r="A65" s="4" t="s">
        <v>189</v>
      </c>
      <c r="B65" s="5">
        <f>Datos!B91/Datos!B98</f>
        <v>1.8410593093014946E-2</v>
      </c>
      <c r="C65" s="5">
        <f>Datos!C91/Datos!C98</f>
        <v>1.4914987596054941E-2</v>
      </c>
      <c r="D65" s="5">
        <f>Datos!D91/Datos!D98</f>
        <v>1.1455695486382193E-2</v>
      </c>
      <c r="E65" s="5">
        <f>Datos!E91/Datos!E98</f>
        <v>1.6583770159938869E-2</v>
      </c>
      <c r="F65" s="5">
        <f>Datos!F91/Datos!F98</f>
        <v>1.4419296202553403E-2</v>
      </c>
      <c r="G65" s="5">
        <f t="shared" si="3"/>
        <v>1.5156868507588869E-2</v>
      </c>
    </row>
    <row r="66" spans="1:7" x14ac:dyDescent="0.3">
      <c r="A66" s="4" t="s">
        <v>190</v>
      </c>
      <c r="B66" s="5">
        <f>Datos!B91/Datos!B102</f>
        <v>2.5227451551433293E-2</v>
      </c>
      <c r="C66" s="5">
        <f>Datos!C91/Datos!C102</f>
        <v>1.9714661876168913E-2</v>
      </c>
      <c r="D66" s="5">
        <f>Datos!D91/Datos!D102</f>
        <v>1.5366098721135998E-2</v>
      </c>
      <c r="E66" s="5">
        <f>Datos!E91/Datos!E102</f>
        <v>2.2084290458110667E-2</v>
      </c>
      <c r="F66" s="5">
        <f>Datos!F91/Datos!F102</f>
        <v>1.9805749599369617E-2</v>
      </c>
      <c r="G66" s="5">
        <f t="shared" si="3"/>
        <v>2.0439650441243701E-2</v>
      </c>
    </row>
    <row r="67" spans="1:7" x14ac:dyDescent="0.3">
      <c r="A67" s="4" t="s">
        <v>191</v>
      </c>
      <c r="B67" s="5">
        <f>Datos!B87*(1-WACC!$B$10)/(Datos!B102+Datos!B107)</f>
        <v>2.1015885699745974E-2</v>
      </c>
      <c r="C67" s="5">
        <f>Datos!C87*(1-WACC!$B$10)/(Datos!C102+Datos!C107)</f>
        <v>1.684081941640668E-2</v>
      </c>
      <c r="D67" s="5">
        <f>Datos!D87*(1-WACC!$B$10)/(Datos!D102+Datos!D107)</f>
        <v>1.4096300420233375E-2</v>
      </c>
      <c r="E67" s="5">
        <f>Datos!E87*(1-WACC!$B$10)/(Datos!E102+Datos!E107)</f>
        <v>1.9443581493398421E-2</v>
      </c>
      <c r="F67" s="5">
        <f>Datos!F87*(1-WACC!$B$10)/(Datos!F102+Datos!F107)</f>
        <v>1.7910488727376526E-2</v>
      </c>
      <c r="G67" s="5">
        <f t="shared" si="3"/>
        <v>1.7861415151432195E-2</v>
      </c>
    </row>
    <row r="69" spans="1:7" x14ac:dyDescent="0.3">
      <c r="A69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2"/>
  <sheetViews>
    <sheetView topLeftCell="A4" zoomScaleNormal="100" workbookViewId="0">
      <selection activeCell="A33" sqref="A33"/>
    </sheetView>
  </sheetViews>
  <sheetFormatPr baseColWidth="10" defaultColWidth="11.44140625" defaultRowHeight="14.4" x14ac:dyDescent="0.3"/>
  <cols>
    <col min="1" max="1" width="55.44140625" customWidth="1"/>
    <col min="2" max="2" width="37" customWidth="1"/>
    <col min="3" max="6" width="16.6640625" customWidth="1"/>
  </cols>
  <sheetData>
    <row r="1" spans="1:10" ht="18.75" customHeight="1" x14ac:dyDescent="0.35">
      <c r="A1" s="14"/>
      <c r="C1" s="36"/>
      <c r="D1" s="36"/>
      <c r="E1" s="36"/>
      <c r="F1" s="36"/>
    </row>
    <row r="2" spans="1:10" x14ac:dyDescent="0.3">
      <c r="A2" s="15"/>
      <c r="C2" s="36"/>
      <c r="D2" s="36"/>
      <c r="E2" s="36"/>
      <c r="F2" s="36"/>
    </row>
    <row r="3" spans="1:10" x14ac:dyDescent="0.3">
      <c r="A3" s="2" t="s">
        <v>195</v>
      </c>
      <c r="B3" s="2" t="s">
        <v>1</v>
      </c>
      <c r="C3" s="2" t="s">
        <v>2</v>
      </c>
      <c r="D3" s="2" t="s">
        <v>3</v>
      </c>
      <c r="E3" s="2" t="s">
        <v>4</v>
      </c>
      <c r="F3" s="3"/>
      <c r="G3" s="3"/>
      <c r="H3" s="3"/>
      <c r="I3" s="3"/>
      <c r="J3" s="3"/>
    </row>
    <row r="4" spans="1:10" x14ac:dyDescent="0.3">
      <c r="A4" s="2" t="s">
        <v>196</v>
      </c>
      <c r="B4" s="2"/>
      <c r="C4" s="2"/>
      <c r="D4" s="2"/>
      <c r="E4" s="2"/>
      <c r="F4" s="3"/>
      <c r="G4" s="3"/>
      <c r="H4" s="3"/>
      <c r="I4" s="3"/>
      <c r="J4" s="3"/>
    </row>
    <row r="5" spans="1:10" x14ac:dyDescent="0.3">
      <c r="A5" s="4" t="s">
        <v>197</v>
      </c>
      <c r="B5" s="5">
        <v>9.5170000000000005E-2</v>
      </c>
      <c r="C5" s="5">
        <f>$B$5</f>
        <v>9.5170000000000005E-2</v>
      </c>
      <c r="D5" s="5">
        <f>$B$5</f>
        <v>9.5170000000000005E-2</v>
      </c>
      <c r="E5" s="5">
        <f>$B$5</f>
        <v>9.5170000000000005E-2</v>
      </c>
    </row>
    <row r="6" spans="1:10" x14ac:dyDescent="0.3">
      <c r="A6" s="4" t="s">
        <v>198</v>
      </c>
      <c r="B6" s="5">
        <v>4.2299999999999997E-2</v>
      </c>
      <c r="C6" s="5">
        <f>$B$6</f>
        <v>4.2299999999999997E-2</v>
      </c>
      <c r="D6" s="5">
        <f>$B$6</f>
        <v>4.2299999999999997E-2</v>
      </c>
      <c r="E6" s="5">
        <f>$B$6</f>
        <v>4.2299999999999997E-2</v>
      </c>
    </row>
    <row r="7" spans="1:10" x14ac:dyDescent="0.3">
      <c r="A7" s="4" t="s">
        <v>199</v>
      </c>
      <c r="B7" s="5">
        <v>2.46E-2</v>
      </c>
      <c r="C7" s="5">
        <f>$B$7</f>
        <v>2.46E-2</v>
      </c>
      <c r="D7" s="5">
        <f>$B$7</f>
        <v>2.46E-2</v>
      </c>
      <c r="E7" s="5">
        <f>$B$7</f>
        <v>2.46E-2</v>
      </c>
    </row>
    <row r="8" spans="1:10" x14ac:dyDescent="0.3">
      <c r="A8" s="4" t="s">
        <v>200</v>
      </c>
      <c r="B8" s="5">
        <f>B6</f>
        <v>4.2299999999999997E-2</v>
      </c>
      <c r="C8" s="5">
        <f>C6</f>
        <v>4.2299999999999997E-2</v>
      </c>
      <c r="D8" s="5">
        <f>D6</f>
        <v>4.2299999999999997E-2</v>
      </c>
      <c r="E8" s="5">
        <f>E6</f>
        <v>4.2299999999999997E-2</v>
      </c>
    </row>
    <row r="9" spans="1:10" x14ac:dyDescent="0.3">
      <c r="A9" s="4" t="s">
        <v>201</v>
      </c>
      <c r="B9" s="25">
        <f>'Beta y Kd'!B19</f>
        <v>0.69</v>
      </c>
      <c r="C9" s="25">
        <f>$B$9</f>
        <v>0.69</v>
      </c>
      <c r="D9" s="25">
        <f>$B$9</f>
        <v>0.69</v>
      </c>
      <c r="E9" s="25">
        <f>$B$9</f>
        <v>0.69</v>
      </c>
      <c r="F9" t="s">
        <v>202</v>
      </c>
    </row>
    <row r="10" spans="1:10" x14ac:dyDescent="0.3">
      <c r="A10" s="4" t="s">
        <v>203</v>
      </c>
      <c r="B10" s="5">
        <v>0.3</v>
      </c>
      <c r="C10" s="5">
        <f>$B$10</f>
        <v>0.3</v>
      </c>
      <c r="D10" s="5">
        <f>$B$10</f>
        <v>0.3</v>
      </c>
      <c r="E10" s="5">
        <f>$B$10</f>
        <v>0.3</v>
      </c>
    </row>
    <row r="11" spans="1:10" x14ac:dyDescent="0.3">
      <c r="B11" s="37"/>
      <c r="C11" s="37"/>
      <c r="D11" s="37"/>
      <c r="E11" s="37"/>
    </row>
    <row r="12" spans="1:10" x14ac:dyDescent="0.3">
      <c r="A12" s="2" t="s">
        <v>204</v>
      </c>
      <c r="B12" s="2"/>
      <c r="C12" s="2"/>
      <c r="D12" s="2"/>
      <c r="E12" s="2"/>
      <c r="F12" s="3"/>
      <c r="G12" s="3"/>
      <c r="H12" s="3"/>
      <c r="I12" s="3"/>
      <c r="J12" s="3"/>
    </row>
    <row r="13" spans="1:10" x14ac:dyDescent="0.3">
      <c r="A13" s="4" t="s">
        <v>205</v>
      </c>
      <c r="B13" s="38">
        <v>33.479999999999997</v>
      </c>
      <c r="C13" s="38">
        <v>46.6</v>
      </c>
      <c r="D13" s="38">
        <v>92.94</v>
      </c>
      <c r="E13" s="38">
        <v>32.08</v>
      </c>
    </row>
    <row r="14" spans="1:10" x14ac:dyDescent="0.3">
      <c r="A14" s="4" t="s">
        <v>206</v>
      </c>
      <c r="B14" s="39">
        <v>46290</v>
      </c>
      <c r="C14" s="40">
        <v>46266</v>
      </c>
      <c r="D14" s="4" t="s">
        <v>207</v>
      </c>
      <c r="E14" s="40">
        <v>46266</v>
      </c>
    </row>
    <row r="15" spans="1:10" x14ac:dyDescent="0.3">
      <c r="A15" s="4" t="s">
        <v>208</v>
      </c>
      <c r="B15" s="6">
        <v>54180</v>
      </c>
      <c r="C15" s="6">
        <v>801750</v>
      </c>
      <c r="D15" s="6">
        <v>89150</v>
      </c>
      <c r="E15" s="6">
        <v>34190</v>
      </c>
    </row>
    <row r="16" spans="1:10" x14ac:dyDescent="0.3">
      <c r="A16" s="4" t="s">
        <v>209</v>
      </c>
      <c r="B16" s="38">
        <v>30.1</v>
      </c>
      <c r="C16" s="38">
        <v>45.92</v>
      </c>
      <c r="D16" s="38">
        <v>92.84</v>
      </c>
      <c r="E16" s="38">
        <v>32.08</v>
      </c>
    </row>
    <row r="17" spans="1:10" x14ac:dyDescent="0.3">
      <c r="A17" s="4" t="s">
        <v>57</v>
      </c>
      <c r="B17" s="6">
        <f>B15/B16</f>
        <v>1800</v>
      </c>
      <c r="C17" s="6">
        <f>C15/C16</f>
        <v>17459.712543554007</v>
      </c>
      <c r="D17" s="6">
        <f>D15/D16</f>
        <v>960.25420077552781</v>
      </c>
      <c r="E17" s="6">
        <f>E15/E16</f>
        <v>1065.773067331671</v>
      </c>
    </row>
    <row r="18" spans="1:10" x14ac:dyDescent="0.3">
      <c r="A18" s="4" t="s">
        <v>210</v>
      </c>
      <c r="B18" s="6">
        <f>B17*B13</f>
        <v>60263.999999999993</v>
      </c>
      <c r="C18" s="6">
        <f>C17*C13</f>
        <v>813622.60452961677</v>
      </c>
      <c r="D18" s="6">
        <f>D17*D13</f>
        <v>89246.025420077553</v>
      </c>
      <c r="E18" s="6">
        <f>E17*E13</f>
        <v>34190</v>
      </c>
    </row>
    <row r="19" spans="1:10" x14ac:dyDescent="0.3">
      <c r="B19" s="37"/>
      <c r="C19" s="37"/>
      <c r="D19" s="37"/>
      <c r="E19" s="37"/>
    </row>
    <row r="20" spans="1:10" x14ac:dyDescent="0.3">
      <c r="A20" s="2" t="s">
        <v>211</v>
      </c>
      <c r="B20" s="2"/>
      <c r="C20" s="2"/>
      <c r="D20" s="2"/>
      <c r="E20" s="2"/>
      <c r="F20" s="3"/>
      <c r="G20" s="3"/>
      <c r="H20" s="3"/>
      <c r="I20" s="3"/>
      <c r="J20" s="3"/>
    </row>
    <row r="21" spans="1:10" x14ac:dyDescent="0.3">
      <c r="A21" s="4" t="s">
        <v>212</v>
      </c>
      <c r="B21" s="6">
        <f>Datos!G29</f>
        <v>23618</v>
      </c>
      <c r="C21" s="6">
        <f>Datos!G55</f>
        <v>80848.099999999991</v>
      </c>
      <c r="D21" s="6">
        <f>Datos!G81</f>
        <v>56744.34</v>
      </c>
      <c r="E21" s="6">
        <f>Datos!G107</f>
        <v>2441.8000000000002</v>
      </c>
    </row>
    <row r="22" spans="1:10" x14ac:dyDescent="0.3">
      <c r="A22" s="4" t="s">
        <v>13</v>
      </c>
      <c r="B22" s="6">
        <f>Datos!G17</f>
        <v>9295</v>
      </c>
      <c r="C22" s="6">
        <f>Datos!G43</f>
        <v>28591.200000000001</v>
      </c>
      <c r="D22" s="6">
        <f>Datos!G69</f>
        <v>14640.16</v>
      </c>
      <c r="E22" s="6">
        <f>Datos!G95</f>
        <v>2962.8</v>
      </c>
    </row>
    <row r="23" spans="1:10" x14ac:dyDescent="0.3">
      <c r="A23" s="4" t="s">
        <v>213</v>
      </c>
      <c r="B23" s="41">
        <f>B21/B18</f>
        <v>0.39190893402362942</v>
      </c>
      <c r="C23" s="11">
        <f>C21/C18</f>
        <v>9.9368060265165647E-2</v>
      </c>
      <c r="D23" s="11">
        <f>D21/D18</f>
        <v>0.63581923937684182</v>
      </c>
      <c r="E23" s="11">
        <f>E21/E18</f>
        <v>7.1418543433752563E-2</v>
      </c>
    </row>
    <row r="24" spans="1:10" x14ac:dyDescent="0.3">
      <c r="A24" s="4" t="s">
        <v>214</v>
      </c>
      <c r="B24" s="5">
        <f>B21/(B21+B18)</f>
        <v>0.28156219451133735</v>
      </c>
      <c r="C24" s="5">
        <f>C21/(C21+C18)</f>
        <v>9.0386526457024996E-2</v>
      </c>
      <c r="D24" s="5">
        <f>D21/(D21+D18)</f>
        <v>0.38868551247694971</v>
      </c>
      <c r="E24" s="5">
        <f>E21/(E21+E18)</f>
        <v>6.6657931087197461E-2</v>
      </c>
    </row>
    <row r="25" spans="1:10" x14ac:dyDescent="0.3">
      <c r="A25" s="4" t="s">
        <v>215</v>
      </c>
      <c r="B25" s="5">
        <f>B18/(B21+B18)</f>
        <v>0.71843780548866254</v>
      </c>
      <c r="C25" s="5">
        <f>C18/(C21+C18)</f>
        <v>0.90961347354297506</v>
      </c>
      <c r="D25" s="5">
        <f>D18/(D21+D18)</f>
        <v>0.61131448752305029</v>
      </c>
      <c r="E25" s="5">
        <f>E18/(E21+E18)</f>
        <v>0.93334206891280247</v>
      </c>
    </row>
    <row r="26" spans="1:10" x14ac:dyDescent="0.3">
      <c r="B26" s="37"/>
      <c r="C26" s="37"/>
      <c r="D26" s="37"/>
      <c r="E26" s="37"/>
    </row>
    <row r="27" spans="1:10" x14ac:dyDescent="0.3">
      <c r="A27" s="2" t="s">
        <v>216</v>
      </c>
      <c r="B27" s="2"/>
      <c r="C27" s="2"/>
      <c r="D27" s="2"/>
      <c r="E27" s="2"/>
      <c r="F27" s="3"/>
      <c r="G27" s="3"/>
      <c r="H27" s="3"/>
      <c r="I27" s="3"/>
      <c r="J27" s="3"/>
    </row>
    <row r="28" spans="1:10" x14ac:dyDescent="0.3">
      <c r="A28" s="4" t="s">
        <v>217</v>
      </c>
      <c r="B28" s="25">
        <f>B9*(1+(1-B10)*B23)</f>
        <v>0.87929201513341293</v>
      </c>
      <c r="C28" s="25">
        <f>C9*(1+(1-C10)*C23)</f>
        <v>0.73799477310807493</v>
      </c>
      <c r="D28" s="25">
        <f>D9*(1+(1-D10)*D23)</f>
        <v>0.99710069261901457</v>
      </c>
      <c r="E28" s="25">
        <f>E9*(1+(1-E10)*E23)</f>
        <v>0.72449515647850238</v>
      </c>
    </row>
    <row r="29" spans="1:10" x14ac:dyDescent="0.3">
      <c r="A29" s="4" t="s">
        <v>218</v>
      </c>
      <c r="B29" s="5">
        <f>B5+B28*B8</f>
        <v>0.13236405224014336</v>
      </c>
      <c r="C29" s="5">
        <f>C5+C28*C8</f>
        <v>0.12638717890247159</v>
      </c>
      <c r="D29" s="5">
        <f>D5+D28*D8</f>
        <v>0.13734735929778433</v>
      </c>
      <c r="E29" s="5">
        <f>E5+E28*E8</f>
        <v>0.12581614511904066</v>
      </c>
    </row>
    <row r="30" spans="1:10" x14ac:dyDescent="0.3">
      <c r="A30" s="4" t="s">
        <v>219</v>
      </c>
      <c r="B30" s="6">
        <f>Datos!G10</f>
        <v>3074</v>
      </c>
      <c r="C30" s="6">
        <f>Datos!G36</f>
        <v>11464.7</v>
      </c>
      <c r="D30" s="6">
        <f>Datos!G62</f>
        <v>3846.89</v>
      </c>
      <c r="E30" s="6">
        <f>Datos!G88</f>
        <v>265.95999999999998</v>
      </c>
    </row>
    <row r="31" spans="1:10" x14ac:dyDescent="0.3">
      <c r="A31" s="4" t="s">
        <v>220</v>
      </c>
      <c r="B31" s="5">
        <f>B30/B21</f>
        <v>0.13015496655093572</v>
      </c>
      <c r="C31" s="5">
        <f>C30/C21</f>
        <v>0.14180543513081942</v>
      </c>
      <c r="D31" s="5">
        <f>D30/D21</f>
        <v>6.7793369347497925E-2</v>
      </c>
      <c r="E31" s="5">
        <f>E30/E21</f>
        <v>0.10891964943893848</v>
      </c>
    </row>
    <row r="32" spans="1:10" x14ac:dyDescent="0.3">
      <c r="A32" s="4" t="s">
        <v>221</v>
      </c>
      <c r="B32" s="5">
        <f>B31*(1-B10)</f>
        <v>9.1108476585655004E-2</v>
      </c>
      <c r="C32" s="5">
        <f>C31*(1-C10)</f>
        <v>9.9263804591573593E-2</v>
      </c>
      <c r="D32" s="5">
        <f>D31*(1-D10)</f>
        <v>4.7455358543248546E-2</v>
      </c>
      <c r="E32" s="5">
        <f>E31*(1-E10)</f>
        <v>7.6243754607256922E-2</v>
      </c>
    </row>
    <row r="33" spans="1:5" x14ac:dyDescent="0.3">
      <c r="A33" s="4" t="s">
        <v>222</v>
      </c>
      <c r="B33" s="5">
        <f>B25*B29+B24*B32</f>
        <v>0.12074804182303711</v>
      </c>
      <c r="C33" s="5">
        <f>C25*C29+C24*C32</f>
        <v>0.12393559131271581</v>
      </c>
      <c r="D33" s="5">
        <f>D25*D29+D24*D32</f>
        <v>0.10240764091692925</v>
      </c>
      <c r="E33" s="5">
        <f>E25*E29+E24*E32</f>
        <v>0.12251175212847852</v>
      </c>
    </row>
    <row r="35" spans="1:5" x14ac:dyDescent="0.3">
      <c r="A35" s="2" t="s">
        <v>1154</v>
      </c>
      <c r="B35" s="2"/>
      <c r="C35" s="2"/>
      <c r="D35" s="2"/>
    </row>
    <row r="36" spans="1:5" x14ac:dyDescent="0.3">
      <c r="A36" s="4" t="s">
        <v>1155</v>
      </c>
      <c r="B36" s="5">
        <f>'Proyección Final Soriana'!B126</f>
        <v>0.11383702657870544</v>
      </c>
      <c r="C36" s="5"/>
      <c r="D36" s="5"/>
    </row>
    <row r="37" spans="1:5" x14ac:dyDescent="0.3">
      <c r="A37" s="4" t="s">
        <v>1156</v>
      </c>
      <c r="B37" s="5">
        <f>B33</f>
        <v>0.12074804182303711</v>
      </c>
      <c r="C37" s="5"/>
      <c r="D37" s="5"/>
    </row>
    <row r="38" spans="1:5" x14ac:dyDescent="0.3">
      <c r="A38" s="4" t="s">
        <v>1157</v>
      </c>
      <c r="B38" s="5">
        <f>B37-B36</f>
        <v>6.9110152443316725E-3</v>
      </c>
      <c r="C38" s="5"/>
      <c r="D38" s="5"/>
    </row>
    <row r="39" spans="1:5" x14ac:dyDescent="0.3">
      <c r="A39" s="4" t="s">
        <v>1158</v>
      </c>
      <c r="B39" s="5">
        <f>B31</f>
        <v>0.13015496655093572</v>
      </c>
      <c r="C39" s="5"/>
      <c r="D39" s="5"/>
    </row>
    <row r="40" spans="1:5" x14ac:dyDescent="0.3">
      <c r="A40" s="4" t="s">
        <v>1159</v>
      </c>
      <c r="B40" s="5">
        <f>'Proyección Final Soriana'!B206</f>
        <v>0.1</v>
      </c>
      <c r="C40" s="5"/>
      <c r="D40" s="5"/>
    </row>
    <row r="41" spans="1:5" x14ac:dyDescent="0.3">
      <c r="A41" s="4" t="s">
        <v>1160</v>
      </c>
      <c r="B41" s="5">
        <f>(Datos!E10+Datos!F10)*2/B21</f>
        <v>9.9076975188415614E-2</v>
      </c>
      <c r="C41" s="5"/>
      <c r="D41" s="5"/>
    </row>
    <row r="42" spans="1:5" x14ac:dyDescent="0.3">
      <c r="A42" t="s">
        <v>1161</v>
      </c>
      <c r="B42" s="37"/>
      <c r="C42" s="37"/>
      <c r="D42" s="37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0"/>
  <sheetViews>
    <sheetView zoomScale="87" zoomScaleNormal="87" workbookViewId="0">
      <selection activeCell="B40" sqref="B40"/>
    </sheetView>
  </sheetViews>
  <sheetFormatPr baseColWidth="10" defaultColWidth="11.44140625" defaultRowHeight="14.4" x14ac:dyDescent="0.3"/>
  <cols>
    <col min="1" max="1" width="61.109375" customWidth="1"/>
    <col min="2" max="2" width="35.109375" customWidth="1"/>
    <col min="3" max="8" width="15.88671875" customWidth="1"/>
  </cols>
  <sheetData>
    <row r="1" spans="1:10" ht="18.75" customHeight="1" x14ac:dyDescent="0.35">
      <c r="A1" s="14"/>
    </row>
    <row r="2" spans="1:10" x14ac:dyDescent="0.3">
      <c r="A2" s="15"/>
    </row>
    <row r="3" spans="1:10" x14ac:dyDescent="0.3">
      <c r="B3" s="42"/>
    </row>
    <row r="4" spans="1:10" x14ac:dyDescent="0.3">
      <c r="A4" s="4" t="s">
        <v>223</v>
      </c>
      <c r="B4" s="12">
        <v>3.5000000000000003E-2</v>
      </c>
    </row>
    <row r="5" spans="1:10" x14ac:dyDescent="0.3">
      <c r="A5" s="4" t="s">
        <v>224</v>
      </c>
      <c r="B5" s="12">
        <v>3.5000000000000003E-2</v>
      </c>
    </row>
    <row r="6" spans="1:10" x14ac:dyDescent="0.3">
      <c r="B6" s="42"/>
    </row>
    <row r="7" spans="1:10" x14ac:dyDescent="0.3">
      <c r="B7" s="42"/>
    </row>
    <row r="8" spans="1:10" x14ac:dyDescent="0.3">
      <c r="A8" s="43" t="s">
        <v>185</v>
      </c>
      <c r="B8" s="44" t="s">
        <v>225</v>
      </c>
      <c r="C8" s="2" t="s">
        <v>226</v>
      </c>
      <c r="D8" s="2" t="s">
        <v>227</v>
      </c>
      <c r="E8" s="2" t="s">
        <v>228</v>
      </c>
      <c r="F8" s="2" t="s">
        <v>229</v>
      </c>
      <c r="G8" s="2" t="s">
        <v>230</v>
      </c>
      <c r="H8" s="3"/>
      <c r="I8" s="3"/>
      <c r="J8" s="3"/>
    </row>
    <row r="9" spans="1:10" x14ac:dyDescent="0.3">
      <c r="A9" s="4" t="s">
        <v>231</v>
      </c>
      <c r="B9" s="5">
        <f>$B$5</f>
        <v>3.5000000000000003E-2</v>
      </c>
      <c r="C9" s="28"/>
      <c r="D9" s="28"/>
      <c r="E9" s="28"/>
      <c r="F9" s="28"/>
      <c r="G9" s="28"/>
    </row>
    <row r="10" spans="1:10" x14ac:dyDescent="0.3">
      <c r="A10" s="4" t="s">
        <v>232</v>
      </c>
      <c r="B10" s="5">
        <f>Datos!G9/Datos!G6</f>
        <v>4.2542883699969017E-2</v>
      </c>
      <c r="C10" s="28"/>
      <c r="D10" s="28"/>
      <c r="E10" s="28"/>
      <c r="F10" s="28"/>
      <c r="G10" s="28"/>
    </row>
    <row r="11" spans="1:10" x14ac:dyDescent="0.3">
      <c r="A11" s="4" t="s">
        <v>233</v>
      </c>
      <c r="B11" s="5">
        <f>Datos!G14/Datos!G6</f>
        <v>2.4459904796777739E-2</v>
      </c>
      <c r="C11" s="28"/>
      <c r="D11" s="28"/>
      <c r="E11" s="28"/>
      <c r="F11" s="28"/>
      <c r="G11" s="28"/>
    </row>
    <row r="12" spans="1:10" x14ac:dyDescent="0.3">
      <c r="A12" s="4" t="s">
        <v>234</v>
      </c>
      <c r="B12" s="5">
        <f>Datos!G16/Datos!G6</f>
        <v>1.6150747824127537E-2</v>
      </c>
      <c r="C12" s="28"/>
      <c r="D12" s="28"/>
      <c r="E12" s="28"/>
      <c r="F12" s="28"/>
      <c r="G12" s="28"/>
    </row>
    <row r="13" spans="1:10" x14ac:dyDescent="0.3">
      <c r="A13" s="4" t="s">
        <v>235</v>
      </c>
      <c r="B13" s="5">
        <f>-SUM('Proyección Soriana'!C64:G64)/('Proyección Soriana'!G19-'Proyección Soriana'!B19)</f>
        <v>2.0792609075289563E-2</v>
      </c>
      <c r="C13" s="28"/>
      <c r="D13" s="28"/>
      <c r="E13" s="28"/>
      <c r="F13" s="28"/>
      <c r="G13" s="28"/>
    </row>
    <row r="14" spans="1:10" x14ac:dyDescent="0.3">
      <c r="A14" s="4" t="s">
        <v>236</v>
      </c>
      <c r="B14" s="5">
        <f>WACC!B10</f>
        <v>0.3</v>
      </c>
      <c r="C14" s="28"/>
      <c r="D14" s="28"/>
      <c r="E14" s="28"/>
      <c r="F14" s="28"/>
      <c r="G14" s="28"/>
    </row>
    <row r="15" spans="1:10" x14ac:dyDescent="0.3">
      <c r="A15" s="4" t="s">
        <v>5</v>
      </c>
      <c r="B15" s="5">
        <f>WACC!B33</f>
        <v>0.12074804182303711</v>
      </c>
      <c r="C15" s="28"/>
      <c r="D15" s="28"/>
      <c r="E15" s="28"/>
      <c r="F15" s="28"/>
      <c r="G15" s="28"/>
    </row>
    <row r="16" spans="1:10" x14ac:dyDescent="0.3">
      <c r="A16" s="4" t="s">
        <v>6</v>
      </c>
      <c r="B16" s="5">
        <f>$B$4</f>
        <v>3.5000000000000003E-2</v>
      </c>
      <c r="C16" s="28"/>
      <c r="D16" s="28"/>
      <c r="E16" s="28"/>
      <c r="F16" s="28"/>
      <c r="G16" s="28"/>
    </row>
    <row r="18" spans="1:10" x14ac:dyDescent="0.3">
      <c r="A18" s="2" t="s">
        <v>237</v>
      </c>
      <c r="B18" s="2" t="s">
        <v>225</v>
      </c>
      <c r="C18" s="2" t="s">
        <v>226</v>
      </c>
      <c r="D18" s="2" t="s">
        <v>227</v>
      </c>
      <c r="E18" s="2" t="s">
        <v>228</v>
      </c>
      <c r="F18" s="2" t="s">
        <v>229</v>
      </c>
      <c r="G18" s="2" t="s">
        <v>230</v>
      </c>
      <c r="H18" s="3"/>
      <c r="I18" s="3"/>
      <c r="J18" s="3"/>
    </row>
    <row r="19" spans="1:10" x14ac:dyDescent="0.3">
      <c r="A19" s="4" t="s">
        <v>238</v>
      </c>
      <c r="B19" s="45">
        <v>0</v>
      </c>
      <c r="C19" s="45">
        <v>1</v>
      </c>
      <c r="D19" s="45">
        <v>2</v>
      </c>
      <c r="E19" s="45">
        <v>3</v>
      </c>
      <c r="F19" s="45">
        <v>4</v>
      </c>
      <c r="G19" s="45">
        <v>5</v>
      </c>
    </row>
    <row r="20" spans="1:10" x14ac:dyDescent="0.3">
      <c r="A20" s="4" t="s">
        <v>239</v>
      </c>
      <c r="B20" s="6">
        <f>Datos!G6</f>
        <v>177515</v>
      </c>
      <c r="C20" s="6">
        <f>B20*(1+$B$9)</f>
        <v>183728.02499999999</v>
      </c>
      <c r="D20" s="6">
        <f>C20*(1+$B$9)</f>
        <v>190158.50587499997</v>
      </c>
      <c r="E20" s="6">
        <f>D20*(1+$B$9)</f>
        <v>196814.05358062495</v>
      </c>
      <c r="F20" s="6">
        <f>E20*(1+$B$9)</f>
        <v>203702.54545594682</v>
      </c>
      <c r="G20" s="6">
        <f>F20*(1+$B$9)</f>
        <v>210832.13454690494</v>
      </c>
    </row>
    <row r="21" spans="1:10" x14ac:dyDescent="0.3">
      <c r="A21" s="4" t="s">
        <v>81</v>
      </c>
      <c r="B21" s="6">
        <f>Datos!G9</f>
        <v>7552</v>
      </c>
      <c r="C21" s="6">
        <f>C20*$B$10</f>
        <v>7816.32</v>
      </c>
      <c r="D21" s="6">
        <f>D20*$B$10</f>
        <v>8089.8911999999991</v>
      </c>
      <c r="E21" s="6">
        <f>E20*$B$10</f>
        <v>8373.0373919999984</v>
      </c>
      <c r="F21" s="6">
        <f>F20*$B$10</f>
        <v>8666.0937007199973</v>
      </c>
      <c r="G21" s="6">
        <f>G20*$B$10</f>
        <v>8969.4069802451977</v>
      </c>
    </row>
    <row r="22" spans="1:10" x14ac:dyDescent="0.3">
      <c r="A22" s="4" t="s">
        <v>240</v>
      </c>
      <c r="B22" s="6">
        <f t="shared" ref="B22:G22" si="0">-B21*$B$14</f>
        <v>-2265.6</v>
      </c>
      <c r="C22" s="6">
        <f t="shared" si="0"/>
        <v>-2344.8959999999997</v>
      </c>
      <c r="D22" s="6">
        <f t="shared" si="0"/>
        <v>-2426.9673599999996</v>
      </c>
      <c r="E22" s="6">
        <f t="shared" si="0"/>
        <v>-2511.9112175999994</v>
      </c>
      <c r="F22" s="6">
        <f t="shared" si="0"/>
        <v>-2599.828110215999</v>
      </c>
      <c r="G22" s="6">
        <f t="shared" si="0"/>
        <v>-2690.8220940735591</v>
      </c>
    </row>
    <row r="23" spans="1:10" x14ac:dyDescent="0.3">
      <c r="A23" s="4" t="s">
        <v>241</v>
      </c>
      <c r="B23" s="6">
        <f t="shared" ref="B23:G23" si="1">B21+B22</f>
        <v>5286.4</v>
      </c>
      <c r="C23" s="6">
        <f t="shared" si="1"/>
        <v>5471.424</v>
      </c>
      <c r="D23" s="6">
        <f t="shared" si="1"/>
        <v>5662.9238399999995</v>
      </c>
      <c r="E23" s="6">
        <f t="shared" si="1"/>
        <v>5861.1261743999985</v>
      </c>
      <c r="F23" s="6">
        <f t="shared" si="1"/>
        <v>6066.2655905039983</v>
      </c>
      <c r="G23" s="6">
        <f t="shared" si="1"/>
        <v>6278.5848861716386</v>
      </c>
    </row>
    <row r="24" spans="1:10" x14ac:dyDescent="0.3">
      <c r="A24" s="4" t="s">
        <v>242</v>
      </c>
      <c r="B24" s="6">
        <f>Datos!G14</f>
        <v>4342</v>
      </c>
      <c r="C24" s="6">
        <f>C20*$B$11</f>
        <v>4493.97</v>
      </c>
      <c r="D24" s="6">
        <f>D20*$B$11</f>
        <v>4651.2589499999995</v>
      </c>
      <c r="E24" s="6">
        <f>E20*$B$11</f>
        <v>4814.0530132499989</v>
      </c>
      <c r="F24" s="6">
        <f>F20*$B$11</f>
        <v>4982.5448687137487</v>
      </c>
      <c r="G24" s="6">
        <f>G20*$B$11</f>
        <v>5156.9339391187295</v>
      </c>
    </row>
    <row r="25" spans="1:10" x14ac:dyDescent="0.3">
      <c r="A25" s="4" t="s">
        <v>243</v>
      </c>
      <c r="B25" s="6">
        <f>-Datos!G16</f>
        <v>-2867</v>
      </c>
      <c r="C25" s="6">
        <f>-C20*$B$12</f>
        <v>-2967.3449999999998</v>
      </c>
      <c r="D25" s="6">
        <f>-D20*$B$12</f>
        <v>-3071.2020749999992</v>
      </c>
      <c r="E25" s="6">
        <f>-E20*$B$12</f>
        <v>-3178.694147624999</v>
      </c>
      <c r="F25" s="6">
        <f>-F20*$B$12</f>
        <v>-3289.9484427918737</v>
      </c>
      <c r="G25" s="6">
        <f>-G20*$B$12</f>
        <v>-3405.096638289589</v>
      </c>
    </row>
    <row r="26" spans="1:10" x14ac:dyDescent="0.3">
      <c r="A26" s="4" t="s">
        <v>244</v>
      </c>
      <c r="B26" s="6">
        <v>0</v>
      </c>
      <c r="C26" s="6">
        <f>-(C20-B20)*$B$13</f>
        <v>-129.18500000000083</v>
      </c>
      <c r="D26" s="6">
        <f>-(D20-C20)*$B$13</f>
        <v>-133.70647500000055</v>
      </c>
      <c r="E26" s="6">
        <f>-(E20-D20)*$B$13</f>
        <v>-138.38620162500058</v>
      </c>
      <c r="F26" s="6">
        <f>-(F20-E20)*$B$13</f>
        <v>-143.22971868187585</v>
      </c>
      <c r="G26" s="6">
        <f>-(G20-F20)*$B$13</f>
        <v>-148.24275883574128</v>
      </c>
    </row>
    <row r="27" spans="1:10" x14ac:dyDescent="0.3">
      <c r="A27" s="4" t="s">
        <v>245</v>
      </c>
      <c r="B27" s="6">
        <f t="shared" ref="B27:G27" si="2">B23+B24+B25+B26</f>
        <v>6761.4</v>
      </c>
      <c r="C27" s="6">
        <f t="shared" si="2"/>
        <v>6868.8640000000005</v>
      </c>
      <c r="D27" s="6">
        <f t="shared" si="2"/>
        <v>7109.2742399999988</v>
      </c>
      <c r="E27" s="6">
        <f t="shared" si="2"/>
        <v>7358.0988383999975</v>
      </c>
      <c r="F27" s="6">
        <f t="shared" si="2"/>
        <v>7615.6322977439977</v>
      </c>
      <c r="G27" s="6">
        <f t="shared" si="2"/>
        <v>7882.1794281650373</v>
      </c>
    </row>
    <row r="28" spans="1:10" x14ac:dyDescent="0.3">
      <c r="A28" s="4" t="s">
        <v>246</v>
      </c>
      <c r="B28" s="46"/>
      <c r="C28" s="46">
        <f>1/(1+$B$15)^C19</f>
        <v>0.89226120651825969</v>
      </c>
      <c r="D28" s="46">
        <f>1/(1+$B$15)^D19</f>
        <v>0.79613006065742031</v>
      </c>
      <c r="E28" s="46">
        <f>1/(1+$B$15)^E19</f>
        <v>0.71035596846764515</v>
      </c>
      <c r="F28" s="46">
        <f>1/(1+$B$15)^F19</f>
        <v>0.63382307348238776</v>
      </c>
      <c r="G28" s="46">
        <f>1/(1+$B$15)^G19</f>
        <v>0.56553574026450681</v>
      </c>
    </row>
    <row r="29" spans="1:10" x14ac:dyDescent="0.3">
      <c r="A29" s="4" t="s">
        <v>247</v>
      </c>
      <c r="B29" s="6"/>
      <c r="C29" s="6">
        <f>C27*C28</f>
        <v>6128.8208800498396</v>
      </c>
      <c r="D29" s="6">
        <f>D27*D28</f>
        <v>5659.906931921435</v>
      </c>
      <c r="E29" s="6">
        <f>E27*E28</f>
        <v>5226.8694264322849</v>
      </c>
      <c r="F29" s="6">
        <f>F27*F28</f>
        <v>4826.9634694678398</v>
      </c>
      <c r="G29" s="6">
        <f>G27*G28</f>
        <v>4457.6541778049814</v>
      </c>
    </row>
    <row r="30" spans="1:10" x14ac:dyDescent="0.3">
      <c r="B30" s="36"/>
      <c r="C30" s="36"/>
      <c r="D30" s="36"/>
      <c r="E30" s="36"/>
      <c r="F30" s="36"/>
      <c r="G30" s="36"/>
    </row>
    <row r="31" spans="1:10" x14ac:dyDescent="0.3">
      <c r="A31" s="4" t="s">
        <v>8</v>
      </c>
      <c r="B31" s="6">
        <f>SUM(C29:G29)</f>
        <v>26300.214885676382</v>
      </c>
      <c r="C31" s="47"/>
      <c r="D31" s="47"/>
      <c r="E31" s="47"/>
      <c r="F31" s="47"/>
      <c r="G31" s="47"/>
    </row>
    <row r="32" spans="1:10" x14ac:dyDescent="0.3">
      <c r="A32" s="4" t="s">
        <v>248</v>
      </c>
      <c r="B32" s="6">
        <f>G27*(1+B16)</f>
        <v>8158.0557081508132</v>
      </c>
    </row>
    <row r="33" spans="1:10" x14ac:dyDescent="0.3">
      <c r="A33" s="4" t="s">
        <v>249</v>
      </c>
      <c r="B33" s="6">
        <f>B32/(B15-B16)</f>
        <v>95139.848499246611</v>
      </c>
      <c r="C33" s="3"/>
      <c r="D33" s="3"/>
      <c r="E33" s="3"/>
      <c r="F33" s="3"/>
      <c r="G33" s="3"/>
    </row>
    <row r="34" spans="1:10" x14ac:dyDescent="0.3">
      <c r="A34" s="4" t="s">
        <v>10</v>
      </c>
      <c r="B34" s="6">
        <f>B33*G28</f>
        <v>53804.984649674458</v>
      </c>
    </row>
    <row r="35" spans="1:10" x14ac:dyDescent="0.3">
      <c r="A35" s="4" t="s">
        <v>250</v>
      </c>
      <c r="B35" s="6">
        <f>B31+B34</f>
        <v>80105.199535350839</v>
      </c>
      <c r="C35" s="3"/>
      <c r="D35" s="3"/>
      <c r="E35" s="3"/>
      <c r="F35" s="3"/>
      <c r="G35" s="3"/>
    </row>
    <row r="36" spans="1:10" x14ac:dyDescent="0.3">
      <c r="A36" s="4" t="s">
        <v>251</v>
      </c>
      <c r="B36" s="6">
        <f>-WACC!B21</f>
        <v>-23618</v>
      </c>
    </row>
    <row r="37" spans="1:10" x14ac:dyDescent="0.3">
      <c r="A37" s="4" t="s">
        <v>252</v>
      </c>
      <c r="B37" s="6">
        <f>WACC!B22</f>
        <v>9295</v>
      </c>
    </row>
    <row r="38" spans="1:10" x14ac:dyDescent="0.3">
      <c r="A38" s="4" t="s">
        <v>253</v>
      </c>
      <c r="B38" s="6">
        <f>-(B36+B37)</f>
        <v>14323</v>
      </c>
    </row>
    <row r="39" spans="1:10" x14ac:dyDescent="0.3">
      <c r="A39" s="4" t="s">
        <v>254</v>
      </c>
      <c r="B39" s="6">
        <f>B35+B36+B37</f>
        <v>65782.199535350839</v>
      </c>
      <c r="C39" s="3"/>
      <c r="D39" s="3"/>
      <c r="E39" s="3"/>
      <c r="F39" s="3"/>
      <c r="G39" s="3"/>
    </row>
    <row r="40" spans="1:10" x14ac:dyDescent="0.3">
      <c r="A40" s="4" t="s">
        <v>57</v>
      </c>
      <c r="B40" s="6">
        <f>WACC!B17</f>
        <v>1800</v>
      </c>
    </row>
    <row r="41" spans="1:10" ht="31.5" customHeight="1" x14ac:dyDescent="0.3">
      <c r="A41" s="48" t="s">
        <v>15</v>
      </c>
      <c r="B41" s="49">
        <f>B39/B40</f>
        <v>36.545666408528241</v>
      </c>
      <c r="C41" s="50"/>
      <c r="D41" s="51" t="s">
        <v>255</v>
      </c>
      <c r="E41" s="52">
        <f>'Proyección Soriana'!B85</f>
        <v>36.540972423785909</v>
      </c>
      <c r="F41" s="3"/>
      <c r="G41" s="3"/>
    </row>
    <row r="42" spans="1:10" ht="31.5" customHeight="1" x14ac:dyDescent="0.3">
      <c r="A42" s="48" t="s">
        <v>16</v>
      </c>
      <c r="B42" s="49">
        <f>WACC!B13</f>
        <v>33.479999999999997</v>
      </c>
      <c r="C42" s="53"/>
      <c r="D42" s="51" t="s">
        <v>256</v>
      </c>
      <c r="E42" s="54">
        <f>B41-E41</f>
        <v>4.693984742331736E-3</v>
      </c>
    </row>
    <row r="43" spans="1:10" ht="15.75" customHeight="1" x14ac:dyDescent="0.3">
      <c r="A43" s="48" t="s">
        <v>17</v>
      </c>
      <c r="B43" s="55">
        <f>B41/B42-1</f>
        <v>9.1567097028920186E-2</v>
      </c>
      <c r="C43" s="53"/>
      <c r="D43" s="51" t="s">
        <v>257</v>
      </c>
      <c r="E43" s="56">
        <f>B41/E41-1</f>
        <v>1.2845812333317497E-4</v>
      </c>
    </row>
    <row r="44" spans="1:10" x14ac:dyDescent="0.3">
      <c r="A44" s="4" t="s">
        <v>258</v>
      </c>
      <c r="B44" s="8">
        <f>B34/B35</f>
        <v>0.6716790540660228</v>
      </c>
    </row>
    <row r="46" spans="1:10" x14ac:dyDescent="0.3">
      <c r="A46" s="43" t="s">
        <v>192</v>
      </c>
      <c r="B46" s="44" t="s">
        <v>225</v>
      </c>
      <c r="C46" s="2" t="s">
        <v>226</v>
      </c>
      <c r="D46" s="2" t="s">
        <v>227</v>
      </c>
      <c r="E46" s="2" t="s">
        <v>228</v>
      </c>
      <c r="F46" s="2" t="s">
        <v>229</v>
      </c>
      <c r="G46" s="2" t="s">
        <v>230</v>
      </c>
      <c r="H46" s="3"/>
      <c r="I46" s="3"/>
      <c r="J46" s="3"/>
    </row>
    <row r="47" spans="1:10" x14ac:dyDescent="0.3">
      <c r="A47" s="4" t="s">
        <v>231</v>
      </c>
      <c r="B47" s="5">
        <f>$B$5</f>
        <v>3.5000000000000003E-2</v>
      </c>
      <c r="C47" s="28"/>
      <c r="D47" s="28"/>
      <c r="E47" s="28"/>
      <c r="F47" s="28"/>
      <c r="G47" s="28"/>
    </row>
    <row r="48" spans="1:10" x14ac:dyDescent="0.3">
      <c r="A48" s="4" t="s">
        <v>232</v>
      </c>
      <c r="B48" s="5">
        <f>Datos!G35/Datos!G32</f>
        <v>7.7593874008635252E-2</v>
      </c>
      <c r="C48" s="28"/>
      <c r="D48" s="28"/>
      <c r="E48" s="28"/>
      <c r="F48" s="28"/>
      <c r="G48" s="28"/>
    </row>
    <row r="49" spans="1:10" x14ac:dyDescent="0.3">
      <c r="A49" s="4" t="s">
        <v>233</v>
      </c>
      <c r="B49" s="5">
        <f>Datos!G40/Datos!G32</f>
        <v>2.466701443330398E-2</v>
      </c>
      <c r="C49" s="28"/>
      <c r="D49" s="28"/>
      <c r="E49" s="28"/>
      <c r="F49" s="28"/>
      <c r="G49" s="28"/>
    </row>
    <row r="50" spans="1:10" x14ac:dyDescent="0.3">
      <c r="A50" s="4" t="s">
        <v>234</v>
      </c>
      <c r="B50" s="5">
        <f>Datos!G42/Datos!G32</f>
        <v>3.8535074064507249E-2</v>
      </c>
      <c r="C50" s="28"/>
      <c r="D50" s="28"/>
      <c r="E50" s="28"/>
      <c r="F50" s="28"/>
      <c r="G50" s="28"/>
    </row>
    <row r="51" spans="1:10" x14ac:dyDescent="0.3">
      <c r="A51" s="4" t="s">
        <v>235</v>
      </c>
      <c r="B51" s="5">
        <v>0</v>
      </c>
      <c r="C51" s="28"/>
      <c r="D51" s="28"/>
      <c r="E51" s="28"/>
      <c r="F51" s="28"/>
      <c r="G51" s="28"/>
    </row>
    <row r="52" spans="1:10" x14ac:dyDescent="0.3">
      <c r="A52" s="4" t="s">
        <v>236</v>
      </c>
      <c r="B52" s="5">
        <f>WACC!C10</f>
        <v>0.3</v>
      </c>
      <c r="C52" s="28"/>
      <c r="D52" s="28"/>
      <c r="E52" s="28"/>
      <c r="F52" s="28"/>
      <c r="G52" s="28"/>
    </row>
    <row r="53" spans="1:10" x14ac:dyDescent="0.3">
      <c r="A53" s="4" t="s">
        <v>5</v>
      </c>
      <c r="B53" s="5">
        <f>WACC!C33</f>
        <v>0.12393559131271581</v>
      </c>
      <c r="C53" s="28"/>
      <c r="D53" s="28"/>
      <c r="E53" s="28"/>
      <c r="F53" s="28"/>
      <c r="G53" s="28"/>
    </row>
    <row r="54" spans="1:10" x14ac:dyDescent="0.3">
      <c r="A54" s="4" t="s">
        <v>6</v>
      </c>
      <c r="B54" s="5">
        <f>$B$4</f>
        <v>3.5000000000000003E-2</v>
      </c>
      <c r="C54" s="28"/>
      <c r="D54" s="28"/>
      <c r="E54" s="28"/>
      <c r="F54" s="28"/>
      <c r="G54" s="28"/>
    </row>
    <row r="55" spans="1:10" x14ac:dyDescent="0.3">
      <c r="B55" s="36"/>
    </row>
    <row r="56" spans="1:10" x14ac:dyDescent="0.3">
      <c r="A56" s="2" t="s">
        <v>237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s">
        <v>229</v>
      </c>
      <c r="G56" s="2" t="s">
        <v>230</v>
      </c>
      <c r="H56" s="3"/>
      <c r="I56" s="3"/>
      <c r="J56" s="3"/>
    </row>
    <row r="57" spans="1:10" x14ac:dyDescent="0.3">
      <c r="A57" s="4" t="s">
        <v>238</v>
      </c>
      <c r="B57" s="45">
        <v>0</v>
      </c>
      <c r="C57" s="45">
        <v>1</v>
      </c>
      <c r="D57" s="45">
        <v>2</v>
      </c>
      <c r="E57" s="45">
        <v>3</v>
      </c>
      <c r="F57" s="45">
        <v>4</v>
      </c>
      <c r="G57" s="45">
        <v>5</v>
      </c>
    </row>
    <row r="58" spans="1:10" x14ac:dyDescent="0.3">
      <c r="A58" s="4" t="s">
        <v>239</v>
      </c>
      <c r="B58" s="6">
        <f>Datos!G32</f>
        <v>1011597.9</v>
      </c>
      <c r="C58" s="6">
        <f>B58*(1+$B$47)</f>
        <v>1047003.8265</v>
      </c>
      <c r="D58" s="6">
        <f>C58*(1+$B$47)</f>
        <v>1083648.9604274998</v>
      </c>
      <c r="E58" s="6">
        <f>D58*(1+$B$47)</f>
        <v>1121576.6740424621</v>
      </c>
      <c r="F58" s="6">
        <f>E58*(1+$B$47)</f>
        <v>1160831.8576339483</v>
      </c>
      <c r="G58" s="6">
        <f>F58*(1+$B$47)</f>
        <v>1201460.9726511363</v>
      </c>
    </row>
    <row r="59" spans="1:10" x14ac:dyDescent="0.3">
      <c r="A59" s="4" t="s">
        <v>81</v>
      </c>
      <c r="B59" s="6">
        <f>Datos!G35</f>
        <v>78493.8</v>
      </c>
      <c r="C59" s="6">
        <f>C58*$B$48</f>
        <v>81241.082999999999</v>
      </c>
      <c r="D59" s="6">
        <f>D58*$B$48</f>
        <v>84084.520904999998</v>
      </c>
      <c r="E59" s="6">
        <f>E58*$B$48</f>
        <v>87027.479136674971</v>
      </c>
      <c r="F59" s="6">
        <f>F58*$B$48</f>
        <v>90073.440906458607</v>
      </c>
      <c r="G59" s="6">
        <f>G58*$B$48</f>
        <v>93226.011338184631</v>
      </c>
    </row>
    <row r="60" spans="1:10" x14ac:dyDescent="0.3">
      <c r="A60" s="4" t="s">
        <v>240</v>
      </c>
      <c r="B60" s="6">
        <f t="shared" ref="B60:G60" si="3">-B59*$B$52</f>
        <v>-23548.14</v>
      </c>
      <c r="C60" s="6">
        <f t="shared" si="3"/>
        <v>-24372.3249</v>
      </c>
      <c r="D60" s="6">
        <f t="shared" si="3"/>
        <v>-25225.356271499997</v>
      </c>
      <c r="E60" s="6">
        <f t="shared" si="3"/>
        <v>-26108.24374100249</v>
      </c>
      <c r="F60" s="6">
        <f t="shared" si="3"/>
        <v>-27022.03227193758</v>
      </c>
      <c r="G60" s="6">
        <f t="shared" si="3"/>
        <v>-27967.803401455389</v>
      </c>
    </row>
    <row r="61" spans="1:10" x14ac:dyDescent="0.3">
      <c r="A61" s="4" t="s">
        <v>241</v>
      </c>
      <c r="B61" s="6">
        <f t="shared" ref="B61:G61" si="4">B59+B60</f>
        <v>54945.66</v>
      </c>
      <c r="C61" s="6">
        <f t="shared" si="4"/>
        <v>56868.758099999999</v>
      </c>
      <c r="D61" s="6">
        <f t="shared" si="4"/>
        <v>58859.164633499997</v>
      </c>
      <c r="E61" s="6">
        <f t="shared" si="4"/>
        <v>60919.235395672484</v>
      </c>
      <c r="F61" s="6">
        <f t="shared" si="4"/>
        <v>63051.408634521023</v>
      </c>
      <c r="G61" s="6">
        <f t="shared" si="4"/>
        <v>65258.207936729246</v>
      </c>
    </row>
    <row r="62" spans="1:10" x14ac:dyDescent="0.3">
      <c r="A62" s="4" t="s">
        <v>242</v>
      </c>
      <c r="B62" s="6">
        <f>Datos!G40</f>
        <v>24953.1</v>
      </c>
      <c r="C62" s="6">
        <f>C58*$B$49</f>
        <v>25826.458499999997</v>
      </c>
      <c r="D62" s="6">
        <f>D58*$B$49</f>
        <v>26730.384547499994</v>
      </c>
      <c r="E62" s="6">
        <f>E58*$B$49</f>
        <v>27665.948006662489</v>
      </c>
      <c r="F62" s="6">
        <f>F58*$B$49</f>
        <v>28634.256186895676</v>
      </c>
      <c r="G62" s="6">
        <f>G58*$B$49</f>
        <v>29636.455153437018</v>
      </c>
    </row>
    <row r="63" spans="1:10" x14ac:dyDescent="0.3">
      <c r="A63" s="4" t="s">
        <v>243</v>
      </c>
      <c r="B63" s="6">
        <f>-Datos!G42</f>
        <v>-38982</v>
      </c>
      <c r="C63" s="6">
        <f>-C58*$B$50</f>
        <v>-40346.369999999995</v>
      </c>
      <c r="D63" s="6">
        <f>-D58*$B$50</f>
        <v>-41758.492949999993</v>
      </c>
      <c r="E63" s="6">
        <f>-E58*$B$50</f>
        <v>-43220.040203249984</v>
      </c>
      <c r="F63" s="6">
        <f>-F58*$B$50</f>
        <v>-44732.741610363737</v>
      </c>
      <c r="G63" s="6">
        <f>-G58*$B$50</f>
        <v>-46298.387566726458</v>
      </c>
    </row>
    <row r="64" spans="1:10" x14ac:dyDescent="0.3">
      <c r="A64" s="4" t="s">
        <v>244</v>
      </c>
      <c r="B64" s="6">
        <v>0</v>
      </c>
      <c r="C64" s="6">
        <f>-(C58-B58)*$B$51</f>
        <v>0</v>
      </c>
      <c r="D64" s="6">
        <f>-(D58-C58)*$B$51</f>
        <v>0</v>
      </c>
      <c r="E64" s="6">
        <f>-(E58-D58)*$B$51</f>
        <v>0</v>
      </c>
      <c r="F64" s="6">
        <f>-(F58-E58)*$B$51</f>
        <v>0</v>
      </c>
      <c r="G64" s="6">
        <f>-(G58-F58)*$B$51</f>
        <v>0</v>
      </c>
    </row>
    <row r="65" spans="1:7" x14ac:dyDescent="0.3">
      <c r="A65" s="4" t="s">
        <v>245</v>
      </c>
      <c r="B65" s="6">
        <f t="shared" ref="B65:G65" si="5">B61+B62+B63+B64</f>
        <v>40916.760000000009</v>
      </c>
      <c r="C65" s="6">
        <f t="shared" si="5"/>
        <v>42348.846600000004</v>
      </c>
      <c r="D65" s="6">
        <f t="shared" si="5"/>
        <v>43831.056231000002</v>
      </c>
      <c r="E65" s="6">
        <f t="shared" si="5"/>
        <v>45365.143199084996</v>
      </c>
      <c r="F65" s="6">
        <f t="shared" si="5"/>
        <v>46952.923211052956</v>
      </c>
      <c r="G65" s="6">
        <f t="shared" si="5"/>
        <v>48596.275523439799</v>
      </c>
    </row>
    <row r="66" spans="1:7" x14ac:dyDescent="0.3">
      <c r="A66" s="4" t="s">
        <v>246</v>
      </c>
      <c r="B66" s="46"/>
      <c r="C66" s="46">
        <f>1/(1+$B$53)^C57</f>
        <v>0.88973069963202822</v>
      </c>
      <c r="D66" s="46">
        <f>1/(1+$B$53)^D57</f>
        <v>0.7916207178676985</v>
      </c>
      <c r="E66" s="46">
        <f>1/(1+$B$53)^E57</f>
        <v>0.7043292551516358</v>
      </c>
      <c r="F66" s="46">
        <f>1/(1+$B$53)^F57</f>
        <v>0.6266633609573703</v>
      </c>
      <c r="G66" s="46">
        <f>1/(1+$B$53)^G57</f>
        <v>0.55756163057835928</v>
      </c>
    </row>
    <row r="67" spans="1:7" x14ac:dyDescent="0.3">
      <c r="A67" s="4" t="s">
        <v>247</v>
      </c>
      <c r="B67" s="6"/>
      <c r="C67" s="6">
        <f>C65*C66</f>
        <v>37679.068914027441</v>
      </c>
      <c r="D67" s="6">
        <f>D65*D66</f>
        <v>34697.572198483678</v>
      </c>
      <c r="E67" s="6">
        <f>E65*E66</f>
        <v>31951.997519258832</v>
      </c>
      <c r="F67" s="6">
        <f>F65*F66</f>
        <v>29423.67666621177</v>
      </c>
      <c r="G67" s="6">
        <f>G65*G66</f>
        <v>27095.418620884306</v>
      </c>
    </row>
    <row r="69" spans="1:7" x14ac:dyDescent="0.3">
      <c r="A69" s="4" t="s">
        <v>8</v>
      </c>
      <c r="B69" s="6">
        <f>SUM(C67:G67)</f>
        <v>160847.73391886603</v>
      </c>
      <c r="C69" s="3"/>
      <c r="D69" s="3"/>
      <c r="E69" s="3"/>
      <c r="F69" s="3"/>
      <c r="G69" s="3"/>
    </row>
    <row r="70" spans="1:7" x14ac:dyDescent="0.3">
      <c r="A70" s="4" t="s">
        <v>248</v>
      </c>
      <c r="B70" s="6">
        <f>G65*(1+B54)</f>
        <v>50297.145166760187</v>
      </c>
    </row>
    <row r="71" spans="1:7" x14ac:dyDescent="0.3">
      <c r="A71" s="4" t="s">
        <v>249</v>
      </c>
      <c r="B71" s="6">
        <f>B70/(B53-B54)</f>
        <v>565545.7441094094</v>
      </c>
      <c r="C71" s="3"/>
      <c r="D71" s="3"/>
      <c r="E71" s="3"/>
      <c r="F71" s="3"/>
      <c r="G71" s="3"/>
    </row>
    <row r="72" spans="1:7" x14ac:dyDescent="0.3">
      <c r="A72" s="4" t="s">
        <v>10</v>
      </c>
      <c r="B72" s="6">
        <f>B71*G66</f>
        <v>315326.60725229385</v>
      </c>
    </row>
    <row r="73" spans="1:7" x14ac:dyDescent="0.3">
      <c r="A73" s="4" t="s">
        <v>250</v>
      </c>
      <c r="B73" s="6">
        <f>B69+B72</f>
        <v>476174.34117115987</v>
      </c>
      <c r="C73" s="3"/>
      <c r="D73" s="3"/>
      <c r="E73" s="3"/>
      <c r="F73" s="3"/>
      <c r="G73" s="3"/>
    </row>
    <row r="74" spans="1:7" x14ac:dyDescent="0.3">
      <c r="A74" s="4" t="s">
        <v>251</v>
      </c>
      <c r="B74" s="6">
        <f>-WACC!C21</f>
        <v>-80848.099999999991</v>
      </c>
    </row>
    <row r="75" spans="1:7" x14ac:dyDescent="0.3">
      <c r="A75" s="4" t="s">
        <v>252</v>
      </c>
      <c r="B75" s="6">
        <f>WACC!C22</f>
        <v>28591.200000000001</v>
      </c>
    </row>
    <row r="76" spans="1:7" x14ac:dyDescent="0.3">
      <c r="A76" s="4" t="s">
        <v>253</v>
      </c>
      <c r="B76" s="6">
        <f>-(B74+B75)</f>
        <v>52256.899999999994</v>
      </c>
    </row>
    <row r="77" spans="1:7" x14ac:dyDescent="0.3">
      <c r="A77" s="4" t="s">
        <v>254</v>
      </c>
      <c r="B77" s="6">
        <f>B73+B74+B75</f>
        <v>423917.44117115991</v>
      </c>
      <c r="C77" s="3"/>
      <c r="D77" s="3"/>
      <c r="E77" s="3"/>
      <c r="F77" s="3"/>
      <c r="G77" s="3"/>
    </row>
    <row r="78" spans="1:7" x14ac:dyDescent="0.3">
      <c r="A78" s="4" t="s">
        <v>57</v>
      </c>
      <c r="B78" s="6">
        <f>WACC!C17</f>
        <v>17459.712543554007</v>
      </c>
    </row>
    <row r="79" spans="1:7" x14ac:dyDescent="0.3">
      <c r="A79" s="4" t="s">
        <v>15</v>
      </c>
      <c r="B79" s="7">
        <f>B77/B78</f>
        <v>24.279749171911021</v>
      </c>
      <c r="C79" s="3"/>
      <c r="D79" s="3"/>
      <c r="E79" s="3"/>
      <c r="F79" s="3"/>
      <c r="G79" s="3"/>
    </row>
    <row r="80" spans="1:7" x14ac:dyDescent="0.3">
      <c r="A80" s="4" t="s">
        <v>16</v>
      </c>
      <c r="B80" s="7">
        <f>WACC!C13</f>
        <v>46.6</v>
      </c>
    </row>
    <row r="81" spans="1:12" x14ac:dyDescent="0.3">
      <c r="A81" s="4" t="s">
        <v>17</v>
      </c>
      <c r="B81" s="8">
        <f>B79/B80-1</f>
        <v>-0.47897533965856176</v>
      </c>
    </row>
    <row r="82" spans="1:12" x14ac:dyDescent="0.3">
      <c r="A82" s="4" t="s">
        <v>258</v>
      </c>
      <c r="B82" s="8">
        <f>B72/B73</f>
        <v>0.66220831319205908</v>
      </c>
    </row>
    <row r="84" spans="1:12" x14ac:dyDescent="0.3">
      <c r="A84" s="43" t="s">
        <v>193</v>
      </c>
      <c r="B84" s="44" t="s">
        <v>225</v>
      </c>
      <c r="C84" s="2" t="s">
        <v>226</v>
      </c>
      <c r="D84" s="2" t="s">
        <v>227</v>
      </c>
      <c r="E84" s="2" t="s">
        <v>228</v>
      </c>
      <c r="F84" s="2" t="s">
        <v>229</v>
      </c>
      <c r="G84" s="2" t="s">
        <v>230</v>
      </c>
      <c r="H84" s="3"/>
      <c r="I84" s="3"/>
      <c r="J84" s="3"/>
    </row>
    <row r="85" spans="1:12" x14ac:dyDescent="0.3">
      <c r="A85" s="4" t="s">
        <v>231</v>
      </c>
      <c r="B85" s="5">
        <f>$B$5</f>
        <v>3.5000000000000003E-2</v>
      </c>
      <c r="C85" s="28"/>
      <c r="D85" s="28"/>
      <c r="E85" s="28"/>
      <c r="F85" s="28"/>
      <c r="G85" s="28"/>
    </row>
    <row r="86" spans="1:12" x14ac:dyDescent="0.3">
      <c r="A86" s="4" t="s">
        <v>232</v>
      </c>
      <c r="B86" s="5">
        <f>Datos!G61/Datos!G58</f>
        <v>5.1124964931353489E-2</v>
      </c>
      <c r="C86" s="28"/>
      <c r="D86" s="28"/>
      <c r="E86" s="28"/>
      <c r="F86" s="28"/>
      <c r="G86" s="28"/>
    </row>
    <row r="87" spans="1:12" x14ac:dyDescent="0.3">
      <c r="A87" s="4" t="s">
        <v>233</v>
      </c>
      <c r="B87" s="5">
        <f>Datos!G66/Datos!G58</f>
        <v>3.1469083802932916E-2</v>
      </c>
      <c r="C87" s="28"/>
      <c r="D87" s="28"/>
      <c r="E87" s="28"/>
      <c r="F87" s="28"/>
      <c r="G87" s="28"/>
    </row>
    <row r="88" spans="1:12" x14ac:dyDescent="0.3">
      <c r="A88" s="4" t="s">
        <v>234</v>
      </c>
      <c r="B88" s="5">
        <f>Datos!G68/Datos!G58</f>
        <v>2.6236105239293882E-2</v>
      </c>
      <c r="C88" s="28"/>
      <c r="D88" s="28"/>
      <c r="E88" s="28"/>
      <c r="F88" s="28"/>
      <c r="G88" s="28"/>
    </row>
    <row r="89" spans="1:12" x14ac:dyDescent="0.3">
      <c r="A89" s="4" t="s">
        <v>235</v>
      </c>
      <c r="B89" s="5">
        <v>0</v>
      </c>
      <c r="C89" s="28"/>
      <c r="D89" s="28"/>
      <c r="E89" s="28"/>
      <c r="F89" s="28"/>
      <c r="G89" s="28"/>
    </row>
    <row r="90" spans="1:12" x14ac:dyDescent="0.3">
      <c r="A90" s="4" t="s">
        <v>236</v>
      </c>
      <c r="B90" s="5">
        <f>WACC!D10</f>
        <v>0.3</v>
      </c>
      <c r="C90" s="28"/>
      <c r="D90" s="28"/>
      <c r="E90" s="28"/>
      <c r="F90" s="28"/>
      <c r="G90" s="28"/>
    </row>
    <row r="91" spans="1:12" x14ac:dyDescent="0.3">
      <c r="A91" s="4" t="s">
        <v>5</v>
      </c>
      <c r="B91" s="5">
        <f>WACC!D33</f>
        <v>0.10240764091692925</v>
      </c>
      <c r="C91" s="28"/>
      <c r="D91" s="28"/>
      <c r="E91" s="28"/>
      <c r="F91" s="28"/>
      <c r="G91" s="28"/>
    </row>
    <row r="92" spans="1:12" x14ac:dyDescent="0.3">
      <c r="A92" s="4" t="s">
        <v>6</v>
      </c>
      <c r="B92" s="5">
        <f>$B$4</f>
        <v>3.5000000000000003E-2</v>
      </c>
      <c r="C92" s="28"/>
      <c r="D92" s="28"/>
      <c r="E92" s="28"/>
      <c r="F92" s="28"/>
      <c r="G92" s="28"/>
    </row>
    <row r="94" spans="1:12" x14ac:dyDescent="0.3">
      <c r="A94" s="2" t="s">
        <v>237</v>
      </c>
      <c r="B94" s="2" t="s">
        <v>225</v>
      </c>
      <c r="C94" s="2" t="s">
        <v>226</v>
      </c>
      <c r="D94" s="2" t="s">
        <v>227</v>
      </c>
      <c r="E94" s="2" t="s">
        <v>228</v>
      </c>
      <c r="F94" s="2" t="s">
        <v>229</v>
      </c>
      <c r="G94" s="2" t="s">
        <v>230</v>
      </c>
      <c r="H94" s="3"/>
      <c r="I94" s="3"/>
      <c r="J94" s="3"/>
    </row>
    <row r="95" spans="1:12" x14ac:dyDescent="0.3">
      <c r="A95" s="4" t="s">
        <v>238</v>
      </c>
      <c r="B95" s="45">
        <v>0</v>
      </c>
      <c r="C95" s="45">
        <v>1</v>
      </c>
      <c r="D95" s="45">
        <v>2</v>
      </c>
      <c r="E95" s="45">
        <v>3</v>
      </c>
      <c r="F95" s="45">
        <v>4</v>
      </c>
      <c r="G95" s="45">
        <v>5</v>
      </c>
      <c r="H95" s="36"/>
      <c r="I95" s="36"/>
      <c r="J95" s="36"/>
      <c r="K95" s="36"/>
      <c r="L95" s="36"/>
    </row>
    <row r="96" spans="1:12" x14ac:dyDescent="0.3">
      <c r="A96" s="4" t="s">
        <v>239</v>
      </c>
      <c r="B96" s="6">
        <f>Datos!G58</f>
        <v>295313.65000000002</v>
      </c>
      <c r="C96" s="6">
        <f>B96*(1+$B$85)</f>
        <v>305649.62774999999</v>
      </c>
      <c r="D96" s="6">
        <f>C96*(1+$B$85)</f>
        <v>316347.36472124996</v>
      </c>
      <c r="E96" s="6">
        <f>D96*(1+$B$85)</f>
        <v>327419.52248649369</v>
      </c>
      <c r="F96" s="6">
        <f>E96*(1+$B$85)</f>
        <v>338879.20577352092</v>
      </c>
      <c r="G96" s="6">
        <f>F96*(1+$B$85)</f>
        <v>350739.97797559411</v>
      </c>
      <c r="H96" s="36"/>
      <c r="I96" s="36"/>
      <c r="J96" s="36"/>
      <c r="K96" s="36"/>
      <c r="L96" s="36"/>
    </row>
    <row r="97" spans="1:12" x14ac:dyDescent="0.3">
      <c r="A97" s="4" t="s">
        <v>81</v>
      </c>
      <c r="B97" s="6">
        <f>Datos!G61</f>
        <v>15097.9</v>
      </c>
      <c r="C97" s="6">
        <f>C96*$B$86</f>
        <v>15626.326499999997</v>
      </c>
      <c r="D97" s="6">
        <f>D96*$B$86</f>
        <v>16173.247927499997</v>
      </c>
      <c r="E97" s="6">
        <f>E96*$B$86</f>
        <v>16739.311604962495</v>
      </c>
      <c r="F97" s="6">
        <f>F96*$B$86</f>
        <v>17325.187511136181</v>
      </c>
      <c r="G97" s="6">
        <f>G96*$B$86</f>
        <v>17931.569074025945</v>
      </c>
      <c r="H97" s="36"/>
      <c r="I97" s="36"/>
      <c r="J97" s="36"/>
      <c r="K97" s="36"/>
      <c r="L97" s="36"/>
    </row>
    <row r="98" spans="1:12" x14ac:dyDescent="0.3">
      <c r="A98" s="4" t="s">
        <v>240</v>
      </c>
      <c r="B98" s="6">
        <f t="shared" ref="B98:G98" si="6">-B97*$B$90</f>
        <v>-4529.37</v>
      </c>
      <c r="C98" s="6">
        <f t="shared" si="6"/>
        <v>-4687.8979499999987</v>
      </c>
      <c r="D98" s="6">
        <f t="shared" si="6"/>
        <v>-4851.9743782499991</v>
      </c>
      <c r="E98" s="6">
        <f t="shared" si="6"/>
        <v>-5021.7934814887485</v>
      </c>
      <c r="F98" s="6">
        <f t="shared" si="6"/>
        <v>-5197.5562533408538</v>
      </c>
      <c r="G98" s="6">
        <f t="shared" si="6"/>
        <v>-5379.4707222077832</v>
      </c>
      <c r="H98" s="36"/>
      <c r="I98" s="36"/>
      <c r="J98" s="36"/>
      <c r="K98" s="36"/>
      <c r="L98" s="36"/>
    </row>
    <row r="99" spans="1:12" x14ac:dyDescent="0.3">
      <c r="A99" s="4" t="s">
        <v>241</v>
      </c>
      <c r="B99" s="6">
        <f t="shared" ref="B99:G99" si="7">B97+B98</f>
        <v>10568.529999999999</v>
      </c>
      <c r="C99" s="6">
        <f t="shared" si="7"/>
        <v>10938.428549999999</v>
      </c>
      <c r="D99" s="6">
        <f t="shared" si="7"/>
        <v>11321.273549249998</v>
      </c>
      <c r="E99" s="6">
        <f t="shared" si="7"/>
        <v>11717.518123473747</v>
      </c>
      <c r="F99" s="6">
        <f t="shared" si="7"/>
        <v>12127.631257795327</v>
      </c>
      <c r="G99" s="6">
        <f t="shared" si="7"/>
        <v>12552.098351818162</v>
      </c>
      <c r="H99" s="36"/>
      <c r="I99" s="36"/>
      <c r="J99" s="36"/>
      <c r="K99" s="36"/>
      <c r="L99" s="36"/>
    </row>
    <row r="100" spans="1:12" x14ac:dyDescent="0.3">
      <c r="A100" s="4" t="s">
        <v>242</v>
      </c>
      <c r="B100" s="6">
        <f>Datos!G66</f>
        <v>9293.25</v>
      </c>
      <c r="C100" s="6">
        <f>C96*$B$87</f>
        <v>9618.5137500000001</v>
      </c>
      <c r="D100" s="6">
        <f>D96*$B$87</f>
        <v>9955.1617312499984</v>
      </c>
      <c r="E100" s="6">
        <f>E96*$B$87</f>
        <v>10303.592391843749</v>
      </c>
      <c r="F100" s="6">
        <f>F96*$B$87</f>
        <v>10664.218125558278</v>
      </c>
      <c r="G100" s="6">
        <f>G96*$B$87</f>
        <v>11037.465759952816</v>
      </c>
      <c r="H100" s="36"/>
      <c r="I100" s="36"/>
      <c r="J100" s="36"/>
      <c r="K100" s="36"/>
      <c r="L100" s="36"/>
    </row>
    <row r="101" spans="1:12" x14ac:dyDescent="0.3">
      <c r="A101" s="4" t="s">
        <v>243</v>
      </c>
      <c r="B101" s="6">
        <f>-Datos!G68</f>
        <v>-7747.88</v>
      </c>
      <c r="C101" s="6">
        <f>-C96*$B$88</f>
        <v>-8019.0557999999992</v>
      </c>
      <c r="D101" s="6">
        <f>-D96*$B$88</f>
        <v>-8299.7227529999982</v>
      </c>
      <c r="E101" s="6">
        <f>-E96*$B$88</f>
        <v>-8590.2130493549976</v>
      </c>
      <c r="F101" s="6">
        <f>-F96*$B$88</f>
        <v>-8890.8705060824213</v>
      </c>
      <c r="G101" s="6">
        <f>-G96*$B$88</f>
        <v>-9202.0509737953053</v>
      </c>
      <c r="H101" s="36"/>
      <c r="I101" s="36"/>
      <c r="J101" s="36"/>
      <c r="K101" s="36"/>
      <c r="L101" s="36"/>
    </row>
    <row r="102" spans="1:12" x14ac:dyDescent="0.3">
      <c r="A102" s="4" t="s">
        <v>244</v>
      </c>
      <c r="B102" s="6">
        <v>0</v>
      </c>
      <c r="C102" s="6">
        <f>-(C96-B96)*$B$89</f>
        <v>0</v>
      </c>
      <c r="D102" s="6">
        <f>-(D96-C96)*$B$89</f>
        <v>0</v>
      </c>
      <c r="E102" s="6">
        <f>-(E96-D96)*$B$89</f>
        <v>0</v>
      </c>
      <c r="F102" s="6">
        <f>-(F96-E96)*$B$89</f>
        <v>0</v>
      </c>
      <c r="G102" s="6">
        <f>-(G96-F96)*$B$89</f>
        <v>0</v>
      </c>
      <c r="H102" s="36"/>
      <c r="I102" s="36"/>
      <c r="J102" s="36"/>
      <c r="K102" s="36"/>
      <c r="L102" s="36"/>
    </row>
    <row r="103" spans="1:12" x14ac:dyDescent="0.3">
      <c r="A103" s="4" t="s">
        <v>245</v>
      </c>
      <c r="B103" s="6">
        <f t="shared" ref="B103:G103" si="8">B99+B100+B101+B102</f>
        <v>12113.899999999998</v>
      </c>
      <c r="C103" s="6">
        <f t="shared" si="8"/>
        <v>12537.886500000001</v>
      </c>
      <c r="D103" s="6">
        <f t="shared" si="8"/>
        <v>12976.712527499996</v>
      </c>
      <c r="E103" s="6">
        <f t="shared" si="8"/>
        <v>13430.897465962496</v>
      </c>
      <c r="F103" s="6">
        <f t="shared" si="8"/>
        <v>13900.978877271184</v>
      </c>
      <c r="G103" s="6">
        <f t="shared" si="8"/>
        <v>14387.513137975673</v>
      </c>
      <c r="H103" s="36"/>
      <c r="I103" s="36"/>
      <c r="J103" s="36"/>
      <c r="K103" s="36"/>
      <c r="L103" s="36"/>
    </row>
    <row r="104" spans="1:12" x14ac:dyDescent="0.3">
      <c r="A104" s="4" t="s">
        <v>246</v>
      </c>
      <c r="B104" s="46"/>
      <c r="C104" s="46">
        <f>1/(1+$B$91)^C95</f>
        <v>0.90710546887016175</v>
      </c>
      <c r="D104" s="46">
        <f>1/(1+$B$91)^D95</f>
        <v>0.82284033165415604</v>
      </c>
      <c r="E104" s="46">
        <f>1/(1+$B$91)^E95</f>
        <v>0.74640296485042257</v>
      </c>
      <c r="F104" s="46">
        <f>1/(1+$B$91)^F95</f>
        <v>0.67706621139672152</v>
      </c>
      <c r="G104" s="46">
        <f>1/(1+$B$91)^G95</f>
        <v>0.6141704631451671</v>
      </c>
      <c r="H104" s="36"/>
      <c r="I104" s="36"/>
      <c r="J104" s="36"/>
      <c r="K104" s="36"/>
      <c r="L104" s="36"/>
    </row>
    <row r="105" spans="1:12" x14ac:dyDescent="0.3">
      <c r="A105" s="4" t="s">
        <v>247</v>
      </c>
      <c r="B105" s="6"/>
      <c r="C105" s="6">
        <f>C103*C104</f>
        <v>11373.185412223371</v>
      </c>
      <c r="D105" s="6">
        <f>D103*D104</f>
        <v>10677.762439908738</v>
      </c>
      <c r="E105" s="6">
        <f>E103*E104</f>
        <v>10024.861689196434</v>
      </c>
      <c r="F105" s="6">
        <f>F103*F104</f>
        <v>9411.8831031398513</v>
      </c>
      <c r="G105" s="6">
        <f>G103*G104</f>
        <v>8836.3856074576961</v>
      </c>
      <c r="H105" s="36"/>
      <c r="I105" s="36"/>
      <c r="J105" s="36"/>
      <c r="K105" s="36"/>
      <c r="L105" s="36"/>
    </row>
    <row r="106" spans="1:12" x14ac:dyDescent="0.3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 x14ac:dyDescent="0.3">
      <c r="A107" s="4" t="s">
        <v>8</v>
      </c>
      <c r="B107" s="6">
        <f>SUM(C105:G105)</f>
        <v>50324.07825192609</v>
      </c>
      <c r="C107" s="47"/>
      <c r="D107" s="47"/>
      <c r="E107" s="47"/>
      <c r="F107" s="47"/>
      <c r="G107" s="47"/>
      <c r="H107" s="36"/>
      <c r="I107" s="36"/>
      <c r="J107" s="36"/>
      <c r="K107" s="36"/>
      <c r="L107" s="36"/>
    </row>
    <row r="108" spans="1:12" x14ac:dyDescent="0.3">
      <c r="A108" s="4" t="s">
        <v>248</v>
      </c>
      <c r="B108" s="6">
        <f>G103*(1+B92)</f>
        <v>14891.07609780482</v>
      </c>
    </row>
    <row r="109" spans="1:12" x14ac:dyDescent="0.3">
      <c r="A109" s="4" t="s">
        <v>249</v>
      </c>
      <c r="B109" s="6">
        <f>B108/(B91-B92)</f>
        <v>220910.80321526231</v>
      </c>
      <c r="C109" s="3"/>
      <c r="D109" s="3"/>
      <c r="E109" s="3"/>
      <c r="F109" s="3"/>
      <c r="G109" s="3"/>
    </row>
    <row r="110" spans="1:12" x14ac:dyDescent="0.3">
      <c r="A110" s="4" t="s">
        <v>10</v>
      </c>
      <c r="B110" s="6">
        <f>B109*G104</f>
        <v>135676.89032448852</v>
      </c>
    </row>
    <row r="111" spans="1:12" x14ac:dyDescent="0.3">
      <c r="A111" s="4" t="s">
        <v>250</v>
      </c>
      <c r="B111" s="6">
        <f>B107+B110</f>
        <v>186000.9685764146</v>
      </c>
      <c r="C111" s="3"/>
      <c r="D111" s="3"/>
      <c r="E111" s="3"/>
      <c r="F111" s="3"/>
      <c r="G111" s="3"/>
    </row>
    <row r="112" spans="1:12" x14ac:dyDescent="0.3">
      <c r="A112" s="4" t="s">
        <v>251</v>
      </c>
      <c r="B112" s="6">
        <f>-WACC!D21</f>
        <v>-56744.34</v>
      </c>
    </row>
    <row r="113" spans="1:10" x14ac:dyDescent="0.3">
      <c r="A113" s="4" t="s">
        <v>252</v>
      </c>
      <c r="B113" s="6">
        <f>WACC!D22</f>
        <v>14640.16</v>
      </c>
    </row>
    <row r="114" spans="1:10" x14ac:dyDescent="0.3">
      <c r="A114" s="4" t="s">
        <v>253</v>
      </c>
      <c r="B114" s="6">
        <f>-(B112+B113)</f>
        <v>42104.179999999993</v>
      </c>
    </row>
    <row r="115" spans="1:10" x14ac:dyDescent="0.3">
      <c r="A115" s="4" t="s">
        <v>254</v>
      </c>
      <c r="B115" s="6">
        <f>B111+B112+B113</f>
        <v>143896.7885764146</v>
      </c>
      <c r="C115" s="3"/>
      <c r="D115" s="3"/>
      <c r="E115" s="3"/>
      <c r="F115" s="3"/>
      <c r="G115" s="3"/>
    </row>
    <row r="116" spans="1:10" x14ac:dyDescent="0.3">
      <c r="A116" s="4" t="s">
        <v>57</v>
      </c>
      <c r="B116" s="6">
        <f>WACC!D17</f>
        <v>960.25420077552781</v>
      </c>
    </row>
    <row r="117" spans="1:10" x14ac:dyDescent="0.3">
      <c r="A117" s="4" t="s">
        <v>15</v>
      </c>
      <c r="B117" s="7">
        <f>B115/B116</f>
        <v>149.85280820453542</v>
      </c>
      <c r="C117" s="3"/>
      <c r="D117" s="3"/>
      <c r="E117" s="3"/>
      <c r="F117" s="3"/>
      <c r="G117" s="3"/>
    </row>
    <row r="118" spans="1:10" x14ac:dyDescent="0.3">
      <c r="A118" s="4" t="s">
        <v>16</v>
      </c>
      <c r="B118" s="7">
        <f>WACC!D13</f>
        <v>92.94</v>
      </c>
    </row>
    <row r="119" spans="1:10" x14ac:dyDescent="0.3">
      <c r="A119" s="4" t="s">
        <v>17</v>
      </c>
      <c r="B119" s="8">
        <f>B117/B118-1</f>
        <v>0.61236075107096433</v>
      </c>
    </row>
    <row r="120" spans="1:10" x14ac:dyDescent="0.3">
      <c r="A120" s="4" t="s">
        <v>258</v>
      </c>
      <c r="B120" s="8">
        <f>B110/B111</f>
        <v>0.72944184841031356</v>
      </c>
    </row>
    <row r="122" spans="1:10" x14ac:dyDescent="0.3">
      <c r="A122" s="43" t="s">
        <v>194</v>
      </c>
      <c r="B122" s="44" t="s">
        <v>225</v>
      </c>
      <c r="C122" s="2" t="s">
        <v>226</v>
      </c>
      <c r="D122" s="2" t="s">
        <v>227</v>
      </c>
      <c r="E122" s="2" t="s">
        <v>228</v>
      </c>
      <c r="F122" s="2" t="s">
        <v>229</v>
      </c>
      <c r="G122" s="2" t="s">
        <v>230</v>
      </c>
      <c r="H122" s="3"/>
      <c r="I122" s="3"/>
      <c r="J122" s="3"/>
    </row>
    <row r="123" spans="1:10" x14ac:dyDescent="0.3">
      <c r="A123" s="4" t="s">
        <v>231</v>
      </c>
      <c r="B123" s="5">
        <f>$B$5</f>
        <v>3.5000000000000003E-2</v>
      </c>
      <c r="C123" s="28"/>
      <c r="D123" s="28"/>
      <c r="E123" s="28"/>
      <c r="F123" s="28"/>
      <c r="G123" s="28"/>
    </row>
    <row r="124" spans="1:10" x14ac:dyDescent="0.3">
      <c r="A124" s="4" t="s">
        <v>232</v>
      </c>
      <c r="B124" s="5">
        <f>Datos!G87/Datos!G84</f>
        <v>7.4990784116024195E-2</v>
      </c>
      <c r="C124" s="28"/>
      <c r="D124" s="28"/>
      <c r="E124" s="28"/>
      <c r="F124" s="28"/>
      <c r="G124" s="28"/>
    </row>
    <row r="125" spans="1:10" x14ac:dyDescent="0.3">
      <c r="A125" s="4" t="s">
        <v>233</v>
      </c>
      <c r="B125" s="5">
        <f>Datos!G92/Datos!G84</f>
        <v>3.4733253137256302E-2</v>
      </c>
      <c r="C125" s="28"/>
      <c r="D125" s="28"/>
      <c r="E125" s="28"/>
      <c r="F125" s="28"/>
      <c r="G125" s="28"/>
    </row>
    <row r="126" spans="1:10" x14ac:dyDescent="0.3">
      <c r="A126" s="4" t="s">
        <v>234</v>
      </c>
      <c r="B126" s="5">
        <f>Datos!G94/Datos!G84</f>
        <v>8.0853020521179583E-2</v>
      </c>
      <c r="C126" s="28"/>
      <c r="D126" s="28"/>
      <c r="E126" s="28"/>
      <c r="F126" s="28"/>
      <c r="G126" s="28"/>
    </row>
    <row r="127" spans="1:10" x14ac:dyDescent="0.3">
      <c r="A127" s="4" t="s">
        <v>235</v>
      </c>
      <c r="B127" s="5">
        <v>0</v>
      </c>
      <c r="C127" s="28"/>
      <c r="D127" s="28"/>
      <c r="E127" s="28"/>
      <c r="F127" s="28"/>
      <c r="G127" s="28"/>
    </row>
    <row r="128" spans="1:10" x14ac:dyDescent="0.3">
      <c r="A128" s="4" t="s">
        <v>236</v>
      </c>
      <c r="B128" s="5">
        <f>WACC!E10</f>
        <v>0.3</v>
      </c>
      <c r="C128" s="28"/>
      <c r="D128" s="28"/>
      <c r="E128" s="28"/>
      <c r="F128" s="28"/>
      <c r="G128" s="28"/>
    </row>
    <row r="129" spans="1:10" x14ac:dyDescent="0.3">
      <c r="A129" s="4" t="s">
        <v>5</v>
      </c>
      <c r="B129" s="5">
        <f>WACC!E33</f>
        <v>0.12251175212847852</v>
      </c>
      <c r="C129" s="28"/>
      <c r="D129" s="28"/>
      <c r="E129" s="28"/>
      <c r="F129" s="28"/>
      <c r="G129" s="28"/>
    </row>
    <row r="130" spans="1:10" x14ac:dyDescent="0.3">
      <c r="A130" s="4" t="s">
        <v>6</v>
      </c>
      <c r="B130" s="5">
        <f>$B$4</f>
        <v>3.5000000000000003E-2</v>
      </c>
      <c r="C130" s="28"/>
      <c r="D130" s="28"/>
      <c r="E130" s="28"/>
      <c r="F130" s="28"/>
      <c r="G130" s="28"/>
    </row>
    <row r="132" spans="1:10" x14ac:dyDescent="0.3">
      <c r="A132" s="2" t="s">
        <v>237</v>
      </c>
      <c r="B132" s="2" t="s">
        <v>225</v>
      </c>
      <c r="C132" s="2" t="s">
        <v>226</v>
      </c>
      <c r="D132" s="2" t="s">
        <v>227</v>
      </c>
      <c r="E132" s="2" t="s">
        <v>228</v>
      </c>
      <c r="F132" s="2" t="s">
        <v>229</v>
      </c>
      <c r="G132" s="2" t="s">
        <v>230</v>
      </c>
      <c r="H132" s="3"/>
      <c r="I132" s="3"/>
      <c r="J132" s="3"/>
    </row>
    <row r="133" spans="1:10" x14ac:dyDescent="0.3">
      <c r="A133" s="4" t="s">
        <v>238</v>
      </c>
      <c r="B133" s="45">
        <v>0</v>
      </c>
      <c r="C133" s="45">
        <v>1</v>
      </c>
      <c r="D133" s="45">
        <v>2</v>
      </c>
      <c r="E133" s="45">
        <v>3</v>
      </c>
      <c r="F133" s="45">
        <v>4</v>
      </c>
      <c r="G133" s="45">
        <v>5</v>
      </c>
    </row>
    <row r="134" spans="1:10" x14ac:dyDescent="0.3">
      <c r="A134" s="4" t="s">
        <v>239</v>
      </c>
      <c r="B134" s="6">
        <f>Datos!G84</f>
        <v>47526.64</v>
      </c>
      <c r="C134" s="6">
        <f>B134*(1+$B$123)</f>
        <v>49190.072399999997</v>
      </c>
      <c r="D134" s="6">
        <f>C134*(1+$B$123)</f>
        <v>50911.724933999991</v>
      </c>
      <c r="E134" s="6">
        <f>D134*(1+$B$123)</f>
        <v>52693.635306689983</v>
      </c>
      <c r="F134" s="6">
        <f>E134*(1+$B$123)</f>
        <v>54537.912542424128</v>
      </c>
      <c r="G134" s="6">
        <f>F134*(1+$B$123)</f>
        <v>56446.739481408971</v>
      </c>
    </row>
    <row r="135" spans="1:10" x14ac:dyDescent="0.3">
      <c r="A135" s="4" t="s">
        <v>81</v>
      </c>
      <c r="B135" s="6">
        <f>Datos!G87</f>
        <v>3564.06</v>
      </c>
      <c r="C135" s="6">
        <f>C134*$B$124</f>
        <v>3688.8020999999999</v>
      </c>
      <c r="D135" s="6">
        <f>D134*$B$124</f>
        <v>3817.9101734999995</v>
      </c>
      <c r="E135" s="6">
        <f>E134*$B$124</f>
        <v>3951.5370295724988</v>
      </c>
      <c r="F135" s="6">
        <f>F134*$B$124</f>
        <v>4089.8408256075359</v>
      </c>
      <c r="G135" s="6">
        <f>G134*$B$124</f>
        <v>4232.9852545037993</v>
      </c>
    </row>
    <row r="136" spans="1:10" x14ac:dyDescent="0.3">
      <c r="A136" s="4" t="s">
        <v>240</v>
      </c>
      <c r="B136" s="6">
        <f t="shared" ref="B136:G136" si="9">-B135*$B$128</f>
        <v>-1069.2179999999998</v>
      </c>
      <c r="C136" s="6">
        <f t="shared" si="9"/>
        <v>-1106.6406299999999</v>
      </c>
      <c r="D136" s="6">
        <f t="shared" si="9"/>
        <v>-1145.3730520499998</v>
      </c>
      <c r="E136" s="6">
        <f t="shared" si="9"/>
        <v>-1185.4611088717495</v>
      </c>
      <c r="F136" s="6">
        <f t="shared" si="9"/>
        <v>-1226.9522476822608</v>
      </c>
      <c r="G136" s="6">
        <f t="shared" si="9"/>
        <v>-1269.8955763511397</v>
      </c>
    </row>
    <row r="137" spans="1:10" x14ac:dyDescent="0.3">
      <c r="A137" s="4" t="s">
        <v>241</v>
      </c>
      <c r="B137" s="6">
        <f t="shared" ref="B137:G137" si="10">B135+B136</f>
        <v>2494.8420000000001</v>
      </c>
      <c r="C137" s="6">
        <f t="shared" si="10"/>
        <v>2582.16147</v>
      </c>
      <c r="D137" s="6">
        <f t="shared" si="10"/>
        <v>2672.5371214499996</v>
      </c>
      <c r="E137" s="6">
        <f t="shared" si="10"/>
        <v>2766.0759207007495</v>
      </c>
      <c r="F137" s="6">
        <f t="shared" si="10"/>
        <v>2862.8885779252751</v>
      </c>
      <c r="G137" s="6">
        <f t="shared" si="10"/>
        <v>2963.0896781526599</v>
      </c>
    </row>
    <row r="138" spans="1:10" x14ac:dyDescent="0.3">
      <c r="A138" s="4" t="s">
        <v>242</v>
      </c>
      <c r="B138" s="6">
        <f>Datos!G92</f>
        <v>1650.7548178832508</v>
      </c>
      <c r="C138" s="6">
        <f>C134*$B$125</f>
        <v>1708.5312365091645</v>
      </c>
      <c r="D138" s="6">
        <f>D134*$B$125</f>
        <v>1768.3298297869851</v>
      </c>
      <c r="E138" s="6">
        <f>E134*$B$125</f>
        <v>1830.2213738295293</v>
      </c>
      <c r="F138" s="6">
        <f>F134*$B$125</f>
        <v>1894.2791219135627</v>
      </c>
      <c r="G138" s="6">
        <f>G134*$B$125</f>
        <v>1960.5788911805373</v>
      </c>
    </row>
    <row r="139" spans="1:10" x14ac:dyDescent="0.3">
      <c r="A139" s="4" t="s">
        <v>243</v>
      </c>
      <c r="B139" s="6">
        <f>-Datos!G94</f>
        <v>-3842.6723992227144</v>
      </c>
      <c r="C139" s="6">
        <f>-C134*$B$126</f>
        <v>-3977.1659331955093</v>
      </c>
      <c r="D139" s="6">
        <f>-D134*$B$126</f>
        <v>-4116.3667408573519</v>
      </c>
      <c r="E139" s="6">
        <f>-E134*$B$126</f>
        <v>-4260.4395767873584</v>
      </c>
      <c r="F139" s="6">
        <f>-F134*$B$126</f>
        <v>-4409.5549619749154</v>
      </c>
      <c r="G139" s="6">
        <f>-G134*$B$126</f>
        <v>-4563.8893856440372</v>
      </c>
    </row>
    <row r="140" spans="1:10" x14ac:dyDescent="0.3">
      <c r="A140" s="4" t="s">
        <v>244</v>
      </c>
      <c r="B140" s="6">
        <v>0</v>
      </c>
      <c r="C140" s="6">
        <f>-(C134-B134)*$B$127</f>
        <v>0</v>
      </c>
      <c r="D140" s="6">
        <f>-(D134-C134)*$B$127</f>
        <v>0</v>
      </c>
      <c r="E140" s="6">
        <f>-(E134-D134)*$B$127</f>
        <v>0</v>
      </c>
      <c r="F140" s="6">
        <f>-(F134-E134)*$B$127</f>
        <v>0</v>
      </c>
      <c r="G140" s="6">
        <f>-(G134-F134)*$B$127</f>
        <v>0</v>
      </c>
    </row>
    <row r="141" spans="1:10" x14ac:dyDescent="0.3">
      <c r="A141" s="4" t="s">
        <v>245</v>
      </c>
      <c r="B141" s="6">
        <f t="shared" ref="B141:G141" si="11">B137+B138+B139+B140</f>
        <v>302.9244186605365</v>
      </c>
      <c r="C141" s="6">
        <f t="shared" si="11"/>
        <v>313.52677331365476</v>
      </c>
      <c r="D141" s="6">
        <f t="shared" si="11"/>
        <v>324.50021037963324</v>
      </c>
      <c r="E141" s="6">
        <f t="shared" si="11"/>
        <v>335.85771774292061</v>
      </c>
      <c r="F141" s="6">
        <f t="shared" si="11"/>
        <v>347.61273786392212</v>
      </c>
      <c r="G141" s="6">
        <f t="shared" si="11"/>
        <v>359.77918368916016</v>
      </c>
    </row>
    <row r="142" spans="1:10" x14ac:dyDescent="0.3">
      <c r="A142" s="4" t="s">
        <v>246</v>
      </c>
      <c r="B142" s="46"/>
      <c r="C142" s="46">
        <f>1/(1+$B$129)^C133</f>
        <v>0.89085926993978037</v>
      </c>
      <c r="D142" s="46">
        <f>1/(1+$B$129)^D133</f>
        <v>0.7936302388376385</v>
      </c>
      <c r="E142" s="46">
        <f>1/(1+$B$129)^E133</f>
        <v>0.70701285517303214</v>
      </c>
      <c r="F142" s="46">
        <f>1/(1+$B$129)^F133</f>
        <v>0.62984895599748714</v>
      </c>
      <c r="G142" s="46">
        <f>1/(1+$B$129)^G133</f>
        <v>0.5611067811122542</v>
      </c>
    </row>
    <row r="143" spans="1:10" x14ac:dyDescent="0.3">
      <c r="A143" s="4" t="s">
        <v>247</v>
      </c>
      <c r="B143" s="6"/>
      <c r="C143" s="6">
        <f>C141*C142</f>
        <v>279.3082323807775</v>
      </c>
      <c r="D143" s="6">
        <f>D141*D142</f>
        <v>257.53317946645228</v>
      </c>
      <c r="E143" s="6">
        <f>E141*E142</f>
        <v>237.45572395332064</v>
      </c>
      <c r="F143" s="6">
        <f>F141*F142</f>
        <v>218.9435200350195</v>
      </c>
      <c r="G143" s="6">
        <f>G141*G142</f>
        <v>201.87453967101908</v>
      </c>
    </row>
    <row r="145" spans="1:7" x14ac:dyDescent="0.3">
      <c r="A145" s="4" t="s">
        <v>8</v>
      </c>
      <c r="B145" s="6">
        <f>SUM(C143:G143)</f>
        <v>1195.1151955065889</v>
      </c>
      <c r="C145" s="3"/>
      <c r="D145" s="3"/>
      <c r="E145" s="3"/>
      <c r="F145" s="3"/>
      <c r="G145" s="3"/>
    </row>
    <row r="146" spans="1:7" x14ac:dyDescent="0.3">
      <c r="A146" s="4" t="s">
        <v>248</v>
      </c>
      <c r="B146" s="6">
        <f>G141*(1+B130)</f>
        <v>372.37145511828072</v>
      </c>
    </row>
    <row r="147" spans="1:7" x14ac:dyDescent="0.3">
      <c r="A147" s="4" t="s">
        <v>249</v>
      </c>
      <c r="B147" s="6">
        <f>B146/(B129-B130)</f>
        <v>4255.1022698253319</v>
      </c>
      <c r="C147" s="3"/>
      <c r="D147" s="3"/>
      <c r="E147" s="3"/>
      <c r="F147" s="3"/>
      <c r="G147" s="3"/>
    </row>
    <row r="148" spans="1:7" x14ac:dyDescent="0.3">
      <c r="A148" s="4" t="s">
        <v>10</v>
      </c>
      <c r="B148" s="6">
        <f>B147*G142</f>
        <v>2387.5667379251386</v>
      </c>
    </row>
    <row r="149" spans="1:7" x14ac:dyDescent="0.3">
      <c r="A149" s="4" t="s">
        <v>250</v>
      </c>
      <c r="B149" s="6">
        <f>B145+B148</f>
        <v>3582.6819334317274</v>
      </c>
      <c r="C149" s="3"/>
      <c r="D149" s="3"/>
      <c r="E149" s="3"/>
      <c r="F149" s="3"/>
      <c r="G149" s="3"/>
    </row>
    <row r="150" spans="1:7" x14ac:dyDescent="0.3">
      <c r="A150" s="4" t="s">
        <v>251</v>
      </c>
      <c r="B150" s="6">
        <f>-WACC!E21</f>
        <v>-2441.8000000000002</v>
      </c>
    </row>
    <row r="151" spans="1:7" x14ac:dyDescent="0.3">
      <c r="A151" s="4" t="s">
        <v>252</v>
      </c>
      <c r="B151" s="6">
        <f>WACC!E22</f>
        <v>2962.8</v>
      </c>
    </row>
    <row r="152" spans="1:7" x14ac:dyDescent="0.3">
      <c r="A152" s="4" t="s">
        <v>253</v>
      </c>
      <c r="B152" s="6">
        <f>-(B150+B151)</f>
        <v>-521</v>
      </c>
    </row>
    <row r="153" spans="1:7" x14ac:dyDescent="0.3">
      <c r="A153" s="4" t="s">
        <v>254</v>
      </c>
      <c r="B153" s="6">
        <f>B149+B150+B151</f>
        <v>4103.6819334317279</v>
      </c>
      <c r="C153" s="3"/>
      <c r="D153" s="3"/>
      <c r="E153" s="3"/>
      <c r="F153" s="3"/>
      <c r="G153" s="3"/>
    </row>
    <row r="154" spans="1:7" x14ac:dyDescent="0.3">
      <c r="A154" s="4" t="s">
        <v>57</v>
      </c>
      <c r="B154" s="6">
        <f>WACC!E17</f>
        <v>1065.773067331671</v>
      </c>
    </row>
    <row r="155" spans="1:7" x14ac:dyDescent="0.3">
      <c r="A155" s="4" t="s">
        <v>15</v>
      </c>
      <c r="B155" s="7">
        <f>B153/B154</f>
        <v>3.8504275058347415</v>
      </c>
      <c r="C155" s="3"/>
      <c r="D155" s="3"/>
      <c r="E155" s="3"/>
      <c r="F155" s="3"/>
      <c r="G155" s="3"/>
    </row>
    <row r="156" spans="1:7" x14ac:dyDescent="0.3">
      <c r="A156" s="4" t="s">
        <v>16</v>
      </c>
      <c r="B156" s="7">
        <f>WACC!E13</f>
        <v>32.08</v>
      </c>
    </row>
    <row r="157" spans="1:7" x14ac:dyDescent="0.3">
      <c r="A157" s="4" t="s">
        <v>17</v>
      </c>
      <c r="B157" s="8">
        <f>B155/B156-1</f>
        <v>-0.87997420493033851</v>
      </c>
    </row>
    <row r="158" spans="1:7" x14ac:dyDescent="0.3">
      <c r="A158" s="4" t="s">
        <v>258</v>
      </c>
      <c r="B158" s="8">
        <f>B148/B149</f>
        <v>0.66641883993262296</v>
      </c>
    </row>
    <row r="159" spans="1:7" x14ac:dyDescent="0.3">
      <c r="B159" s="42"/>
    </row>
    <row r="160" spans="1:7" x14ac:dyDescent="0.3">
      <c r="B160" s="4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7"/>
  <sheetViews>
    <sheetView topLeftCell="A107" zoomScaleNormal="100" workbookViewId="0">
      <selection activeCell="B72" sqref="B72"/>
    </sheetView>
  </sheetViews>
  <sheetFormatPr baseColWidth="10" defaultColWidth="10.6640625" defaultRowHeight="14.4" x14ac:dyDescent="0.3"/>
  <cols>
    <col min="1" max="1" width="55.44140625" customWidth="1"/>
    <col min="2" max="7" width="15.6640625" customWidth="1"/>
  </cols>
  <sheetData>
    <row r="1" spans="1:7" ht="18.75" customHeight="1" x14ac:dyDescent="0.35">
      <c r="A1" s="57"/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2" t="s">
        <v>259</v>
      </c>
      <c r="B3" s="2" t="s">
        <v>225</v>
      </c>
      <c r="C3" s="2" t="s">
        <v>226</v>
      </c>
      <c r="D3" s="2" t="s">
        <v>227</v>
      </c>
      <c r="E3" s="2" t="s">
        <v>228</v>
      </c>
      <c r="F3" s="2" t="s">
        <v>229</v>
      </c>
      <c r="G3" s="2" t="s">
        <v>230</v>
      </c>
    </row>
    <row r="4" spans="1:7" x14ac:dyDescent="0.3">
      <c r="A4" s="4" t="s">
        <v>260</v>
      </c>
      <c r="B4" s="8"/>
      <c r="C4" s="8">
        <f>Valuación!$B$9</f>
        <v>3.5000000000000003E-2</v>
      </c>
      <c r="D4" s="8">
        <f>Valuación!$B$9</f>
        <v>3.5000000000000003E-2</v>
      </c>
      <c r="E4" s="8">
        <f>Valuación!$B$9</f>
        <v>3.5000000000000003E-2</v>
      </c>
      <c r="F4" s="8">
        <f>Valuación!$B$9</f>
        <v>3.5000000000000003E-2</v>
      </c>
      <c r="G4" s="8">
        <f>Valuación!$B$9</f>
        <v>3.5000000000000003E-2</v>
      </c>
    </row>
    <row r="5" spans="1:7" x14ac:dyDescent="0.3">
      <c r="A5" s="4" t="s">
        <v>261</v>
      </c>
      <c r="B5" s="8">
        <f>-B20/B19</f>
        <v>0.75910204771427769</v>
      </c>
      <c r="C5" s="8">
        <f t="shared" ref="C5:G14" si="0">$B5</f>
        <v>0.75910204771427769</v>
      </c>
      <c r="D5" s="8">
        <f t="shared" si="0"/>
        <v>0.75910204771427769</v>
      </c>
      <c r="E5" s="8">
        <f t="shared" si="0"/>
        <v>0.75910204771427769</v>
      </c>
      <c r="F5" s="8">
        <f t="shared" si="0"/>
        <v>0.75910204771427769</v>
      </c>
      <c r="G5" s="8">
        <f t="shared" si="0"/>
        <v>0.75910204771427769</v>
      </c>
    </row>
    <row r="6" spans="1:7" x14ac:dyDescent="0.3">
      <c r="A6" s="4" t="s">
        <v>262</v>
      </c>
      <c r="B6" s="8">
        <f>-B22/B19</f>
        <v>0.17390079711573669</v>
      </c>
      <c r="C6" s="8">
        <f t="shared" si="0"/>
        <v>0.17390079711573669</v>
      </c>
      <c r="D6" s="8">
        <f t="shared" si="0"/>
        <v>0.17390079711573669</v>
      </c>
      <c r="E6" s="8">
        <f t="shared" si="0"/>
        <v>0.17390079711573669</v>
      </c>
      <c r="F6" s="8">
        <f t="shared" si="0"/>
        <v>0.17390079711573669</v>
      </c>
      <c r="G6" s="8">
        <f t="shared" si="0"/>
        <v>0.17390079711573669</v>
      </c>
    </row>
    <row r="7" spans="1:7" x14ac:dyDescent="0.3">
      <c r="A7" s="4" t="s">
        <v>233</v>
      </c>
      <c r="B7" s="8">
        <f>-B24/B19</f>
        <v>2.4459904796777739E-2</v>
      </c>
      <c r="C7" s="8">
        <f t="shared" si="0"/>
        <v>2.4459904796777739E-2</v>
      </c>
      <c r="D7" s="8">
        <f t="shared" si="0"/>
        <v>2.4459904796777739E-2</v>
      </c>
      <c r="E7" s="8">
        <f t="shared" si="0"/>
        <v>2.4459904796777739E-2</v>
      </c>
      <c r="F7" s="8">
        <f t="shared" si="0"/>
        <v>2.4459904796777739E-2</v>
      </c>
      <c r="G7" s="8">
        <f t="shared" si="0"/>
        <v>2.4459904796777739E-2</v>
      </c>
    </row>
    <row r="8" spans="1:7" x14ac:dyDescent="0.3">
      <c r="A8" s="4" t="s">
        <v>234</v>
      </c>
      <c r="B8" s="8">
        <f>Datos!G16/Datos!G6</f>
        <v>1.6150747824127537E-2</v>
      </c>
      <c r="C8" s="8">
        <f t="shared" si="0"/>
        <v>1.6150747824127537E-2</v>
      </c>
      <c r="D8" s="8">
        <f t="shared" si="0"/>
        <v>1.6150747824127537E-2</v>
      </c>
      <c r="E8" s="8">
        <f t="shared" si="0"/>
        <v>1.6150747824127537E-2</v>
      </c>
      <c r="F8" s="8">
        <f t="shared" si="0"/>
        <v>1.6150747824127537E-2</v>
      </c>
      <c r="G8" s="8">
        <f t="shared" si="0"/>
        <v>1.6150747824127537E-2</v>
      </c>
    </row>
    <row r="9" spans="1:7" x14ac:dyDescent="0.3">
      <c r="A9" s="4" t="s">
        <v>263</v>
      </c>
      <c r="B9" s="8">
        <f>-B26/(B41+B42)</f>
        <v>0.13015496655093572</v>
      </c>
      <c r="C9" s="8">
        <f t="shared" si="0"/>
        <v>0.13015496655093572</v>
      </c>
      <c r="D9" s="8">
        <f t="shared" si="0"/>
        <v>0.13015496655093572</v>
      </c>
      <c r="E9" s="8">
        <f t="shared" si="0"/>
        <v>0.13015496655093572</v>
      </c>
      <c r="F9" s="8">
        <f t="shared" si="0"/>
        <v>0.13015496655093572</v>
      </c>
      <c r="G9" s="8">
        <f t="shared" si="0"/>
        <v>0.13015496655093572</v>
      </c>
    </row>
    <row r="10" spans="1:7" x14ac:dyDescent="0.3">
      <c r="A10" s="4" t="s">
        <v>236</v>
      </c>
      <c r="B10" s="8">
        <f>Valuación!$B$14</f>
        <v>0.3</v>
      </c>
      <c r="C10" s="8">
        <f t="shared" si="0"/>
        <v>0.3</v>
      </c>
      <c r="D10" s="8">
        <f t="shared" si="0"/>
        <v>0.3</v>
      </c>
      <c r="E10" s="8">
        <f t="shared" si="0"/>
        <v>0.3</v>
      </c>
      <c r="F10" s="8">
        <f t="shared" si="0"/>
        <v>0.3</v>
      </c>
      <c r="G10" s="8">
        <f t="shared" si="0"/>
        <v>0.3</v>
      </c>
    </row>
    <row r="11" spans="1:7" x14ac:dyDescent="0.3">
      <c r="A11" s="4" t="s">
        <v>264</v>
      </c>
      <c r="B11" s="13">
        <f>-B35/B20*365</f>
        <v>87.444305093801944</v>
      </c>
      <c r="C11" s="13">
        <f t="shared" si="0"/>
        <v>87.444305093801944</v>
      </c>
      <c r="D11" s="13">
        <f t="shared" si="0"/>
        <v>87.444305093801944</v>
      </c>
      <c r="E11" s="13">
        <f t="shared" si="0"/>
        <v>87.444305093801944</v>
      </c>
      <c r="F11" s="13">
        <f t="shared" si="0"/>
        <v>87.444305093801944</v>
      </c>
      <c r="G11" s="13">
        <f t="shared" si="0"/>
        <v>87.444305093801944</v>
      </c>
    </row>
    <row r="12" spans="1:7" x14ac:dyDescent="0.3">
      <c r="A12" s="4" t="s">
        <v>265</v>
      </c>
      <c r="B12" s="8">
        <f>B36/B19</f>
        <v>3.9157254316536633E-2</v>
      </c>
      <c r="C12" s="8">
        <f t="shared" si="0"/>
        <v>3.9157254316536633E-2</v>
      </c>
      <c r="D12" s="8">
        <f t="shared" si="0"/>
        <v>3.9157254316536633E-2</v>
      </c>
      <c r="E12" s="8">
        <f t="shared" si="0"/>
        <v>3.9157254316536633E-2</v>
      </c>
      <c r="F12" s="8">
        <f t="shared" si="0"/>
        <v>3.9157254316536633E-2</v>
      </c>
      <c r="G12" s="8">
        <f t="shared" si="0"/>
        <v>3.9157254316536633E-2</v>
      </c>
    </row>
    <row r="13" spans="1:7" x14ac:dyDescent="0.3">
      <c r="A13" s="4" t="s">
        <v>266</v>
      </c>
      <c r="B13" s="8">
        <f>B40/B19</f>
        <v>0.20022533307044474</v>
      </c>
      <c r="C13" s="8">
        <f t="shared" si="0"/>
        <v>0.20022533307044474</v>
      </c>
      <c r="D13" s="8">
        <f t="shared" si="0"/>
        <v>0.20022533307044474</v>
      </c>
      <c r="E13" s="8">
        <f t="shared" si="0"/>
        <v>0.20022533307044474</v>
      </c>
      <c r="F13" s="8">
        <f t="shared" si="0"/>
        <v>0.20022533307044474</v>
      </c>
      <c r="G13" s="8">
        <f t="shared" si="0"/>
        <v>0.20022533307044474</v>
      </c>
    </row>
    <row r="14" spans="1:7" x14ac:dyDescent="0.3">
      <c r="A14" s="4" t="s">
        <v>267</v>
      </c>
      <c r="B14" s="8">
        <f>Generales!B62*Valuación!B40/B30</f>
        <v>0.30014405762304919</v>
      </c>
      <c r="C14" s="8">
        <f t="shared" si="0"/>
        <v>0.30014405762304919</v>
      </c>
      <c r="D14" s="8">
        <f t="shared" si="0"/>
        <v>0.30014405762304919</v>
      </c>
      <c r="E14" s="8">
        <f t="shared" si="0"/>
        <v>0.30014405762304919</v>
      </c>
      <c r="F14" s="8">
        <f t="shared" si="0"/>
        <v>0.30014405762304919</v>
      </c>
      <c r="G14" s="8">
        <f t="shared" si="0"/>
        <v>0.30014405762304919</v>
      </c>
    </row>
    <row r="15" spans="1:7" x14ac:dyDescent="0.3">
      <c r="A15" s="4" t="s">
        <v>5</v>
      </c>
      <c r="B15" s="8"/>
      <c r="C15" s="8">
        <f>Valuación!$B$15</f>
        <v>0.12074804182303711</v>
      </c>
      <c r="D15" s="8">
        <f>Valuación!$B$15</f>
        <v>0.12074804182303711</v>
      </c>
      <c r="E15" s="8">
        <f>Valuación!$B$15</f>
        <v>0.12074804182303711</v>
      </c>
      <c r="F15" s="8">
        <f>Valuación!$B$15</f>
        <v>0.12074804182303711</v>
      </c>
      <c r="G15" s="8">
        <f>Valuación!$B$15</f>
        <v>0.12074804182303711</v>
      </c>
    </row>
    <row r="16" spans="1:7" x14ac:dyDescent="0.3">
      <c r="A16" s="4" t="s">
        <v>6</v>
      </c>
      <c r="B16" s="8"/>
      <c r="C16" s="8">
        <f>Valuación!$B$16</f>
        <v>3.5000000000000003E-2</v>
      </c>
      <c r="D16" s="8">
        <f>Valuación!$B$16</f>
        <v>3.5000000000000003E-2</v>
      </c>
      <c r="E16" s="8">
        <f>Valuación!$B$16</f>
        <v>3.5000000000000003E-2</v>
      </c>
      <c r="F16" s="8">
        <f>Valuación!$B$16</f>
        <v>3.5000000000000003E-2</v>
      </c>
      <c r="G16" s="8">
        <f>Valuación!$B$16</f>
        <v>3.5000000000000003E-2</v>
      </c>
    </row>
    <row r="17" spans="1:7" x14ac:dyDescent="0.3">
      <c r="A17" s="36"/>
      <c r="B17" s="36"/>
      <c r="C17" s="36"/>
      <c r="D17" s="36"/>
      <c r="E17" s="36"/>
      <c r="F17" s="36"/>
      <c r="G17" s="36"/>
    </row>
    <row r="18" spans="1:7" x14ac:dyDescent="0.3">
      <c r="A18" s="2" t="s">
        <v>268</v>
      </c>
      <c r="B18" s="2" t="s">
        <v>225</v>
      </c>
      <c r="C18" s="2" t="s">
        <v>226</v>
      </c>
      <c r="D18" s="2" t="s">
        <v>227</v>
      </c>
      <c r="E18" s="2" t="s">
        <v>228</v>
      </c>
      <c r="F18" s="2" t="s">
        <v>229</v>
      </c>
      <c r="G18" s="2" t="s">
        <v>230</v>
      </c>
    </row>
    <row r="19" spans="1:7" x14ac:dyDescent="0.3">
      <c r="A19" s="4" t="s">
        <v>239</v>
      </c>
      <c r="B19" s="6">
        <f>Datos!G6</f>
        <v>177515</v>
      </c>
      <c r="C19" s="6">
        <f>B19*(1+C4)</f>
        <v>183728.02499999999</v>
      </c>
      <c r="D19" s="6">
        <f>C19*(1+D4)</f>
        <v>190158.50587499997</v>
      </c>
      <c r="E19" s="6">
        <f>D19*(1+E4)</f>
        <v>196814.05358062495</v>
      </c>
      <c r="F19" s="6">
        <f>E19*(1+F4)</f>
        <v>203702.54545594682</v>
      </c>
      <c r="G19" s="6">
        <f>F19*(1+G4)</f>
        <v>210832.13454690494</v>
      </c>
    </row>
    <row r="20" spans="1:7" x14ac:dyDescent="0.3">
      <c r="A20" s="4" t="s">
        <v>86</v>
      </c>
      <c r="B20" s="6">
        <f>-Datos!G7</f>
        <v>-134752</v>
      </c>
      <c r="C20" s="6">
        <f>-C19*C5</f>
        <v>-139468.32</v>
      </c>
      <c r="D20" s="6">
        <f>-D19*D5</f>
        <v>-144349.71119999999</v>
      </c>
      <c r="E20" s="6">
        <f>-E19*E5</f>
        <v>-149401.95109199997</v>
      </c>
      <c r="F20" s="6">
        <f>-F19*F5</f>
        <v>-154631.01938021995</v>
      </c>
      <c r="G20" s="6">
        <f>-G19*G5</f>
        <v>-160043.10505852764</v>
      </c>
    </row>
    <row r="21" spans="1:7" x14ac:dyDescent="0.3">
      <c r="A21" s="4" t="s">
        <v>80</v>
      </c>
      <c r="B21" s="6">
        <f t="shared" ref="B21:G21" si="1">B19+B20</f>
        <v>42763</v>
      </c>
      <c r="C21" s="6">
        <f t="shared" si="1"/>
        <v>44259.704999999987</v>
      </c>
      <c r="D21" s="6">
        <f t="shared" si="1"/>
        <v>45808.794674999983</v>
      </c>
      <c r="E21" s="6">
        <f t="shared" si="1"/>
        <v>47412.10248862498</v>
      </c>
      <c r="F21" s="6">
        <f t="shared" si="1"/>
        <v>49071.52607572687</v>
      </c>
      <c r="G21" s="6">
        <f t="shared" si="1"/>
        <v>50789.029488377302</v>
      </c>
    </row>
    <row r="22" spans="1:7" x14ac:dyDescent="0.3">
      <c r="A22" s="4" t="s">
        <v>269</v>
      </c>
      <c r="B22" s="6">
        <f>-(Datos!G8-Datos!G9-Datos!G14)</f>
        <v>-30870</v>
      </c>
      <c r="C22" s="6">
        <f>-C19*C6</f>
        <v>-31950.449999999997</v>
      </c>
      <c r="D22" s="6">
        <f>-D19*D6</f>
        <v>-33068.715749999996</v>
      </c>
      <c r="E22" s="6">
        <f>-E19*E6</f>
        <v>-34226.120801249992</v>
      </c>
      <c r="F22" s="6">
        <f>-F19*F6</f>
        <v>-35424.035029293736</v>
      </c>
      <c r="G22" s="6">
        <f>-G19*G6</f>
        <v>-36663.876255319017</v>
      </c>
    </row>
    <row r="23" spans="1:7" x14ac:dyDescent="0.3">
      <c r="A23" s="4" t="s">
        <v>270</v>
      </c>
      <c r="B23" s="6">
        <f t="shared" ref="B23:G23" si="2">B21+B22</f>
        <v>11893</v>
      </c>
      <c r="C23" s="6">
        <f t="shared" si="2"/>
        <v>12309.25499999999</v>
      </c>
      <c r="D23" s="6">
        <f t="shared" si="2"/>
        <v>12740.078924999987</v>
      </c>
      <c r="E23" s="6">
        <f t="shared" si="2"/>
        <v>13185.981687374988</v>
      </c>
      <c r="F23" s="6">
        <f t="shared" si="2"/>
        <v>13647.491046433133</v>
      </c>
      <c r="G23" s="6">
        <f t="shared" si="2"/>
        <v>14125.153233058285</v>
      </c>
    </row>
    <row r="24" spans="1:7" x14ac:dyDescent="0.3">
      <c r="A24" s="4" t="s">
        <v>154</v>
      </c>
      <c r="B24" s="6">
        <f>-Datos!G14</f>
        <v>-4342</v>
      </c>
      <c r="C24" s="6">
        <f>-C19*C7</f>
        <v>-4493.97</v>
      </c>
      <c r="D24" s="6">
        <f>-D19*D7</f>
        <v>-4651.2589499999995</v>
      </c>
      <c r="E24" s="6">
        <f>-E19*E7</f>
        <v>-4814.0530132499989</v>
      </c>
      <c r="F24" s="6">
        <f>-F19*F7</f>
        <v>-4982.5448687137487</v>
      </c>
      <c r="G24" s="6">
        <f>-G19*G7</f>
        <v>-5156.9339391187295</v>
      </c>
    </row>
    <row r="25" spans="1:7" x14ac:dyDescent="0.3">
      <c r="A25" s="4" t="s">
        <v>81</v>
      </c>
      <c r="B25" s="6">
        <f t="shared" ref="B25:G25" si="3">B23+B24</f>
        <v>7551</v>
      </c>
      <c r="C25" s="6">
        <f t="shared" si="3"/>
        <v>7815.2849999999899</v>
      </c>
      <c r="D25" s="6">
        <f t="shared" si="3"/>
        <v>8088.8199749999876</v>
      </c>
      <c r="E25" s="6">
        <f t="shared" si="3"/>
        <v>8371.9286741249889</v>
      </c>
      <c r="F25" s="6">
        <f t="shared" si="3"/>
        <v>8664.9461777193847</v>
      </c>
      <c r="G25" s="6">
        <f t="shared" si="3"/>
        <v>8968.2192939395554</v>
      </c>
    </row>
    <row r="26" spans="1:7" x14ac:dyDescent="0.3">
      <c r="A26" s="4" t="s">
        <v>88</v>
      </c>
      <c r="B26" s="6">
        <f>-Datos!G10</f>
        <v>-3074</v>
      </c>
      <c r="C26" s="6">
        <f>-C9*(B41+B42)</f>
        <v>-3074</v>
      </c>
      <c r="D26" s="6">
        <f>-D9*(C41+C42)</f>
        <v>-3074</v>
      </c>
      <c r="E26" s="6">
        <f>-E9*(D41+D42)</f>
        <v>-3074</v>
      </c>
      <c r="F26" s="6">
        <f>-F9*(E41+E42)</f>
        <v>-3074</v>
      </c>
      <c r="G26" s="6">
        <f>-G9*(F41+F42)</f>
        <v>-3074</v>
      </c>
    </row>
    <row r="27" spans="1:7" x14ac:dyDescent="0.3">
      <c r="A27" s="4" t="s">
        <v>271</v>
      </c>
      <c r="B27" s="6">
        <f>Datos!G11-Datos!G9+Datos!G10</f>
        <v>288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</row>
    <row r="28" spans="1:7" x14ac:dyDescent="0.3">
      <c r="A28" s="4" t="s">
        <v>152</v>
      </c>
      <c r="B28" s="6">
        <f t="shared" ref="B28:G28" si="4">B25+B26+B27</f>
        <v>4765</v>
      </c>
      <c r="C28" s="6">
        <f t="shared" si="4"/>
        <v>4741.2849999999899</v>
      </c>
      <c r="D28" s="6">
        <f t="shared" si="4"/>
        <v>5014.8199749999876</v>
      </c>
      <c r="E28" s="6">
        <f t="shared" si="4"/>
        <v>5297.9286741249889</v>
      </c>
      <c r="F28" s="6">
        <f t="shared" si="4"/>
        <v>5590.9461777193847</v>
      </c>
      <c r="G28" s="6">
        <f t="shared" si="4"/>
        <v>5894.2192939395554</v>
      </c>
    </row>
    <row r="29" spans="1:7" x14ac:dyDescent="0.3">
      <c r="A29" s="4" t="s">
        <v>153</v>
      </c>
      <c r="B29" s="6">
        <f>-Datos!G12</f>
        <v>-1433</v>
      </c>
      <c r="C29" s="6">
        <f>-C28*C10</f>
        <v>-1422.3854999999969</v>
      </c>
      <c r="D29" s="6">
        <f>-D28*D10</f>
        <v>-1504.4459924999962</v>
      </c>
      <c r="E29" s="6">
        <f>-E28*E10</f>
        <v>-1589.3786022374966</v>
      </c>
      <c r="F29" s="6">
        <f>-F28*F10</f>
        <v>-1677.2838533158153</v>
      </c>
      <c r="G29" s="6">
        <f>-G28*G10</f>
        <v>-1768.2657881818666</v>
      </c>
    </row>
    <row r="30" spans="1:7" x14ac:dyDescent="0.3">
      <c r="A30" s="4" t="s">
        <v>89</v>
      </c>
      <c r="B30" s="6">
        <f t="shared" ref="B30:G30" si="5">B28+B29</f>
        <v>3332</v>
      </c>
      <c r="C30" s="6">
        <f t="shared" si="5"/>
        <v>3318.8994999999932</v>
      </c>
      <c r="D30" s="6">
        <f t="shared" si="5"/>
        <v>3510.3739824999911</v>
      </c>
      <c r="E30" s="6">
        <f t="shared" si="5"/>
        <v>3708.5500718874923</v>
      </c>
      <c r="F30" s="6">
        <f t="shared" si="5"/>
        <v>3913.6623244035691</v>
      </c>
      <c r="G30" s="6">
        <f t="shared" si="5"/>
        <v>4125.9535057576886</v>
      </c>
    </row>
    <row r="31" spans="1:7" x14ac:dyDescent="0.3">
      <c r="A31" s="4" t="s">
        <v>272</v>
      </c>
      <c r="B31" s="6"/>
      <c r="C31" s="6">
        <f>-C30*C14</f>
        <v>-996.14796277310711</v>
      </c>
      <c r="D31" s="6">
        <f>-D30*D14</f>
        <v>-1053.61789088193</v>
      </c>
      <c r="E31" s="6">
        <f>-E30*E14</f>
        <v>-1113.0992664745627</v>
      </c>
      <c r="F31" s="6">
        <f>-F30*F14</f>
        <v>-1174.6624902129415</v>
      </c>
      <c r="G31" s="6">
        <f>-G30*G14</f>
        <v>-1238.3804267821574</v>
      </c>
    </row>
    <row r="32" spans="1:7" x14ac:dyDescent="0.3">
      <c r="A32" s="36"/>
      <c r="B32" s="36"/>
      <c r="C32" s="36"/>
      <c r="D32" s="36"/>
      <c r="E32" s="36"/>
      <c r="F32" s="36"/>
      <c r="G32" s="36"/>
    </row>
    <row r="33" spans="1:7" x14ac:dyDescent="0.3">
      <c r="A33" s="2" t="s">
        <v>273</v>
      </c>
      <c r="B33" s="2" t="s">
        <v>225</v>
      </c>
      <c r="C33" s="2" t="s">
        <v>226</v>
      </c>
      <c r="D33" s="2" t="s">
        <v>227</v>
      </c>
      <c r="E33" s="2" t="s">
        <v>228</v>
      </c>
      <c r="F33" s="2" t="s">
        <v>229</v>
      </c>
      <c r="G33" s="2" t="s">
        <v>230</v>
      </c>
    </row>
    <row r="34" spans="1:7" x14ac:dyDescent="0.3">
      <c r="A34" s="4" t="s">
        <v>13</v>
      </c>
      <c r="B34" s="6">
        <f>Datos!G17</f>
        <v>9295</v>
      </c>
      <c r="C34" s="6">
        <f>B34+C56</f>
        <v>13015.191537226885</v>
      </c>
      <c r="D34" s="6">
        <f>C34+D56</f>
        <v>16918.29802884494</v>
      </c>
      <c r="E34" s="6">
        <f>D34+E56</f>
        <v>21010.721498257866</v>
      </c>
      <c r="F34" s="6">
        <f>E34+F56</f>
        <v>25299.088039688508</v>
      </c>
      <c r="G34" s="6">
        <f>F34+G56</f>
        <v>29790.255660657429</v>
      </c>
    </row>
    <row r="35" spans="1:7" x14ac:dyDescent="0.3">
      <c r="A35" s="4" t="s">
        <v>156</v>
      </c>
      <c r="B35" s="6">
        <f>Datos!G18</f>
        <v>32283</v>
      </c>
      <c r="C35" s="6">
        <f>-C20*C11/365</f>
        <v>33412.904999999999</v>
      </c>
      <c r="D35" s="6">
        <f>-D20*D11/365</f>
        <v>34582.356674999995</v>
      </c>
      <c r="E35" s="6">
        <f>-E20*E11/365</f>
        <v>35792.739158624994</v>
      </c>
      <c r="F35" s="6">
        <f>-F20*F11/365</f>
        <v>37045.48502917686</v>
      </c>
      <c r="G35" s="6">
        <f>-G20*G11/365</f>
        <v>38342.077005198051</v>
      </c>
    </row>
    <row r="36" spans="1:7" x14ac:dyDescent="0.3">
      <c r="A36" s="4" t="s">
        <v>274</v>
      </c>
      <c r="B36" s="6">
        <f>Datos!G19-Datos!G17-Datos!G18</f>
        <v>6951</v>
      </c>
      <c r="C36" s="6">
        <f>C19*C12</f>
        <v>7194.2849999999999</v>
      </c>
      <c r="D36" s="6">
        <f>D19*D12</f>
        <v>7446.0849749999998</v>
      </c>
      <c r="E36" s="6">
        <f>E19*E12</f>
        <v>7706.6979491249986</v>
      </c>
      <c r="F36" s="6">
        <f>F19*F12</f>
        <v>7976.432377344373</v>
      </c>
      <c r="G36" s="6">
        <f>G19*G12</f>
        <v>8255.6075105514265</v>
      </c>
    </row>
    <row r="37" spans="1:7" x14ac:dyDescent="0.3">
      <c r="A37" s="4" t="s">
        <v>157</v>
      </c>
      <c r="B37" s="6">
        <f t="shared" ref="B37:G37" si="6">SUM(B34:B36)</f>
        <v>48529</v>
      </c>
      <c r="C37" s="6">
        <f t="shared" si="6"/>
        <v>53622.381537226887</v>
      </c>
      <c r="D37" s="6">
        <f t="shared" si="6"/>
        <v>58946.739678844933</v>
      </c>
      <c r="E37" s="6">
        <f t="shared" si="6"/>
        <v>64510.158606007855</v>
      </c>
      <c r="F37" s="6">
        <f t="shared" si="6"/>
        <v>70321.005446209747</v>
      </c>
      <c r="G37" s="6">
        <f t="shared" si="6"/>
        <v>76387.940176406904</v>
      </c>
    </row>
    <row r="38" spans="1:7" x14ac:dyDescent="0.3">
      <c r="A38" s="4" t="s">
        <v>275</v>
      </c>
      <c r="B38" s="6">
        <f>Datos!G20-Datos!G19</f>
        <v>107509</v>
      </c>
      <c r="C38" s="6">
        <f>B38-C54+C24</f>
        <v>105982.375</v>
      </c>
      <c r="D38" s="6">
        <f>C38-D54+D24</f>
        <v>104402.31812499999</v>
      </c>
      <c r="E38" s="6">
        <f>D38-E54+E24</f>
        <v>102766.95925937498</v>
      </c>
      <c r="F38" s="6">
        <f>E38-F54+F24</f>
        <v>101074.36283345311</v>
      </c>
      <c r="G38" s="6">
        <f>F38-G54+G24</f>
        <v>99322.525532623971</v>
      </c>
    </row>
    <row r="39" spans="1:7" x14ac:dyDescent="0.3">
      <c r="A39" s="4" t="s">
        <v>92</v>
      </c>
      <c r="B39" s="6">
        <f t="shared" ref="B39:G39" si="7">B37+B38</f>
        <v>156038</v>
      </c>
      <c r="C39" s="6">
        <f t="shared" si="7"/>
        <v>159604.7565372269</v>
      </c>
      <c r="D39" s="6">
        <f t="shared" si="7"/>
        <v>163349.05780384492</v>
      </c>
      <c r="E39" s="6">
        <f t="shared" si="7"/>
        <v>167277.11786538284</v>
      </c>
      <c r="F39" s="6">
        <f t="shared" si="7"/>
        <v>171395.36827966286</v>
      </c>
      <c r="G39" s="6">
        <f t="shared" si="7"/>
        <v>175710.46570903086</v>
      </c>
    </row>
    <row r="40" spans="1:7" x14ac:dyDescent="0.3">
      <c r="A40" s="4" t="s">
        <v>276</v>
      </c>
      <c r="B40" s="6">
        <f>Datos!G21-Datos!G25-Datos!G27</f>
        <v>35543</v>
      </c>
      <c r="C40" s="6">
        <f>C19*C13</f>
        <v>36787.004999999997</v>
      </c>
      <c r="D40" s="6">
        <f>D19*D13</f>
        <v>38074.550174999989</v>
      </c>
      <c r="E40" s="6">
        <f>E19*E13</f>
        <v>39407.159431124986</v>
      </c>
      <c r="F40" s="6">
        <f>F19*F13</f>
        <v>40786.410011214364</v>
      </c>
      <c r="G40" s="6">
        <f>G19*G13</f>
        <v>42213.934361606858</v>
      </c>
    </row>
    <row r="41" spans="1:7" x14ac:dyDescent="0.3">
      <c r="A41" s="4" t="s">
        <v>277</v>
      </c>
      <c r="B41" s="6">
        <f>Datos!G25+Datos!G26</f>
        <v>11500</v>
      </c>
      <c r="C41" s="6">
        <f t="shared" ref="C41:G43" si="8">B41</f>
        <v>11500</v>
      </c>
      <c r="D41" s="6">
        <f t="shared" si="8"/>
        <v>11500</v>
      </c>
      <c r="E41" s="6">
        <f t="shared" si="8"/>
        <v>11500</v>
      </c>
      <c r="F41" s="6">
        <f t="shared" si="8"/>
        <v>11500</v>
      </c>
      <c r="G41" s="6">
        <f t="shared" si="8"/>
        <v>11500</v>
      </c>
    </row>
    <row r="42" spans="1:7" x14ac:dyDescent="0.3">
      <c r="A42" s="4" t="s">
        <v>278</v>
      </c>
      <c r="B42" s="6">
        <f>Datos!G27+Datos!G28</f>
        <v>12118</v>
      </c>
      <c r="C42" s="6">
        <f t="shared" si="8"/>
        <v>12118</v>
      </c>
      <c r="D42" s="6">
        <f t="shared" si="8"/>
        <v>12118</v>
      </c>
      <c r="E42" s="6">
        <f t="shared" si="8"/>
        <v>12118</v>
      </c>
      <c r="F42" s="6">
        <f t="shared" si="8"/>
        <v>12118</v>
      </c>
      <c r="G42" s="6">
        <f t="shared" si="8"/>
        <v>12118</v>
      </c>
    </row>
    <row r="43" spans="1:7" x14ac:dyDescent="0.3">
      <c r="A43" s="4" t="s">
        <v>279</v>
      </c>
      <c r="B43" s="6">
        <f>Datos!G23-Datos!G21-Datos!G26-Datos!G28</f>
        <v>12145</v>
      </c>
      <c r="C43" s="6">
        <f t="shared" si="8"/>
        <v>12145</v>
      </c>
      <c r="D43" s="6">
        <f t="shared" si="8"/>
        <v>12145</v>
      </c>
      <c r="E43" s="6">
        <f t="shared" si="8"/>
        <v>12145</v>
      </c>
      <c r="F43" s="6">
        <f t="shared" si="8"/>
        <v>12145</v>
      </c>
      <c r="G43" s="6">
        <f t="shared" si="8"/>
        <v>12145</v>
      </c>
    </row>
    <row r="44" spans="1:7" x14ac:dyDescent="0.3">
      <c r="A44" s="4" t="s">
        <v>93</v>
      </c>
      <c r="B44" s="6">
        <f t="shared" ref="B44:G44" si="9">SUM(B40:B43)</f>
        <v>71306</v>
      </c>
      <c r="C44" s="6">
        <f t="shared" si="9"/>
        <v>72550.005000000005</v>
      </c>
      <c r="D44" s="6">
        <f t="shared" si="9"/>
        <v>73837.550174999982</v>
      </c>
      <c r="E44" s="6">
        <f t="shared" si="9"/>
        <v>75170.159431124979</v>
      </c>
      <c r="F44" s="6">
        <f t="shared" si="9"/>
        <v>76549.410011214364</v>
      </c>
      <c r="G44" s="6">
        <f t="shared" si="9"/>
        <v>77976.934361606865</v>
      </c>
    </row>
    <row r="45" spans="1:7" x14ac:dyDescent="0.3">
      <c r="A45" s="4" t="s">
        <v>94</v>
      </c>
      <c r="B45" s="6">
        <f>Datos!G24</f>
        <v>84732</v>
      </c>
      <c r="C45" s="6">
        <f>B45+C30+C31</f>
        <v>87054.751537226897</v>
      </c>
      <c r="D45" s="6">
        <f>C45+D30+D31</f>
        <v>89511.507628844964</v>
      </c>
      <c r="E45" s="6">
        <f>D45+E30+E31</f>
        <v>92106.958434257904</v>
      </c>
      <c r="F45" s="6">
        <f>E45+F30+F31</f>
        <v>94845.958268448536</v>
      </c>
      <c r="G45" s="6">
        <f>F45+G30+G31</f>
        <v>97733.531347424068</v>
      </c>
    </row>
    <row r="46" spans="1:7" x14ac:dyDescent="0.3">
      <c r="A46" s="4" t="s">
        <v>280</v>
      </c>
      <c r="B46" s="6">
        <f t="shared" ref="B46:G46" si="10">B44+B45</f>
        <v>156038</v>
      </c>
      <c r="C46" s="6">
        <f t="shared" si="10"/>
        <v>159604.7565372269</v>
      </c>
      <c r="D46" s="6">
        <f t="shared" si="10"/>
        <v>163349.05780384495</v>
      </c>
      <c r="E46" s="6">
        <f t="shared" si="10"/>
        <v>167277.11786538287</v>
      </c>
      <c r="F46" s="6">
        <f t="shared" si="10"/>
        <v>171395.36827966291</v>
      </c>
      <c r="G46" s="6">
        <f t="shared" si="10"/>
        <v>175710.46570903092</v>
      </c>
    </row>
    <row r="47" spans="1:7" x14ac:dyDescent="0.3">
      <c r="A47" s="58" t="s">
        <v>281</v>
      </c>
      <c r="B47" s="59">
        <f t="shared" ref="B47:G47" si="11">B39-B46</f>
        <v>0</v>
      </c>
      <c r="C47" s="59">
        <f t="shared" si="11"/>
        <v>0</v>
      </c>
      <c r="D47" s="59">
        <f t="shared" si="11"/>
        <v>0</v>
      </c>
      <c r="E47" s="59">
        <f t="shared" si="11"/>
        <v>0</v>
      </c>
      <c r="F47" s="59">
        <f t="shared" si="11"/>
        <v>0</v>
      </c>
      <c r="G47" s="59">
        <f t="shared" si="11"/>
        <v>0</v>
      </c>
    </row>
    <row r="48" spans="1:7" x14ac:dyDescent="0.3">
      <c r="A48" s="36"/>
      <c r="B48" s="36"/>
      <c r="C48" s="36"/>
      <c r="D48" s="36"/>
      <c r="E48" s="36"/>
      <c r="F48" s="36"/>
      <c r="G48" s="36"/>
    </row>
    <row r="49" spans="1:7" x14ac:dyDescent="0.3">
      <c r="A49" s="2" t="s">
        <v>282</v>
      </c>
      <c r="B49" s="2" t="s">
        <v>225</v>
      </c>
      <c r="C49" s="2" t="s">
        <v>226</v>
      </c>
      <c r="D49" s="2" t="s">
        <v>227</v>
      </c>
      <c r="E49" s="2" t="s">
        <v>228</v>
      </c>
      <c r="F49" s="2" t="s">
        <v>229</v>
      </c>
      <c r="G49" s="2" t="s">
        <v>230</v>
      </c>
    </row>
    <row r="50" spans="1:7" x14ac:dyDescent="0.3">
      <c r="A50" s="4" t="s">
        <v>89</v>
      </c>
      <c r="B50" s="4"/>
      <c r="C50" s="6">
        <f>C30</f>
        <v>3318.8994999999932</v>
      </c>
      <c r="D50" s="6">
        <f>D30</f>
        <v>3510.3739824999911</v>
      </c>
      <c r="E50" s="6">
        <f>E30</f>
        <v>3708.5500718874923</v>
      </c>
      <c r="F50" s="6">
        <f>F30</f>
        <v>3913.6623244035691</v>
      </c>
      <c r="G50" s="6">
        <f>G30</f>
        <v>4125.9535057576886</v>
      </c>
    </row>
    <row r="51" spans="1:7" x14ac:dyDescent="0.3">
      <c r="A51" s="4" t="s">
        <v>242</v>
      </c>
      <c r="B51" s="4"/>
      <c r="C51" s="6">
        <f>-C24</f>
        <v>4493.97</v>
      </c>
      <c r="D51" s="6">
        <f>-D24</f>
        <v>4651.2589499999995</v>
      </c>
      <c r="E51" s="6">
        <f>-E24</f>
        <v>4814.0530132499989</v>
      </c>
      <c r="F51" s="6">
        <f>-F24</f>
        <v>4982.5448687137487</v>
      </c>
      <c r="G51" s="6">
        <f>-G24</f>
        <v>5156.9339391187295</v>
      </c>
    </row>
    <row r="52" spans="1:7" x14ac:dyDescent="0.3">
      <c r="A52" s="4" t="s">
        <v>283</v>
      </c>
      <c r="B52" s="4"/>
      <c r="C52" s="6">
        <f t="shared" ref="C52:G53" si="12">-(C35-B35)</f>
        <v>-1129.9049999999988</v>
      </c>
      <c r="D52" s="6">
        <f t="shared" si="12"/>
        <v>-1169.4516749999966</v>
      </c>
      <c r="E52" s="6">
        <f t="shared" si="12"/>
        <v>-1210.3824836249987</v>
      </c>
      <c r="F52" s="6">
        <f t="shared" si="12"/>
        <v>-1252.7458705518657</v>
      </c>
      <c r="G52" s="6">
        <f t="shared" si="12"/>
        <v>-1296.5919760211909</v>
      </c>
    </row>
    <row r="53" spans="1:7" x14ac:dyDescent="0.3">
      <c r="A53" s="4" t="s">
        <v>284</v>
      </c>
      <c r="B53" s="4"/>
      <c r="C53" s="6">
        <f t="shared" si="12"/>
        <v>-243.28499999999985</v>
      </c>
      <c r="D53" s="6">
        <f t="shared" si="12"/>
        <v>-251.7999749999999</v>
      </c>
      <c r="E53" s="6">
        <f t="shared" si="12"/>
        <v>-260.6129741249988</v>
      </c>
      <c r="F53" s="6">
        <f t="shared" si="12"/>
        <v>-269.73442821937442</v>
      </c>
      <c r="G53" s="6">
        <f t="shared" si="12"/>
        <v>-279.17513320705348</v>
      </c>
    </row>
    <row r="54" spans="1:7" x14ac:dyDescent="0.3">
      <c r="A54" s="4" t="s">
        <v>243</v>
      </c>
      <c r="B54" s="4"/>
      <c r="C54" s="6">
        <f>-C19*C8</f>
        <v>-2967.3449999999998</v>
      </c>
      <c r="D54" s="6">
        <f>-D19*D8</f>
        <v>-3071.2020749999992</v>
      </c>
      <c r="E54" s="6">
        <f>-E19*E8</f>
        <v>-3178.694147624999</v>
      </c>
      <c r="F54" s="6">
        <f>-F19*F8</f>
        <v>-3289.9484427918737</v>
      </c>
      <c r="G54" s="6">
        <f>-G19*G8</f>
        <v>-3405.096638289589</v>
      </c>
    </row>
    <row r="55" spans="1:7" x14ac:dyDescent="0.3">
      <c r="A55" s="4" t="s">
        <v>285</v>
      </c>
      <c r="B55" s="4"/>
      <c r="C55" s="6">
        <f>C40-B40</f>
        <v>1244.0049999999974</v>
      </c>
      <c r="D55" s="6">
        <f>D40-C40</f>
        <v>1287.545174999992</v>
      </c>
      <c r="E55" s="6">
        <f>E40-D40</f>
        <v>1332.609256124997</v>
      </c>
      <c r="F55" s="6">
        <f>F40-E40</f>
        <v>1379.2505800893778</v>
      </c>
      <c r="G55" s="6">
        <f>G40-F40</f>
        <v>1427.5243503924939</v>
      </c>
    </row>
    <row r="56" spans="1:7" x14ac:dyDescent="0.3">
      <c r="A56" s="4" t="s">
        <v>286</v>
      </c>
      <c r="B56" s="4"/>
      <c r="C56" s="6">
        <f>SUM(C50:C55)+C31</f>
        <v>3720.1915372268859</v>
      </c>
      <c r="D56" s="6">
        <f>SUM(D50:D55)+D31</f>
        <v>3903.1064916180567</v>
      </c>
      <c r="E56" s="6">
        <f>SUM(E50:E55)+E31</f>
        <v>4092.4234694129282</v>
      </c>
      <c r="F56" s="6">
        <f>SUM(F50:F55)+F31</f>
        <v>4288.3665414306406</v>
      </c>
      <c r="G56" s="6">
        <f>SUM(G50:G55)+G31</f>
        <v>4491.1676209689213</v>
      </c>
    </row>
    <row r="57" spans="1:7" x14ac:dyDescent="0.3">
      <c r="A57" s="36"/>
      <c r="B57" s="36"/>
      <c r="C57" s="36"/>
      <c r="D57" s="36"/>
      <c r="E57" s="36"/>
      <c r="F57" s="36"/>
      <c r="G57" s="36"/>
    </row>
    <row r="58" spans="1:7" x14ac:dyDescent="0.3">
      <c r="A58" s="2" t="s">
        <v>287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s">
        <v>229</v>
      </c>
      <c r="G58" s="2" t="s">
        <v>230</v>
      </c>
    </row>
    <row r="59" spans="1:7" x14ac:dyDescent="0.3">
      <c r="A59" s="4" t="s">
        <v>81</v>
      </c>
      <c r="B59" s="4"/>
      <c r="C59" s="6">
        <f>C25</f>
        <v>7815.2849999999899</v>
      </c>
      <c r="D59" s="6">
        <f>D25</f>
        <v>8088.8199749999876</v>
      </c>
      <c r="E59" s="6">
        <f>E25</f>
        <v>8371.9286741249889</v>
      </c>
      <c r="F59" s="6">
        <f>F25</f>
        <v>8664.9461777193847</v>
      </c>
      <c r="G59" s="6">
        <f>G25</f>
        <v>8968.2192939395554</v>
      </c>
    </row>
    <row r="60" spans="1:7" x14ac:dyDescent="0.3">
      <c r="A60" s="4" t="s">
        <v>240</v>
      </c>
      <c r="B60" s="4"/>
      <c r="C60" s="6">
        <f>-C59*C10</f>
        <v>-2344.585499999997</v>
      </c>
      <c r="D60" s="6">
        <f>-D59*D10</f>
        <v>-2426.6459924999963</v>
      </c>
      <c r="E60" s="6">
        <f>-E59*E10</f>
        <v>-2511.5786022374964</v>
      </c>
      <c r="F60" s="6">
        <f>-F59*F10</f>
        <v>-2599.4838533158154</v>
      </c>
      <c r="G60" s="6">
        <f>-G59*G10</f>
        <v>-2690.4657881818666</v>
      </c>
    </row>
    <row r="61" spans="1:7" x14ac:dyDescent="0.3">
      <c r="A61" s="4" t="s">
        <v>288</v>
      </c>
      <c r="B61" s="4"/>
      <c r="C61" s="6">
        <f>C59+C60</f>
        <v>5470.6994999999933</v>
      </c>
      <c r="D61" s="6">
        <f>D59+D60</f>
        <v>5662.1739824999913</v>
      </c>
      <c r="E61" s="6">
        <f>E59+E60</f>
        <v>5860.350071887493</v>
      </c>
      <c r="F61" s="6">
        <f>F59+F60</f>
        <v>6065.4623244035693</v>
      </c>
      <c r="G61" s="6">
        <f>G59+G60</f>
        <v>6277.7535057576888</v>
      </c>
    </row>
    <row r="62" spans="1:7" x14ac:dyDescent="0.3">
      <c r="A62" s="4" t="s">
        <v>242</v>
      </c>
      <c r="B62" s="4"/>
      <c r="C62" s="6">
        <f>C51</f>
        <v>4493.97</v>
      </c>
      <c r="D62" s="6">
        <f>D51</f>
        <v>4651.2589499999995</v>
      </c>
      <c r="E62" s="6">
        <f>E51</f>
        <v>4814.0530132499989</v>
      </c>
      <c r="F62" s="6">
        <f>F51</f>
        <v>4982.5448687137487</v>
      </c>
      <c r="G62" s="6">
        <f>G51</f>
        <v>5156.9339391187295</v>
      </c>
    </row>
    <row r="63" spans="1:7" x14ac:dyDescent="0.3">
      <c r="A63" s="4" t="s">
        <v>243</v>
      </c>
      <c r="B63" s="4"/>
      <c r="C63" s="6">
        <f>C54</f>
        <v>-2967.3449999999998</v>
      </c>
      <c r="D63" s="6">
        <f>D54</f>
        <v>-3071.2020749999992</v>
      </c>
      <c r="E63" s="6">
        <f>E54</f>
        <v>-3178.694147624999</v>
      </c>
      <c r="F63" s="6">
        <f>F54</f>
        <v>-3289.9484427918737</v>
      </c>
      <c r="G63" s="6">
        <f>G54</f>
        <v>-3405.096638289589</v>
      </c>
    </row>
    <row r="64" spans="1:7" x14ac:dyDescent="0.3">
      <c r="A64" s="4" t="s">
        <v>244</v>
      </c>
      <c r="B64" s="4"/>
      <c r="C64" s="6">
        <f>C52+C53+C55</f>
        <v>-129.18500000000131</v>
      </c>
      <c r="D64" s="6">
        <f>D52+D53+D55</f>
        <v>-133.7064750000045</v>
      </c>
      <c r="E64" s="6">
        <f>E52+E53+E55</f>
        <v>-138.38620162500047</v>
      </c>
      <c r="F64" s="6">
        <f>F52+F53+F55</f>
        <v>-143.22971868186232</v>
      </c>
      <c r="G64" s="6">
        <f>G52+G53+G55</f>
        <v>-148.24275883575046</v>
      </c>
    </row>
    <row r="65" spans="1:7" x14ac:dyDescent="0.3">
      <c r="A65" s="4" t="s">
        <v>289</v>
      </c>
      <c r="B65" s="4"/>
      <c r="C65" s="6">
        <f>SUM(C61:C64)</f>
        <v>6868.139499999992</v>
      </c>
      <c r="D65" s="6">
        <f>SUM(D61:D64)</f>
        <v>7108.524382499987</v>
      </c>
      <c r="E65" s="6">
        <f>SUM(E61:E64)</f>
        <v>7357.3227358874919</v>
      </c>
      <c r="F65" s="6">
        <f>SUM(F61:F64)</f>
        <v>7614.8290316435823</v>
      </c>
      <c r="G65" s="6">
        <f>SUM(G61:G64)</f>
        <v>7881.3480477510775</v>
      </c>
    </row>
    <row r="66" spans="1:7" x14ac:dyDescent="0.3">
      <c r="A66" s="4" t="s">
        <v>238</v>
      </c>
      <c r="B66" s="4"/>
      <c r="C66" s="45">
        <v>1</v>
      </c>
      <c r="D66" s="45">
        <f>C66+1</f>
        <v>2</v>
      </c>
      <c r="E66" s="45">
        <f>D66+1</f>
        <v>3</v>
      </c>
      <c r="F66" s="45">
        <f>E66+1</f>
        <v>4</v>
      </c>
      <c r="G66" s="45">
        <f>F66+1</f>
        <v>5</v>
      </c>
    </row>
    <row r="67" spans="1:7" x14ac:dyDescent="0.3">
      <c r="A67" s="4" t="s">
        <v>246</v>
      </c>
      <c r="B67" s="4"/>
      <c r="C67" s="46">
        <f>1/(1+C15)^C66</f>
        <v>0.89226120651825969</v>
      </c>
      <c r="D67" s="46">
        <f>1/(1+D15)^D66</f>
        <v>0.79613006065742031</v>
      </c>
      <c r="E67" s="46">
        <f>1/(1+E15)^E66</f>
        <v>0.71035596846764515</v>
      </c>
      <c r="F67" s="46">
        <f>1/(1+F15)^F66</f>
        <v>0.63382307348238776</v>
      </c>
      <c r="G67" s="46">
        <f>1/(1+G15)^G66</f>
        <v>0.56553574026450681</v>
      </c>
    </row>
    <row r="68" spans="1:7" x14ac:dyDescent="0.3">
      <c r="A68" s="4" t="s">
        <v>290</v>
      </c>
      <c r="B68" s="4"/>
      <c r="C68" s="6">
        <f>C65*C67</f>
        <v>6128.1744368057098</v>
      </c>
      <c r="D68" s="6">
        <f>D65*D67</f>
        <v>5659.3099478244658</v>
      </c>
      <c r="E68" s="6">
        <f>E65*E67</f>
        <v>5226.3181173803841</v>
      </c>
      <c r="F68" s="6">
        <f>F65*F67</f>
        <v>4826.4543408792497</v>
      </c>
      <c r="G68" s="6">
        <f>G65*G67</f>
        <v>4457.184002467131</v>
      </c>
    </row>
    <row r="69" spans="1:7" x14ac:dyDescent="0.3">
      <c r="A69" s="36"/>
      <c r="B69" s="36"/>
      <c r="C69" s="36"/>
      <c r="D69" s="36"/>
      <c r="E69" s="36"/>
      <c r="F69" s="36"/>
      <c r="G69" s="36"/>
    </row>
    <row r="70" spans="1:7" x14ac:dyDescent="0.3">
      <c r="A70" s="2" t="s">
        <v>291</v>
      </c>
      <c r="B70" s="2" t="s">
        <v>78</v>
      </c>
      <c r="C70" s="36"/>
      <c r="D70" s="36"/>
      <c r="E70" s="36"/>
      <c r="F70" s="36"/>
      <c r="G70" s="36"/>
    </row>
    <row r="71" spans="1:7" x14ac:dyDescent="0.3">
      <c r="A71" s="4" t="s">
        <v>292</v>
      </c>
      <c r="B71" s="6">
        <f>SUM(C68:G68)</f>
        <v>26297.440845356941</v>
      </c>
      <c r="C71" s="36"/>
      <c r="D71" s="36"/>
      <c r="E71" s="36"/>
      <c r="F71" s="36"/>
      <c r="G71" s="36"/>
    </row>
    <row r="72" spans="1:7" x14ac:dyDescent="0.3">
      <c r="A72" s="4" t="s">
        <v>293</v>
      </c>
      <c r="B72" s="6">
        <f>G65*(1+G16)</f>
        <v>8157.1952294223647</v>
      </c>
      <c r="C72" s="36"/>
      <c r="D72" s="36"/>
      <c r="E72" s="36"/>
      <c r="F72" s="36"/>
      <c r="G72" s="36"/>
    </row>
    <row r="73" spans="1:7" x14ac:dyDescent="0.3">
      <c r="A73" s="4" t="s">
        <v>294</v>
      </c>
      <c r="B73" s="6">
        <f>B72/(G15-G16)</f>
        <v>95129.813532731292</v>
      </c>
      <c r="C73" s="36"/>
      <c r="D73" s="36"/>
      <c r="E73" s="36"/>
      <c r="F73" s="36"/>
      <c r="G73" s="36"/>
    </row>
    <row r="74" spans="1:7" x14ac:dyDescent="0.3">
      <c r="A74" s="4" t="s">
        <v>295</v>
      </c>
      <c r="B74" s="6">
        <f>B73*G67</f>
        <v>53799.309517457688</v>
      </c>
      <c r="C74" s="36"/>
      <c r="D74" s="36"/>
      <c r="E74" s="36"/>
      <c r="F74" s="36"/>
      <c r="G74" s="36"/>
    </row>
    <row r="75" spans="1:7" x14ac:dyDescent="0.3">
      <c r="A75" s="4" t="s">
        <v>296</v>
      </c>
      <c r="B75" s="6">
        <f>B71+B74</f>
        <v>80096.750362814637</v>
      </c>
      <c r="C75" s="36"/>
      <c r="D75" s="36"/>
      <c r="E75" s="36"/>
      <c r="F75" s="36"/>
      <c r="G75" s="36"/>
    </row>
    <row r="76" spans="1:7" x14ac:dyDescent="0.3">
      <c r="A76" s="4" t="s">
        <v>297</v>
      </c>
      <c r="B76" s="8">
        <f>B74/B75</f>
        <v>0.67167905406602257</v>
      </c>
      <c r="C76" s="36"/>
      <c r="D76" s="36"/>
      <c r="E76" s="36"/>
      <c r="F76" s="36"/>
      <c r="G76" s="36"/>
    </row>
    <row r="77" spans="1:7" x14ac:dyDescent="0.3">
      <c r="A77" s="36"/>
      <c r="B77" s="36"/>
      <c r="C77" s="36"/>
      <c r="D77" s="36"/>
      <c r="E77" s="36"/>
      <c r="F77" s="36"/>
      <c r="G77" s="36"/>
    </row>
    <row r="78" spans="1:7" x14ac:dyDescent="0.3">
      <c r="A78" s="2" t="s">
        <v>298</v>
      </c>
      <c r="B78" s="2" t="s">
        <v>78</v>
      </c>
      <c r="C78" s="36"/>
      <c r="D78" s="36"/>
      <c r="E78" s="36"/>
      <c r="F78" s="36"/>
      <c r="G78" s="36"/>
    </row>
    <row r="79" spans="1:7" x14ac:dyDescent="0.3">
      <c r="A79" s="4" t="s">
        <v>296</v>
      </c>
      <c r="B79" s="6">
        <f>B75</f>
        <v>80096.750362814637</v>
      </c>
      <c r="C79" s="36"/>
      <c r="D79" s="36"/>
      <c r="E79" s="36"/>
      <c r="F79" s="36"/>
      <c r="G79" s="36"/>
    </row>
    <row r="80" spans="1:7" x14ac:dyDescent="0.3">
      <c r="A80" s="4" t="s">
        <v>299</v>
      </c>
      <c r="B80" s="6">
        <f>-B41</f>
        <v>-11500</v>
      </c>
      <c r="C80" s="36"/>
      <c r="D80" s="36"/>
      <c r="E80" s="36"/>
      <c r="F80" s="36"/>
      <c r="G80" s="36"/>
    </row>
    <row r="81" spans="1:7" x14ac:dyDescent="0.3">
      <c r="A81" s="4" t="s">
        <v>300</v>
      </c>
      <c r="B81" s="6">
        <f>-B42</f>
        <v>-12118</v>
      </c>
      <c r="C81" s="36"/>
      <c r="D81" s="36"/>
      <c r="E81" s="36"/>
      <c r="F81" s="36"/>
      <c r="G81" s="36"/>
    </row>
    <row r="82" spans="1:7" x14ac:dyDescent="0.3">
      <c r="A82" s="4" t="s">
        <v>301</v>
      </c>
      <c r="B82" s="6">
        <f>B34</f>
        <v>9295</v>
      </c>
      <c r="C82" s="36"/>
      <c r="D82" s="36"/>
      <c r="E82" s="36"/>
      <c r="F82" s="36"/>
      <c r="G82" s="36"/>
    </row>
    <row r="83" spans="1:7" x14ac:dyDescent="0.3">
      <c r="A83" s="4" t="s">
        <v>302</v>
      </c>
      <c r="B83" s="6">
        <f>SUM(B79:B82)</f>
        <v>65773.750362814637</v>
      </c>
      <c r="C83" s="36"/>
      <c r="D83" s="36"/>
      <c r="E83" s="36"/>
      <c r="F83" s="36"/>
      <c r="G83" s="36"/>
    </row>
    <row r="84" spans="1:7" x14ac:dyDescent="0.3">
      <c r="A84" s="4" t="s">
        <v>57</v>
      </c>
      <c r="B84" s="17">
        <f>Valuación!B40</f>
        <v>1800</v>
      </c>
      <c r="C84" s="36"/>
      <c r="D84" s="36"/>
      <c r="E84" s="36"/>
      <c r="F84" s="36"/>
      <c r="G84" s="36"/>
    </row>
    <row r="85" spans="1:7" x14ac:dyDescent="0.3">
      <c r="A85" s="4" t="s">
        <v>303</v>
      </c>
      <c r="B85" s="25">
        <f>B83/B84</f>
        <v>36.540972423785909</v>
      </c>
      <c r="C85" s="36"/>
      <c r="D85" s="36"/>
      <c r="E85" s="36"/>
      <c r="F85" s="36"/>
      <c r="G85" s="36"/>
    </row>
    <row r="86" spans="1:7" x14ac:dyDescent="0.3">
      <c r="A86" s="4" t="s">
        <v>16</v>
      </c>
      <c r="B86" s="25">
        <f>Valuación!B42</f>
        <v>33.479999999999997</v>
      </c>
      <c r="C86" s="36"/>
      <c r="D86" s="36"/>
      <c r="E86" s="36"/>
      <c r="F86" s="36"/>
      <c r="G86" s="36"/>
    </row>
    <row r="87" spans="1:7" x14ac:dyDescent="0.3">
      <c r="A87" s="4" t="s">
        <v>17</v>
      </c>
      <c r="B87" s="8">
        <f>B85/B86-1</f>
        <v>9.1426894378312751E-2</v>
      </c>
      <c r="C87" s="36"/>
      <c r="D87" s="36"/>
      <c r="E87" s="36"/>
      <c r="F87" s="36"/>
      <c r="G87" s="3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4"/>
  <sheetViews>
    <sheetView zoomScaleNormal="100" workbookViewId="0">
      <pane xSplit="1" topLeftCell="F1" activePane="topRight" state="frozen"/>
      <selection pane="topRight" activeCell="H30" sqref="H30"/>
    </sheetView>
  </sheetViews>
  <sheetFormatPr baseColWidth="10" defaultColWidth="10.6640625" defaultRowHeight="14.4" x14ac:dyDescent="0.3"/>
  <cols>
    <col min="1" max="1" width="61.109375" customWidth="1"/>
    <col min="2" max="5" width="20" customWidth="1"/>
    <col min="6" max="8" width="26.88671875" customWidth="1"/>
    <col min="9" max="10" width="20" customWidth="1"/>
  </cols>
  <sheetData>
    <row r="1" spans="1:10" ht="15" customHeight="1" x14ac:dyDescent="0.3">
      <c r="A1" s="60"/>
      <c r="B1" s="60"/>
      <c r="C1" s="60"/>
      <c r="D1" s="60"/>
      <c r="E1" s="60"/>
      <c r="F1" s="60"/>
      <c r="G1" s="60"/>
      <c r="H1" s="60"/>
      <c r="I1" s="60"/>
    </row>
    <row r="2" spans="1:10" ht="15" customHeight="1" x14ac:dyDescent="0.3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ht="15" customHeight="1" x14ac:dyDescent="0.3">
      <c r="A3" s="61" t="s">
        <v>304</v>
      </c>
      <c r="B3" s="60"/>
      <c r="C3" s="60"/>
      <c r="D3" s="60"/>
      <c r="E3" s="60"/>
      <c r="F3" s="60"/>
      <c r="G3" s="60"/>
      <c r="H3" s="60"/>
      <c r="I3" s="60"/>
      <c r="J3" s="60"/>
    </row>
    <row r="4" spans="1:10" ht="15" customHeight="1" x14ac:dyDescent="0.3">
      <c r="A4" s="48" t="s">
        <v>195</v>
      </c>
      <c r="B4" s="48" t="s">
        <v>305</v>
      </c>
      <c r="C4" s="48" t="s">
        <v>306</v>
      </c>
      <c r="D4" s="48" t="s">
        <v>307</v>
      </c>
      <c r="E4" s="48" t="s">
        <v>308</v>
      </c>
      <c r="F4" s="48" t="s">
        <v>309</v>
      </c>
      <c r="G4" s="48" t="s">
        <v>310</v>
      </c>
      <c r="H4" s="48" t="s">
        <v>311</v>
      </c>
      <c r="I4" s="60"/>
      <c r="J4" s="60"/>
    </row>
    <row r="5" spans="1:10" ht="15" customHeight="1" x14ac:dyDescent="0.3">
      <c r="A5" s="48" t="s">
        <v>312</v>
      </c>
      <c r="B5" s="62">
        <f>I39</f>
        <v>3</v>
      </c>
      <c r="C5" s="62">
        <f>I40</f>
        <v>4</v>
      </c>
      <c r="D5" s="62">
        <f>I41</f>
        <v>5</v>
      </c>
      <c r="E5" s="62">
        <f>I42</f>
        <v>6</v>
      </c>
      <c r="F5" s="63"/>
      <c r="G5" s="63"/>
      <c r="H5" s="55"/>
      <c r="I5" s="60"/>
      <c r="J5" s="60"/>
    </row>
    <row r="6" spans="1:10" ht="15" customHeight="1" x14ac:dyDescent="0.3">
      <c r="A6" s="48" t="s">
        <v>239</v>
      </c>
      <c r="B6" s="63">
        <f>J39</f>
        <v>41995.299999999996</v>
      </c>
      <c r="C6" s="63">
        <f>J40</f>
        <v>41321.199999999997</v>
      </c>
      <c r="D6" s="63">
        <f>J41</f>
        <v>40647.1</v>
      </c>
      <c r="E6" s="63">
        <f>J42</f>
        <v>39973</v>
      </c>
      <c r="F6" s="63">
        <f>SUM(B6:E6)</f>
        <v>163936.6</v>
      </c>
      <c r="G6" s="63">
        <f>SUM(Datos!C6:F6)</f>
        <v>174278</v>
      </c>
      <c r="H6" s="55">
        <f>IFERROR((F6-G6)/ABS(G6),"")</f>
        <v>-5.9338528098784669E-2</v>
      </c>
      <c r="I6" s="60"/>
      <c r="J6" s="60"/>
    </row>
    <row r="7" spans="1:10" ht="15" customHeight="1" x14ac:dyDescent="0.3">
      <c r="A7" s="48" t="s">
        <v>313</v>
      </c>
      <c r="B7" s="63">
        <f>J56</f>
        <v>40013.5</v>
      </c>
      <c r="C7" s="63">
        <f>J57</f>
        <v>39314.799999999996</v>
      </c>
      <c r="D7" s="63">
        <f>J58</f>
        <v>38616.1</v>
      </c>
      <c r="E7" s="63">
        <f>J59</f>
        <v>37917.399999999994</v>
      </c>
      <c r="F7" s="63">
        <f>SUM(B7:E7)</f>
        <v>155861.79999999999</v>
      </c>
      <c r="G7" s="63">
        <f>SUM(Datos!C6:F6)-SUM(Datos!C9:F9)</f>
        <v>166647</v>
      </c>
      <c r="H7" s="55">
        <f>IFERROR((F7-G7)/ABS(G7),"")</f>
        <v>-6.4718836822745152E-2</v>
      </c>
      <c r="I7" s="60"/>
      <c r="J7" s="60"/>
    </row>
    <row r="8" spans="1:10" ht="15" customHeight="1" x14ac:dyDescent="0.3">
      <c r="A8" s="48" t="s">
        <v>314</v>
      </c>
      <c r="B8" s="63">
        <f>B6-B7</f>
        <v>1981.7999999999956</v>
      </c>
      <c r="C8" s="63">
        <f>C6-C7</f>
        <v>2006.4000000000015</v>
      </c>
      <c r="D8" s="63">
        <f>D6-D7</f>
        <v>2031</v>
      </c>
      <c r="E8" s="63">
        <f>E6-E7</f>
        <v>2055.6000000000058</v>
      </c>
      <c r="F8" s="63">
        <f>SUM(B8:E8)</f>
        <v>8074.8000000000029</v>
      </c>
      <c r="G8" s="63">
        <f>G6-G7</f>
        <v>7631</v>
      </c>
      <c r="H8" s="55">
        <f>IFERROR((F8-G8)/ABS(G8),"")</f>
        <v>5.8157515397720211E-2</v>
      </c>
      <c r="I8" s="60"/>
      <c r="J8" s="60"/>
    </row>
    <row r="9" spans="1:10" ht="15" customHeight="1" x14ac:dyDescent="0.3">
      <c r="A9" s="48" t="s">
        <v>232</v>
      </c>
      <c r="B9" s="55">
        <f t="shared" ref="B9:G9" si="0">B8/B6</f>
        <v>4.7190995182794168E-2</v>
      </c>
      <c r="C9" s="55">
        <f t="shared" si="0"/>
        <v>4.8556189074857495E-2</v>
      </c>
      <c r="D9" s="55">
        <f t="shared" si="0"/>
        <v>4.9966664288473225E-2</v>
      </c>
      <c r="E9" s="55">
        <f t="shared" si="0"/>
        <v>5.1424711680384406E-2</v>
      </c>
      <c r="F9" s="55">
        <f t="shared" si="0"/>
        <v>4.9255626870387717E-2</v>
      </c>
      <c r="G9" s="55">
        <f t="shared" si="0"/>
        <v>4.378636431448605E-2</v>
      </c>
      <c r="H9" s="55"/>
      <c r="I9" s="60"/>
      <c r="J9" s="60"/>
    </row>
    <row r="10" spans="1:10" ht="15" customHeight="1" x14ac:dyDescent="0.3">
      <c r="A10" s="48" t="s">
        <v>315</v>
      </c>
      <c r="B10" s="55">
        <f>J73</f>
        <v>0.22485563415533105</v>
      </c>
      <c r="C10" s="55">
        <f>J74</f>
        <v>0.20299652989110364</v>
      </c>
      <c r="D10" s="55">
        <f>J75</f>
        <v>0.18113742562687624</v>
      </c>
      <c r="E10" s="55">
        <f>J76</f>
        <v>0.15927832136264886</v>
      </c>
      <c r="F10" s="55">
        <f>1-F11/F8</f>
        <v>0.19173400730467516</v>
      </c>
      <c r="G10" s="55">
        <f>SUM(Datos!C12:F12)/SUM(Datos!C11:F11)</f>
        <v>0.26947368421052631</v>
      </c>
      <c r="H10" s="55"/>
      <c r="I10" s="60"/>
      <c r="J10" s="60"/>
    </row>
    <row r="11" spans="1:10" ht="15" customHeight="1" x14ac:dyDescent="0.3">
      <c r="A11" s="48" t="s">
        <v>316</v>
      </c>
      <c r="B11" s="63">
        <f>B8*(1-B10)</f>
        <v>1536.1811042309616</v>
      </c>
      <c r="C11" s="63">
        <f>C8*(1-C10)</f>
        <v>1599.1077624264908</v>
      </c>
      <c r="D11" s="63">
        <f>D8*(1-D10)</f>
        <v>1663.1098885518143</v>
      </c>
      <c r="E11" s="63">
        <f>E8*(1-E10)</f>
        <v>1728.1874826069438</v>
      </c>
      <c r="F11" s="63">
        <f>SUM(B11:E11)</f>
        <v>6526.586237816211</v>
      </c>
      <c r="G11" s="63">
        <f>G8*(1-G10)</f>
        <v>5574.6463157894741</v>
      </c>
      <c r="H11" s="55">
        <f>IFERROR((F11-G11)/ABS(G11),"")</f>
        <v>0.17076238887666984</v>
      </c>
      <c r="I11" s="60"/>
      <c r="J11" s="60"/>
    </row>
    <row r="12" spans="1:10" ht="15" customHeight="1" x14ac:dyDescent="0.3">
      <c r="A12" s="48" t="s">
        <v>242</v>
      </c>
      <c r="B12" s="63">
        <f>J90</f>
        <v>1011.854</v>
      </c>
      <c r="C12" s="63">
        <f>J91</f>
        <v>996.75360000000012</v>
      </c>
      <c r="D12" s="63">
        <f>J92</f>
        <v>981.6532000000002</v>
      </c>
      <c r="E12" s="63">
        <f>J93</f>
        <v>966.55280000000027</v>
      </c>
      <c r="F12" s="63">
        <f>SUM(B12:E12)</f>
        <v>3956.8136000000009</v>
      </c>
      <c r="G12" s="63">
        <f>SUM(Datos!C14:F14)</f>
        <v>4179.8710000000001</v>
      </c>
      <c r="H12" s="55">
        <f>IFERROR((F12-G12)/ABS(G12),"")</f>
        <v>-5.3364661253899756E-2</v>
      </c>
      <c r="I12" s="60"/>
      <c r="J12" s="60"/>
    </row>
    <row r="13" spans="1:10" ht="15" customHeight="1" x14ac:dyDescent="0.3">
      <c r="A13" s="48" t="s">
        <v>243</v>
      </c>
      <c r="B13" s="63">
        <f>J107</f>
        <v>798.81999999999994</v>
      </c>
      <c r="C13" s="63">
        <f>J108</f>
        <v>820.7399999999999</v>
      </c>
      <c r="D13" s="63">
        <f>J109</f>
        <v>842.65999999999985</v>
      </c>
      <c r="E13" s="63">
        <f>J110</f>
        <v>864.57999999999981</v>
      </c>
      <c r="F13" s="63">
        <f>SUM(B13:E13)</f>
        <v>3326.7999999999997</v>
      </c>
      <c r="G13" s="63">
        <f>SUM(Datos!C16:F16)</f>
        <v>3002.1</v>
      </c>
      <c r="H13" s="55">
        <f>IFERROR((F13-G13)/ABS(G13),"")</f>
        <v>0.10815762299723521</v>
      </c>
      <c r="I13" s="60"/>
      <c r="J13" s="60"/>
    </row>
    <row r="14" spans="1:10" ht="15" customHeight="1" x14ac:dyDescent="0.3">
      <c r="A14" s="48" t="s">
        <v>317</v>
      </c>
      <c r="B14" s="63">
        <f>J124</f>
        <v>6975.4312000000036</v>
      </c>
      <c r="C14" s="63">
        <f>J125</f>
        <v>6036.114000000005</v>
      </c>
      <c r="D14" s="63">
        <f>J126</f>
        <v>5096.7968000000055</v>
      </c>
      <c r="E14" s="63">
        <f>J127</f>
        <v>4157.479600000006</v>
      </c>
      <c r="F14" s="63">
        <f>E14</f>
        <v>4157.479600000006</v>
      </c>
      <c r="G14" s="63">
        <f>Datos!F19-Datos!F21</f>
        <v>7301.9140000000043</v>
      </c>
      <c r="H14" s="55"/>
      <c r="I14" s="60"/>
      <c r="J14" s="60"/>
    </row>
    <row r="15" spans="1:10" ht="15" customHeight="1" x14ac:dyDescent="0.3">
      <c r="A15" s="48" t="s">
        <v>318</v>
      </c>
      <c r="B15" s="63">
        <f>B14-(Datos!$F$19-Datos!$F$21)</f>
        <v>-326.48280000000068</v>
      </c>
      <c r="C15" s="63">
        <f>C14-B14</f>
        <v>-939.31719999999859</v>
      </c>
      <c r="D15" s="63">
        <f>D14-C14</f>
        <v>-939.3171999999995</v>
      </c>
      <c r="E15" s="63">
        <f>E14-D14</f>
        <v>-939.3171999999995</v>
      </c>
      <c r="F15" s="63">
        <f>SUM(B15:E15)</f>
        <v>-3144.4343999999983</v>
      </c>
      <c r="G15" s="63">
        <f>(Datos!F19-Datos!F21)-(Datos!B19-Datos!B21)</f>
        <v>-3764.0859999999957</v>
      </c>
      <c r="H15" s="55"/>
      <c r="I15" s="60"/>
      <c r="J15" s="60"/>
    </row>
    <row r="16" spans="1:10" ht="15" customHeight="1" x14ac:dyDescent="0.3">
      <c r="A16" s="48" t="s">
        <v>319</v>
      </c>
      <c r="B16" s="63">
        <f t="shared" ref="B16:G16" si="1">B11+B12-B13-B15</f>
        <v>2075.6979042309622</v>
      </c>
      <c r="C16" s="63">
        <f t="shared" si="1"/>
        <v>2714.4385624264896</v>
      </c>
      <c r="D16" s="63">
        <f t="shared" si="1"/>
        <v>2741.4202885518143</v>
      </c>
      <c r="E16" s="63">
        <f t="shared" si="1"/>
        <v>2769.4774826069438</v>
      </c>
      <c r="F16" s="63">
        <f t="shared" si="1"/>
        <v>10301.034237816211</v>
      </c>
      <c r="G16" s="63">
        <f t="shared" si="1"/>
        <v>10516.50331578947</v>
      </c>
      <c r="H16" s="55">
        <f>IFERROR((F16-G16)/ABS(G16),"")</f>
        <v>-2.0488661630501653E-2</v>
      </c>
      <c r="I16" s="60"/>
      <c r="J16" s="60"/>
    </row>
    <row r="17" spans="1:10" ht="15" customHeight="1" x14ac:dyDescent="0.3">
      <c r="A17" s="60"/>
      <c r="B17" s="60"/>
      <c r="C17" s="60"/>
      <c r="D17" s="60"/>
      <c r="E17" s="60"/>
      <c r="F17" s="60"/>
      <c r="G17" s="60"/>
      <c r="H17" s="60"/>
      <c r="I17" s="60"/>
      <c r="J17" s="60"/>
    </row>
    <row r="18" spans="1:10" ht="15" customHeight="1" x14ac:dyDescent="0.3">
      <c r="A18" s="64" t="s">
        <v>320</v>
      </c>
      <c r="B18" s="48"/>
      <c r="C18" s="60"/>
      <c r="D18" s="60"/>
      <c r="E18" s="60"/>
      <c r="F18" s="60"/>
      <c r="G18" s="60"/>
      <c r="H18" s="60"/>
      <c r="I18" s="60"/>
      <c r="J18" s="60"/>
    </row>
    <row r="19" spans="1:10" ht="15" customHeight="1" x14ac:dyDescent="0.3">
      <c r="A19" s="48" t="s">
        <v>321</v>
      </c>
      <c r="B19" s="65">
        <f>'Variables Externas'!H22</f>
        <v>-9.0000000000000011E-3</v>
      </c>
      <c r="C19" s="60"/>
      <c r="D19" s="60"/>
      <c r="E19" s="60"/>
      <c r="F19" s="60"/>
      <c r="G19" s="60"/>
      <c r="H19" s="60"/>
      <c r="I19" s="60"/>
      <c r="J19" s="60"/>
    </row>
    <row r="20" spans="1:10" ht="15" customHeight="1" x14ac:dyDescent="0.3">
      <c r="A20" s="48" t="s">
        <v>322</v>
      </c>
      <c r="B20" s="65">
        <f>'Variables Externas'!I22</f>
        <v>5.1999999999999998E-3</v>
      </c>
      <c r="C20" s="60"/>
      <c r="D20" s="60"/>
      <c r="E20" s="60"/>
      <c r="F20" s="60"/>
      <c r="G20" s="60"/>
      <c r="H20" s="60"/>
      <c r="I20" s="60"/>
      <c r="J20" s="60"/>
    </row>
    <row r="21" spans="1:10" ht="15" customHeight="1" x14ac:dyDescent="0.3">
      <c r="A21" s="48" t="s">
        <v>323</v>
      </c>
      <c r="B21" s="65">
        <f>'Variables Externas'!J22</f>
        <v>2.5000000000000001E-2</v>
      </c>
      <c r="C21" s="60"/>
      <c r="D21" s="60"/>
      <c r="E21" s="60"/>
      <c r="F21" s="60"/>
      <c r="G21" s="60"/>
      <c r="H21" s="60"/>
      <c r="I21" s="60"/>
      <c r="J21" s="60"/>
    </row>
    <row r="22" spans="1:10" ht="15" customHeight="1" x14ac:dyDescent="0.3">
      <c r="A22" s="60"/>
      <c r="B22" s="60"/>
      <c r="C22" s="60"/>
      <c r="D22" s="60"/>
      <c r="E22" s="60"/>
      <c r="F22" s="60"/>
      <c r="G22" s="60"/>
      <c r="H22" s="60"/>
      <c r="I22" s="60"/>
      <c r="J22" s="60"/>
    </row>
    <row r="23" spans="1:10" ht="15" customHeight="1" x14ac:dyDescent="0.3">
      <c r="A23" s="48" t="s">
        <v>195</v>
      </c>
      <c r="B23" s="48" t="s">
        <v>305</v>
      </c>
      <c r="C23" s="48" t="s">
        <v>306</v>
      </c>
      <c r="D23" s="48" t="s">
        <v>307</v>
      </c>
      <c r="E23" s="48" t="s">
        <v>308</v>
      </c>
      <c r="F23" s="48" t="s">
        <v>324</v>
      </c>
      <c r="G23" s="48" t="s">
        <v>325</v>
      </c>
      <c r="H23" s="48" t="s">
        <v>326</v>
      </c>
      <c r="I23" s="60"/>
      <c r="J23" s="60"/>
    </row>
    <row r="24" spans="1:10" ht="15" customHeight="1" x14ac:dyDescent="0.3">
      <c r="A24" s="48" t="s">
        <v>239</v>
      </c>
      <c r="B24" s="63">
        <f>B6*(1+$B$19)</f>
        <v>41617.342299999997</v>
      </c>
      <c r="C24" s="63">
        <f>C6*(1+$B$19)</f>
        <v>40949.309199999996</v>
      </c>
      <c r="D24" s="63">
        <f>D6*(1+$B$19)</f>
        <v>40281.276099999995</v>
      </c>
      <c r="E24" s="63">
        <f>E6*(1+$B$19)</f>
        <v>39613.243000000002</v>
      </c>
      <c r="F24" s="63">
        <f>SUM(B24:E24)</f>
        <v>162461.17060000001</v>
      </c>
      <c r="G24" s="63">
        <f t="shared" ref="G24:G31" si="2">F6</f>
        <v>163936.6</v>
      </c>
      <c r="H24" s="55">
        <f>IFERROR((F24-G24)/ABS(G24),"")</f>
        <v>-8.9999999999999612E-3</v>
      </c>
      <c r="I24" s="60"/>
      <c r="J24" s="60"/>
    </row>
    <row r="25" spans="1:10" ht="15" customHeight="1" x14ac:dyDescent="0.3">
      <c r="A25" s="48" t="s">
        <v>313</v>
      </c>
      <c r="B25" s="63">
        <f>B7*(1+$B$19)*(1+$B$20)</f>
        <v>39859.576068200004</v>
      </c>
      <c r="C25" s="63">
        <f>C7*(1+$B$19)*(1+$B$20)</f>
        <v>39163.563827359998</v>
      </c>
      <c r="D25" s="63">
        <f>D7*(1+$B$19)*(1+$B$20)</f>
        <v>38467.55158652</v>
      </c>
      <c r="E25" s="63">
        <f>E7*(1+$B$19)*(1+$B$20)</f>
        <v>37771.539345679994</v>
      </c>
      <c r="F25" s="63">
        <f>SUM(B25:E25)</f>
        <v>155262.23082776001</v>
      </c>
      <c r="G25" s="63">
        <f t="shared" si="2"/>
        <v>155861.79999999999</v>
      </c>
      <c r="H25" s="55">
        <f>IFERROR((F25-G25)/ABS(G25),"")</f>
        <v>-3.8467999999998643E-3</v>
      </c>
      <c r="I25" s="60"/>
      <c r="J25" s="60"/>
    </row>
    <row r="26" spans="1:10" ht="15" customHeight="1" x14ac:dyDescent="0.3">
      <c r="A26" s="48" t="s">
        <v>314</v>
      </c>
      <c r="B26" s="63">
        <f>B24-B25</f>
        <v>1757.766231799993</v>
      </c>
      <c r="C26" s="63">
        <f>C24-C25</f>
        <v>1785.7453726399981</v>
      </c>
      <c r="D26" s="63">
        <f>D24-D25</f>
        <v>1813.7245134799959</v>
      </c>
      <c r="E26" s="63">
        <f>E24-E25</f>
        <v>1841.7036543200084</v>
      </c>
      <c r="F26" s="63">
        <f>SUM(B26:E26)</f>
        <v>7198.9397722399954</v>
      </c>
      <c r="G26" s="63">
        <f t="shared" si="2"/>
        <v>8074.8000000000029</v>
      </c>
      <c r="H26" s="55">
        <f>IFERROR((F26-G26)/ABS(G26),"")</f>
        <v>-0.10846834940308209</v>
      </c>
      <c r="I26" s="60"/>
      <c r="J26" s="60"/>
    </row>
    <row r="27" spans="1:10" ht="15" customHeight="1" x14ac:dyDescent="0.3">
      <c r="A27" s="48" t="s">
        <v>232</v>
      </c>
      <c r="B27" s="55">
        <f>B26/B24</f>
        <v>4.2236388357744632E-2</v>
      </c>
      <c r="C27" s="55">
        <f>C26/C24</f>
        <v>4.3608681258046678E-2</v>
      </c>
      <c r="D27" s="55">
        <f>D26/D24</f>
        <v>4.5026490942773188E-2</v>
      </c>
      <c r="E27" s="55">
        <f>E26/E24</f>
        <v>4.6492120181122469E-2</v>
      </c>
      <c r="F27" s="55">
        <f>F26/F24</f>
        <v>4.4311756130113684E-2</v>
      </c>
      <c r="G27" s="55">
        <f t="shared" si="2"/>
        <v>4.9255626870387717E-2</v>
      </c>
      <c r="H27" s="55"/>
      <c r="I27" s="60"/>
      <c r="J27" s="60"/>
    </row>
    <row r="28" spans="1:10" ht="15" customHeight="1" x14ac:dyDescent="0.3">
      <c r="A28" s="48" t="s">
        <v>315</v>
      </c>
      <c r="B28" s="55">
        <f>B10</f>
        <v>0.22485563415533105</v>
      </c>
      <c r="C28" s="55">
        <f>C10</f>
        <v>0.20299652989110364</v>
      </c>
      <c r="D28" s="55">
        <f>D10</f>
        <v>0.18113742562687624</v>
      </c>
      <c r="E28" s="55">
        <f>E10</f>
        <v>0.15927832136264886</v>
      </c>
      <c r="F28" s="55">
        <f>1-F29/F26</f>
        <v>0.19164219371009183</v>
      </c>
      <c r="G28" s="55">
        <f t="shared" si="2"/>
        <v>0.19173400730467516</v>
      </c>
      <c r="H28" s="55"/>
      <c r="I28" s="60"/>
      <c r="J28" s="60"/>
    </row>
    <row r="29" spans="1:10" ht="15" customHeight="1" x14ac:dyDescent="0.3">
      <c r="A29" s="48" t="s">
        <v>316</v>
      </c>
      <c r="B29" s="63">
        <f>B26*(1-B28)</f>
        <v>1362.5225910517788</v>
      </c>
      <c r="C29" s="63">
        <f>C26*(1-C28)</f>
        <v>1423.2452587249827</v>
      </c>
      <c r="D29" s="63">
        <f>D26*(1-D28)</f>
        <v>1485.1911243118709</v>
      </c>
      <c r="E29" s="63">
        <f>E26*(1-E28)</f>
        <v>1548.3601878124614</v>
      </c>
      <c r="F29" s="63">
        <f>SUM(B29:E29)</f>
        <v>5819.319161901094</v>
      </c>
      <c r="G29" s="63">
        <f t="shared" si="2"/>
        <v>6526.586237816211</v>
      </c>
      <c r="H29" s="55">
        <f>IFERROR((F29-G29)/ABS(G29),"")</f>
        <v>-0.10836707738834196</v>
      </c>
      <c r="I29" s="60"/>
      <c r="J29" s="60"/>
    </row>
    <row r="30" spans="1:10" ht="15" customHeight="1" x14ac:dyDescent="0.3">
      <c r="A30" s="48" t="s">
        <v>242</v>
      </c>
      <c r="B30" s="63">
        <f>B12</f>
        <v>1011.854</v>
      </c>
      <c r="C30" s="63">
        <f>C12</f>
        <v>996.75360000000012</v>
      </c>
      <c r="D30" s="63">
        <f>D12</f>
        <v>981.6532000000002</v>
      </c>
      <c r="E30" s="63">
        <f>E12</f>
        <v>966.55280000000027</v>
      </c>
      <c r="F30" s="63">
        <f>SUM(B30:E30)</f>
        <v>3956.8136000000009</v>
      </c>
      <c r="G30" s="63">
        <f t="shared" si="2"/>
        <v>3956.8136000000009</v>
      </c>
      <c r="H30" s="55">
        <f>IFERROR((F30-G30)/ABS(G30),"")</f>
        <v>0</v>
      </c>
      <c r="I30" s="60"/>
      <c r="J30" s="60"/>
    </row>
    <row r="31" spans="1:10" ht="15" customHeight="1" x14ac:dyDescent="0.3">
      <c r="A31" s="48" t="s">
        <v>243</v>
      </c>
      <c r="B31" s="63">
        <f>B13*(1+$B$21)</f>
        <v>818.79049999999984</v>
      </c>
      <c r="C31" s="63">
        <f>C13*(1+$B$21)</f>
        <v>841.2584999999998</v>
      </c>
      <c r="D31" s="63">
        <f>D13*(1+$B$21)</f>
        <v>863.72649999999976</v>
      </c>
      <c r="E31" s="63">
        <f>E13*(1+$B$21)</f>
        <v>886.19449999999972</v>
      </c>
      <c r="F31" s="63">
        <f>SUM(B31:E31)</f>
        <v>3409.9699999999989</v>
      </c>
      <c r="G31" s="63">
        <f t="shared" si="2"/>
        <v>3326.7999999999997</v>
      </c>
      <c r="H31" s="55">
        <f>IFERROR((F31-G31)/ABS(G31),"")</f>
        <v>2.4999999999999752E-2</v>
      </c>
      <c r="I31" s="60"/>
      <c r="J31" s="60"/>
    </row>
    <row r="32" spans="1:10" ht="15" customHeight="1" x14ac:dyDescent="0.3">
      <c r="A32" s="48" t="s">
        <v>327</v>
      </c>
      <c r="B32" s="63">
        <f>B15</f>
        <v>-326.48280000000068</v>
      </c>
      <c r="C32" s="63">
        <f>C15</f>
        <v>-939.31719999999859</v>
      </c>
      <c r="D32" s="63">
        <f>D15</f>
        <v>-939.3171999999995</v>
      </c>
      <c r="E32" s="63">
        <f>E15</f>
        <v>-939.3171999999995</v>
      </c>
      <c r="F32" s="63">
        <f>SUM(B32:E32)</f>
        <v>-3144.4343999999983</v>
      </c>
      <c r="G32" s="63">
        <f>F15</f>
        <v>-3144.4343999999983</v>
      </c>
      <c r="H32" s="55"/>
      <c r="I32" s="60"/>
      <c r="J32" s="60"/>
    </row>
    <row r="33" spans="1:10" ht="15" customHeight="1" x14ac:dyDescent="0.3">
      <c r="A33" s="48" t="s">
        <v>328</v>
      </c>
      <c r="B33" s="63">
        <f>B29+B30-B31-B32</f>
        <v>1882.0688910517795</v>
      </c>
      <c r="C33" s="63">
        <f>C29+C30-C31-C32</f>
        <v>2518.0575587249814</v>
      </c>
      <c r="D33" s="63">
        <f>D29+D30-D31-D32</f>
        <v>2542.4350243118706</v>
      </c>
      <c r="E33" s="63">
        <f>E29+E30-E31-E32</f>
        <v>2568.0356878124617</v>
      </c>
      <c r="F33" s="63">
        <f>SUM(B33:E33)</f>
        <v>9510.5971619010925</v>
      </c>
      <c r="G33" s="63">
        <f>F16</f>
        <v>10301.034237816211</v>
      </c>
      <c r="H33" s="55">
        <f>IFERROR((F33-G33)/ABS(G33),"")</f>
        <v>-7.6733758733986024E-2</v>
      </c>
      <c r="I33" s="60"/>
      <c r="J33" s="60"/>
    </row>
    <row r="34" spans="1:10" ht="15" customHeight="1" x14ac:dyDescent="0.3">
      <c r="A34" s="60"/>
      <c r="B34" s="60"/>
      <c r="C34" s="60"/>
      <c r="D34" s="60"/>
      <c r="E34" s="60"/>
      <c r="F34" s="60"/>
      <c r="G34" s="60"/>
      <c r="H34" s="60"/>
      <c r="I34" s="60"/>
      <c r="J34" s="60"/>
    </row>
    <row r="35" spans="1:10" ht="15" customHeight="1" x14ac:dyDescent="0.3">
      <c r="A35" s="61" t="s">
        <v>329</v>
      </c>
      <c r="B35" s="60"/>
      <c r="C35" s="60"/>
      <c r="D35" s="60"/>
      <c r="E35" s="60"/>
      <c r="F35" s="60"/>
      <c r="G35" s="60"/>
      <c r="H35" s="60"/>
      <c r="I35" s="60"/>
      <c r="J35" s="60"/>
    </row>
    <row r="36" spans="1:10" ht="15" customHeight="1" x14ac:dyDescent="0.3">
      <c r="A36" s="60"/>
      <c r="B36" s="60"/>
      <c r="C36" s="60"/>
      <c r="D36" s="60"/>
      <c r="E36" s="60"/>
      <c r="F36" s="60"/>
      <c r="G36" s="60"/>
      <c r="H36" s="60"/>
      <c r="I36" s="60"/>
      <c r="J36" s="60"/>
    </row>
    <row r="37" spans="1:10" ht="15" customHeight="1" x14ac:dyDescent="0.3">
      <c r="A37" s="61" t="s">
        <v>330</v>
      </c>
      <c r="B37" s="60"/>
      <c r="C37" s="60"/>
      <c r="D37" s="60"/>
      <c r="E37" s="60"/>
      <c r="F37" s="60"/>
      <c r="G37" s="60"/>
      <c r="H37" s="60"/>
      <c r="I37" s="60"/>
      <c r="J37" s="60"/>
    </row>
    <row r="38" spans="1:10" ht="15" customHeight="1" x14ac:dyDescent="0.3">
      <c r="A38" s="64" t="s">
        <v>331</v>
      </c>
      <c r="B38" s="64" t="s">
        <v>332</v>
      </c>
      <c r="C38" s="64" t="s">
        <v>333</v>
      </c>
      <c r="D38" s="64" t="s">
        <v>334</v>
      </c>
      <c r="E38" s="64" t="s">
        <v>335</v>
      </c>
      <c r="F38" s="64" t="s">
        <v>336</v>
      </c>
      <c r="G38" s="60"/>
      <c r="H38" s="64" t="s">
        <v>337</v>
      </c>
      <c r="I38" s="64" t="s">
        <v>312</v>
      </c>
      <c r="J38" s="64" t="s">
        <v>338</v>
      </c>
    </row>
    <row r="39" spans="1:10" ht="15" customHeight="1" x14ac:dyDescent="0.3">
      <c r="A39" s="48" t="str">
        <f>Datos!B$5</f>
        <v>2T25</v>
      </c>
      <c r="B39" s="48">
        <v>1</v>
      </c>
      <c r="C39" s="66">
        <f>B39-(COUNT($B$39:$B$43)+1)/2</f>
        <v>-2</v>
      </c>
      <c r="D39" s="63">
        <f>Datos!B6</f>
        <v>45810</v>
      </c>
      <c r="E39" s="63">
        <f>C39*D39</f>
        <v>-91620</v>
      </c>
      <c r="F39" s="67">
        <f>C39^2</f>
        <v>4</v>
      </c>
      <c r="G39" s="60"/>
      <c r="H39" s="48" t="s">
        <v>305</v>
      </c>
      <c r="I39" s="62">
        <f>MAX($C$39:$C$43)+1</f>
        <v>3</v>
      </c>
      <c r="J39" s="68">
        <f>$B$48+$B$47*I39</f>
        <v>41995.299999999996</v>
      </c>
    </row>
    <row r="40" spans="1:10" ht="15" customHeight="1" x14ac:dyDescent="0.3">
      <c r="A40" s="48" t="str">
        <f>Datos!C$5</f>
        <v>3T25</v>
      </c>
      <c r="B40" s="48">
        <v>2</v>
      </c>
      <c r="C40" s="66">
        <f>B40-(COUNT($B$39:$B$43)+1)/2</f>
        <v>-1</v>
      </c>
      <c r="D40" s="63">
        <f>Datos!C6</f>
        <v>42683</v>
      </c>
      <c r="E40" s="63">
        <f>C40*D40</f>
        <v>-42683</v>
      </c>
      <c r="F40" s="67">
        <f>C40^2</f>
        <v>1</v>
      </c>
      <c r="G40" s="60"/>
      <c r="H40" s="48" t="s">
        <v>306</v>
      </c>
      <c r="I40" s="62">
        <f>I39+1</f>
        <v>4</v>
      </c>
      <c r="J40" s="68">
        <f>$B$48+$B$47*I40</f>
        <v>41321.199999999997</v>
      </c>
    </row>
    <row r="41" spans="1:10" ht="15" customHeight="1" x14ac:dyDescent="0.3">
      <c r="A41" s="48" t="str">
        <f>Datos!D$5</f>
        <v>4T25</v>
      </c>
      <c r="B41" s="48">
        <v>3</v>
      </c>
      <c r="C41" s="66">
        <f>B41-(COUNT($B$39:$B$43)+1)/2</f>
        <v>0</v>
      </c>
      <c r="D41" s="63">
        <f>Datos!D6</f>
        <v>47592</v>
      </c>
      <c r="E41" s="63">
        <f>C41*D41</f>
        <v>0</v>
      </c>
      <c r="F41" s="67">
        <f>C41^2</f>
        <v>0</v>
      </c>
      <c r="G41" s="60"/>
      <c r="H41" s="48" t="s">
        <v>307</v>
      </c>
      <c r="I41" s="62">
        <f>I40+1</f>
        <v>5</v>
      </c>
      <c r="J41" s="68">
        <f>$B$48+$B$47*I41</f>
        <v>40647.1</v>
      </c>
    </row>
    <row r="42" spans="1:10" ht="15" customHeight="1" x14ac:dyDescent="0.3">
      <c r="A42" s="48" t="str">
        <f>Datos!E$5</f>
        <v>1T26</v>
      </c>
      <c r="B42" s="48">
        <v>4</v>
      </c>
      <c r="C42" s="66">
        <f>B42-(COUNT($B$39:$B$43)+1)/2</f>
        <v>1</v>
      </c>
      <c r="D42" s="63">
        <f>Datos!E6</f>
        <v>40444</v>
      </c>
      <c r="E42" s="63">
        <f>C42*D42</f>
        <v>40444</v>
      </c>
      <c r="F42" s="67">
        <f>C42^2</f>
        <v>1</v>
      </c>
      <c r="G42" s="60"/>
      <c r="H42" s="48" t="s">
        <v>308</v>
      </c>
      <c r="I42" s="62">
        <f>I41+1</f>
        <v>6</v>
      </c>
      <c r="J42" s="68">
        <f>$B$48+$B$47*I42</f>
        <v>39973</v>
      </c>
    </row>
    <row r="43" spans="1:10" ht="15" customHeight="1" x14ac:dyDescent="0.3">
      <c r="A43" s="48" t="str">
        <f>Datos!F$5</f>
        <v>2T26</v>
      </c>
      <c r="B43" s="48">
        <v>5</v>
      </c>
      <c r="C43" s="66">
        <f>B43-(COUNT($B$39:$B$43)+1)/2</f>
        <v>2</v>
      </c>
      <c r="D43" s="63">
        <f>Datos!F6</f>
        <v>43559</v>
      </c>
      <c r="E43" s="63">
        <f>C43*D43</f>
        <v>87118</v>
      </c>
      <c r="F43" s="67">
        <f>C43^2</f>
        <v>4</v>
      </c>
      <c r="G43" s="60"/>
      <c r="H43" s="60"/>
      <c r="I43" s="60"/>
      <c r="J43" s="60"/>
    </row>
    <row r="44" spans="1:10" ht="15" customHeight="1" x14ac:dyDescent="0.3">
      <c r="A44" s="69" t="s">
        <v>339</v>
      </c>
      <c r="B44" s="69"/>
      <c r="C44" s="70">
        <f>SUM(C39:C43)</f>
        <v>0</v>
      </c>
      <c r="D44" s="68">
        <f>SUM(D39:D43)</f>
        <v>220088</v>
      </c>
      <c r="E44" s="68">
        <f>SUM(E39:E43)</f>
        <v>-6741</v>
      </c>
      <c r="F44" s="71">
        <f>SUM(F39:F43)</f>
        <v>10</v>
      </c>
      <c r="G44" s="60"/>
      <c r="H44" s="60" t="str">
        <f>"Ecuación: Y = "&amp;TEXT(B48,"#,##0.0000")&amp;" + ("&amp;TEXT(B47,"#,##0.0000")&amp;")·X"</f>
        <v>Ecuación: Y = 44,017.6000 + (-674.1000)·X</v>
      </c>
      <c r="I44" s="60"/>
      <c r="J44" s="60"/>
    </row>
    <row r="45" spans="1:10" ht="15" customHeight="1" x14ac:dyDescent="0.3">
      <c r="A45" s="48" t="s">
        <v>340</v>
      </c>
      <c r="B45" s="48">
        <f>COUNT(B39:B43)</f>
        <v>5</v>
      </c>
      <c r="C45" s="60"/>
      <c r="D45" s="60"/>
      <c r="E45" s="60"/>
      <c r="F45" s="60"/>
      <c r="G45" s="60"/>
      <c r="H45" s="60"/>
      <c r="I45" s="60"/>
      <c r="J45" s="60"/>
    </row>
    <row r="46" spans="1:10" ht="15" customHeight="1" x14ac:dyDescent="0.3">
      <c r="A46" s="48" t="s">
        <v>341</v>
      </c>
      <c r="B46" s="66">
        <f>C44/B45</f>
        <v>0</v>
      </c>
      <c r="C46" s="60"/>
      <c r="D46" s="60"/>
      <c r="E46" s="60"/>
      <c r="F46" s="60"/>
      <c r="G46" s="60"/>
      <c r="H46" s="60"/>
      <c r="I46" s="60"/>
      <c r="J46" s="60"/>
    </row>
    <row r="47" spans="1:10" ht="15" customHeight="1" x14ac:dyDescent="0.3">
      <c r="A47" s="48" t="s">
        <v>342</v>
      </c>
      <c r="B47" s="63">
        <f>E44/F44</f>
        <v>-674.1</v>
      </c>
      <c r="C47" s="60"/>
      <c r="D47" s="60"/>
      <c r="E47" s="60"/>
      <c r="F47" s="60"/>
      <c r="G47" s="60"/>
      <c r="H47" s="60"/>
      <c r="I47" s="60"/>
      <c r="J47" s="60"/>
    </row>
    <row r="48" spans="1:10" ht="15" customHeight="1" x14ac:dyDescent="0.3">
      <c r="A48" s="48" t="s">
        <v>343</v>
      </c>
      <c r="B48" s="63">
        <f>D44/B45</f>
        <v>44017.599999999999</v>
      </c>
      <c r="C48" s="60"/>
      <c r="D48" s="60"/>
      <c r="E48" s="60"/>
      <c r="F48" s="60"/>
      <c r="G48" s="60"/>
      <c r="H48" s="60"/>
      <c r="I48" s="60"/>
      <c r="J48" s="60"/>
    </row>
    <row r="49" spans="1:10" ht="15" customHeight="1" x14ac:dyDescent="0.3">
      <c r="A49" s="48" t="s">
        <v>344</v>
      </c>
      <c r="B49" s="72">
        <f>RSQ(D39:D43,C39:C43)</f>
        <v>0.14777048519453659</v>
      </c>
      <c r="C49" s="60"/>
      <c r="D49" s="60"/>
      <c r="E49" s="60"/>
      <c r="F49" s="60"/>
      <c r="G49" s="60"/>
      <c r="H49" s="60"/>
      <c r="I49" s="60"/>
      <c r="J49" s="60"/>
    </row>
    <row r="50" spans="1:10" ht="15" customHeight="1" x14ac:dyDescent="0.3">
      <c r="A50" s="60"/>
      <c r="B50" s="60"/>
      <c r="C50" s="60"/>
      <c r="D50" s="60"/>
      <c r="E50" s="60"/>
      <c r="F50" s="60"/>
      <c r="G50" s="60"/>
      <c r="H50" s="60"/>
      <c r="I50" s="60"/>
      <c r="J50" s="60"/>
    </row>
    <row r="51" spans="1:10" ht="15" customHeight="1" x14ac:dyDescent="0.3">
      <c r="A51" s="60"/>
      <c r="B51" s="60"/>
      <c r="C51" s="60"/>
      <c r="D51" s="60"/>
      <c r="E51" s="60"/>
      <c r="F51" s="60"/>
      <c r="G51" s="60"/>
      <c r="H51" s="60"/>
      <c r="I51" s="60"/>
      <c r="J51" s="60"/>
    </row>
    <row r="52" spans="1:10" ht="15" customHeight="1" x14ac:dyDescent="0.3">
      <c r="A52" s="60"/>
      <c r="B52" s="60"/>
      <c r="C52" s="60"/>
      <c r="D52" s="60"/>
      <c r="E52" s="60"/>
      <c r="F52" s="60"/>
      <c r="G52" s="60"/>
      <c r="H52" s="60"/>
      <c r="I52" s="60"/>
      <c r="J52" s="60"/>
    </row>
    <row r="53" spans="1:10" ht="15" customHeight="1" x14ac:dyDescent="0.3">
      <c r="A53" s="60"/>
      <c r="B53" s="60"/>
      <c r="C53" s="60"/>
      <c r="D53" s="60"/>
      <c r="E53" s="60"/>
      <c r="F53" s="60"/>
      <c r="G53" s="60"/>
      <c r="H53" s="60"/>
      <c r="I53" s="60"/>
      <c r="J53" s="60"/>
    </row>
    <row r="54" spans="1:10" ht="15" customHeight="1" x14ac:dyDescent="0.3">
      <c r="A54" s="61" t="s">
        <v>345</v>
      </c>
      <c r="B54" s="60"/>
      <c r="C54" s="60"/>
      <c r="D54" s="60"/>
      <c r="E54" s="60"/>
      <c r="F54" s="60"/>
      <c r="G54" s="60"/>
      <c r="H54" s="60"/>
      <c r="I54" s="60"/>
      <c r="J54" s="60"/>
    </row>
    <row r="55" spans="1:10" ht="15" customHeight="1" x14ac:dyDescent="0.3">
      <c r="A55" s="64" t="s">
        <v>331</v>
      </c>
      <c r="B55" s="64" t="s">
        <v>332</v>
      </c>
      <c r="C55" s="64" t="s">
        <v>333</v>
      </c>
      <c r="D55" s="64" t="s">
        <v>334</v>
      </c>
      <c r="E55" s="64" t="s">
        <v>335</v>
      </c>
      <c r="F55" s="64" t="s">
        <v>336</v>
      </c>
      <c r="G55" s="60"/>
      <c r="H55" s="64" t="s">
        <v>337</v>
      </c>
      <c r="I55" s="64" t="s">
        <v>312</v>
      </c>
      <c r="J55" s="64" t="s">
        <v>338</v>
      </c>
    </row>
    <row r="56" spans="1:10" ht="15" customHeight="1" x14ac:dyDescent="0.3">
      <c r="A56" s="48" t="str">
        <f>Datos!B$5</f>
        <v>2T25</v>
      </c>
      <c r="B56" s="48">
        <v>1</v>
      </c>
      <c r="C56" s="66">
        <f>B56-(COUNT($B$56:$B$60)+1)/2</f>
        <v>-2</v>
      </c>
      <c r="D56" s="63">
        <f>Datos!B6-Datos!B9</f>
        <v>43901</v>
      </c>
      <c r="E56" s="63">
        <f>C56*D56</f>
        <v>-87802</v>
      </c>
      <c r="F56" s="67">
        <f>C56^2</f>
        <v>4</v>
      </c>
      <c r="G56" s="60"/>
      <c r="H56" s="48" t="s">
        <v>305</v>
      </c>
      <c r="I56" s="62">
        <f>MAX($C$56:$C$60)+1</f>
        <v>3</v>
      </c>
      <c r="J56" s="68">
        <f>$B$65+$B$64*I56</f>
        <v>40013.5</v>
      </c>
    </row>
    <row r="57" spans="1:10" ht="15" customHeight="1" x14ac:dyDescent="0.3">
      <c r="A57" s="48" t="str">
        <f>Datos!C$5</f>
        <v>3T25</v>
      </c>
      <c r="B57" s="48">
        <v>2</v>
      </c>
      <c r="C57" s="66">
        <f>B57-(COUNT($B$56:$B$60)+1)/2</f>
        <v>-1</v>
      </c>
      <c r="D57" s="63">
        <f>Datos!C6-Datos!C9</f>
        <v>41215</v>
      </c>
      <c r="E57" s="63">
        <f>C57*D57</f>
        <v>-41215</v>
      </c>
      <c r="F57" s="67">
        <f>C57^2</f>
        <v>1</v>
      </c>
      <c r="G57" s="60"/>
      <c r="H57" s="48" t="s">
        <v>306</v>
      </c>
      <c r="I57" s="62">
        <f>I56+1</f>
        <v>4</v>
      </c>
      <c r="J57" s="68">
        <f>$B$65+$B$64*I57</f>
        <v>39314.799999999996</v>
      </c>
    </row>
    <row r="58" spans="1:10" ht="15" customHeight="1" x14ac:dyDescent="0.3">
      <c r="A58" s="48" t="str">
        <f>Datos!D$5</f>
        <v>4T25</v>
      </c>
      <c r="B58" s="48">
        <v>3</v>
      </c>
      <c r="C58" s="66">
        <f>B58-(COUNT($B$56:$B$60)+1)/2</f>
        <v>0</v>
      </c>
      <c r="D58" s="63">
        <f>Datos!D6-Datos!D9</f>
        <v>45106</v>
      </c>
      <c r="E58" s="63">
        <f>C58*D58</f>
        <v>0</v>
      </c>
      <c r="F58" s="67">
        <f>C58^2</f>
        <v>0</v>
      </c>
      <c r="G58" s="60"/>
      <c r="H58" s="48" t="s">
        <v>307</v>
      </c>
      <c r="I58" s="62">
        <f>I57+1</f>
        <v>5</v>
      </c>
      <c r="J58" s="68">
        <f>$B$65+$B$64*I58</f>
        <v>38616.1</v>
      </c>
    </row>
    <row r="59" spans="1:10" ht="15" customHeight="1" x14ac:dyDescent="0.3">
      <c r="A59" s="48" t="str">
        <f>Datos!E$5</f>
        <v>1T26</v>
      </c>
      <c r="B59" s="48">
        <v>4</v>
      </c>
      <c r="C59" s="66">
        <f>B59-(COUNT($B$56:$B$60)+1)/2</f>
        <v>1</v>
      </c>
      <c r="D59" s="63">
        <f>Datos!E6-Datos!E9</f>
        <v>38622</v>
      </c>
      <c r="E59" s="63">
        <f>C59*D59</f>
        <v>38622</v>
      </c>
      <c r="F59" s="67">
        <f>C59^2</f>
        <v>1</v>
      </c>
      <c r="G59" s="60"/>
      <c r="H59" s="48" t="s">
        <v>308</v>
      </c>
      <c r="I59" s="62">
        <f>I58+1</f>
        <v>6</v>
      </c>
      <c r="J59" s="68">
        <f>$B$65+$B$64*I59</f>
        <v>37917.399999999994</v>
      </c>
    </row>
    <row r="60" spans="1:10" ht="15" customHeight="1" x14ac:dyDescent="0.3">
      <c r="A60" s="48" t="str">
        <f>Datos!F$5</f>
        <v>2T26</v>
      </c>
      <c r="B60" s="48">
        <v>5</v>
      </c>
      <c r="C60" s="66">
        <f>B60-(COUNT($B$56:$B$60)+1)/2</f>
        <v>2</v>
      </c>
      <c r="D60" s="63">
        <f>Datos!F6-Datos!F9</f>
        <v>41704</v>
      </c>
      <c r="E60" s="63">
        <f>C60*D60</f>
        <v>83408</v>
      </c>
      <c r="F60" s="67">
        <f>C60^2</f>
        <v>4</v>
      </c>
      <c r="G60" s="60"/>
      <c r="H60" s="60"/>
      <c r="I60" s="60"/>
      <c r="J60" s="60"/>
    </row>
    <row r="61" spans="1:10" ht="15" customHeight="1" x14ac:dyDescent="0.3">
      <c r="A61" s="69" t="s">
        <v>339</v>
      </c>
      <c r="B61" s="69"/>
      <c r="C61" s="70">
        <f>SUM(C56:C60)</f>
        <v>0</v>
      </c>
      <c r="D61" s="68">
        <f>SUM(D56:D60)</f>
        <v>210548</v>
      </c>
      <c r="E61" s="68">
        <f>SUM(E56:E60)</f>
        <v>-6987</v>
      </c>
      <c r="F61" s="71">
        <f>SUM(F56:F60)</f>
        <v>10</v>
      </c>
      <c r="G61" s="60"/>
      <c r="H61" s="60" t="str">
        <f>"Ecuación: Y = "&amp;TEXT(B65,"#,##0.0000")&amp;" + ("&amp;TEXT(B64,"#,##0.0000")&amp;")·X"</f>
        <v>Ecuación: Y = 42,109.6000 + (-698.7000)·X</v>
      </c>
      <c r="I61" s="60"/>
      <c r="J61" s="60"/>
    </row>
    <row r="62" spans="1:10" ht="15" customHeight="1" x14ac:dyDescent="0.3">
      <c r="A62" s="48" t="s">
        <v>340</v>
      </c>
      <c r="B62" s="48">
        <f>COUNT(B56:B60)</f>
        <v>5</v>
      </c>
      <c r="C62" s="60"/>
      <c r="D62" s="60"/>
      <c r="E62" s="60"/>
      <c r="F62" s="60"/>
      <c r="G62" s="60"/>
      <c r="H62" s="60"/>
      <c r="I62" s="60"/>
      <c r="J62" s="60"/>
    </row>
    <row r="63" spans="1:10" ht="15" customHeight="1" x14ac:dyDescent="0.3">
      <c r="A63" s="48" t="s">
        <v>341</v>
      </c>
      <c r="B63" s="66">
        <f>C61/B62</f>
        <v>0</v>
      </c>
      <c r="C63" s="60"/>
      <c r="D63" s="60"/>
      <c r="E63" s="60"/>
      <c r="F63" s="60"/>
      <c r="G63" s="60"/>
      <c r="H63" s="60"/>
      <c r="I63" s="60"/>
      <c r="J63" s="60"/>
    </row>
    <row r="64" spans="1:10" ht="15" customHeight="1" x14ac:dyDescent="0.3">
      <c r="A64" s="48" t="s">
        <v>342</v>
      </c>
      <c r="B64" s="63">
        <f>E61/F61</f>
        <v>-698.7</v>
      </c>
      <c r="C64" s="60"/>
      <c r="D64" s="60"/>
      <c r="E64" s="60"/>
      <c r="F64" s="60"/>
      <c r="G64" s="60"/>
      <c r="H64" s="60"/>
      <c r="I64" s="60"/>
      <c r="J64" s="60"/>
    </row>
    <row r="65" spans="1:10" ht="15" customHeight="1" x14ac:dyDescent="0.3">
      <c r="A65" s="48" t="s">
        <v>343</v>
      </c>
      <c r="B65" s="63">
        <f>D61/B62</f>
        <v>42109.599999999999</v>
      </c>
      <c r="C65" s="60"/>
      <c r="D65" s="60"/>
      <c r="E65" s="60"/>
      <c r="F65" s="60"/>
      <c r="G65" s="60"/>
      <c r="H65" s="60"/>
      <c r="I65" s="60"/>
      <c r="J65" s="60"/>
    </row>
    <row r="66" spans="1:10" ht="15" customHeight="1" x14ac:dyDescent="0.3">
      <c r="A66" s="48" t="s">
        <v>344</v>
      </c>
      <c r="B66" s="72">
        <f>RSQ(D56:D60,C56:C60)</f>
        <v>0.19283751460931287</v>
      </c>
      <c r="C66" s="60"/>
      <c r="D66" s="60"/>
      <c r="E66" s="60"/>
      <c r="F66" s="60"/>
      <c r="G66" s="60"/>
      <c r="H66" s="60"/>
      <c r="I66" s="60"/>
      <c r="J66" s="60"/>
    </row>
    <row r="67" spans="1:10" ht="15" customHeight="1" x14ac:dyDescent="0.3">
      <c r="A67" s="60"/>
      <c r="B67" s="60"/>
      <c r="C67" s="60"/>
      <c r="D67" s="60"/>
      <c r="E67" s="60"/>
      <c r="F67" s="60"/>
      <c r="G67" s="60"/>
      <c r="H67" s="60"/>
      <c r="I67" s="60"/>
      <c r="J67" s="60"/>
    </row>
    <row r="68" spans="1:10" ht="15" customHeight="1" x14ac:dyDescent="0.3">
      <c r="A68" s="60"/>
      <c r="B68" s="60"/>
      <c r="C68" s="60"/>
      <c r="D68" s="60"/>
      <c r="E68" s="60"/>
      <c r="F68" s="60"/>
      <c r="G68" s="60"/>
      <c r="H68" s="60"/>
      <c r="I68" s="60"/>
      <c r="J68" s="60"/>
    </row>
    <row r="69" spans="1:10" ht="15" customHeight="1" x14ac:dyDescent="0.3">
      <c r="A69" s="60"/>
      <c r="B69" s="60"/>
      <c r="C69" s="60"/>
      <c r="D69" s="60"/>
      <c r="E69" s="60"/>
      <c r="F69" s="60"/>
      <c r="G69" s="60"/>
      <c r="H69" s="60"/>
      <c r="I69" s="60"/>
      <c r="J69" s="60"/>
    </row>
    <row r="70" spans="1:10" ht="15" customHeight="1" x14ac:dyDescent="0.3">
      <c r="A70" s="60"/>
      <c r="B70" s="60"/>
      <c r="C70" s="60"/>
      <c r="D70" s="60"/>
      <c r="E70" s="60"/>
      <c r="F70" s="60"/>
      <c r="G70" s="60"/>
      <c r="H70" s="60"/>
      <c r="I70" s="60"/>
      <c r="J70" s="60"/>
    </row>
    <row r="71" spans="1:10" ht="15" customHeight="1" x14ac:dyDescent="0.3">
      <c r="A71" s="61" t="s">
        <v>346</v>
      </c>
      <c r="B71" s="60"/>
      <c r="C71" s="60"/>
      <c r="D71" s="60"/>
      <c r="E71" s="60"/>
      <c r="F71" s="60"/>
      <c r="G71" s="60"/>
      <c r="H71" s="60"/>
      <c r="I71" s="60"/>
      <c r="J71" s="60"/>
    </row>
    <row r="72" spans="1:10" ht="15" customHeight="1" x14ac:dyDescent="0.3">
      <c r="A72" s="64" t="s">
        <v>331</v>
      </c>
      <c r="B72" s="64" t="s">
        <v>332</v>
      </c>
      <c r="C72" s="64" t="s">
        <v>333</v>
      </c>
      <c r="D72" s="64" t="s">
        <v>347</v>
      </c>
      <c r="E72" s="64" t="s">
        <v>335</v>
      </c>
      <c r="F72" s="64" t="s">
        <v>336</v>
      </c>
      <c r="G72" s="60"/>
      <c r="H72" s="64" t="s">
        <v>337</v>
      </c>
      <c r="I72" s="64" t="s">
        <v>312</v>
      </c>
      <c r="J72" s="64" t="s">
        <v>338</v>
      </c>
    </row>
    <row r="73" spans="1:10" ht="15" customHeight="1" x14ac:dyDescent="0.3">
      <c r="A73" s="48" t="str">
        <f>Datos!B$5</f>
        <v>2T25</v>
      </c>
      <c r="B73" s="48">
        <v>1</v>
      </c>
      <c r="C73" s="66">
        <f>B73-(COUNT($B$73:$B$77)+1)/2</f>
        <v>-2</v>
      </c>
      <c r="D73" s="73">
        <f>Datos!B12/Datos!B11</f>
        <v>0.38320864505403157</v>
      </c>
      <c r="E73" s="74">
        <f>C73*D73</f>
        <v>-0.76641729010806314</v>
      </c>
      <c r="F73" s="67">
        <f>C73^2</f>
        <v>4</v>
      </c>
      <c r="G73" s="60"/>
      <c r="H73" s="48" t="s">
        <v>305</v>
      </c>
      <c r="I73" s="62">
        <f>MAX($C$73:$C$77)+1</f>
        <v>3</v>
      </c>
      <c r="J73" s="75">
        <f>$B$82+$B$81*I73</f>
        <v>0.22485563415533105</v>
      </c>
    </row>
    <row r="74" spans="1:10" ht="15" customHeight="1" x14ac:dyDescent="0.3">
      <c r="A74" s="48" t="str">
        <f>Datos!C$5</f>
        <v>3T25</v>
      </c>
      <c r="B74" s="48">
        <v>2</v>
      </c>
      <c r="C74" s="66">
        <f>B74-(COUNT($B$73:$B$77)+1)/2</f>
        <v>-1</v>
      </c>
      <c r="D74" s="73">
        <f>Datos!C12/Datos!C11</f>
        <v>0.2342931937172775</v>
      </c>
      <c r="E74" s="74">
        <f>C74*D74</f>
        <v>-0.2342931937172775</v>
      </c>
      <c r="F74" s="67">
        <f>C74^2</f>
        <v>1</v>
      </c>
      <c r="G74" s="60"/>
      <c r="H74" s="48" t="s">
        <v>306</v>
      </c>
      <c r="I74" s="62">
        <f>I73+1</f>
        <v>4</v>
      </c>
      <c r="J74" s="75">
        <f>$B$82+$B$81*I74</f>
        <v>0.20299652989110364</v>
      </c>
    </row>
    <row r="75" spans="1:10" ht="15" customHeight="1" x14ac:dyDescent="0.3">
      <c r="A75" s="48" t="str">
        <f>Datos!D$5</f>
        <v>4T25</v>
      </c>
      <c r="B75" s="48">
        <v>3</v>
      </c>
      <c r="C75" s="66">
        <f>B75-(COUNT($B$73:$B$77)+1)/2</f>
        <v>0</v>
      </c>
      <c r="D75" s="73">
        <f>Datos!D12/Datos!D11</f>
        <v>0.25808281338627342</v>
      </c>
      <c r="E75" s="74">
        <f>C75*D75</f>
        <v>0</v>
      </c>
      <c r="F75" s="67">
        <f>C75^2</f>
        <v>0</v>
      </c>
      <c r="G75" s="60"/>
      <c r="H75" s="48" t="s">
        <v>307</v>
      </c>
      <c r="I75" s="62">
        <f>I74+1</f>
        <v>5</v>
      </c>
      <c r="J75" s="75">
        <f>$B$82+$B$81*I75</f>
        <v>0.18113742562687624</v>
      </c>
    </row>
    <row r="76" spans="1:10" ht="15" customHeight="1" x14ac:dyDescent="0.3">
      <c r="A76" s="48" t="str">
        <f>Datos!E$5</f>
        <v>1T26</v>
      </c>
      <c r="B76" s="48">
        <v>4</v>
      </c>
      <c r="C76" s="66">
        <f>B76-(COUNT($B$73:$B$77)+1)/2</f>
        <v>1</v>
      </c>
      <c r="D76" s="73">
        <f>Datos!E12/Datos!E11</f>
        <v>0.37104072398190047</v>
      </c>
      <c r="E76" s="74">
        <f>C76*D76</f>
        <v>0.37104072398190047</v>
      </c>
      <c r="F76" s="67">
        <f>C76^2</f>
        <v>1</v>
      </c>
      <c r="G76" s="60"/>
      <c r="H76" s="48" t="s">
        <v>308</v>
      </c>
      <c r="I76" s="62">
        <f>I75+1</f>
        <v>6</v>
      </c>
      <c r="J76" s="75">
        <f>$B$82+$B$81*I76</f>
        <v>0.15927832136264886</v>
      </c>
    </row>
    <row r="77" spans="1:10" ht="15" customHeight="1" x14ac:dyDescent="0.3">
      <c r="A77" s="48" t="str">
        <f>Datos!F$5</f>
        <v>2T26</v>
      </c>
      <c r="B77" s="48">
        <v>5</v>
      </c>
      <c r="C77" s="66">
        <f>B77-(COUNT($B$73:$B$77)+1)/2</f>
        <v>2</v>
      </c>
      <c r="D77" s="73">
        <f>Datos!F12/Datos!F11</f>
        <v>0.20553935860058309</v>
      </c>
      <c r="E77" s="74">
        <f>C77*D77</f>
        <v>0.41107871720116618</v>
      </c>
      <c r="F77" s="67">
        <f>C77^2</f>
        <v>4</v>
      </c>
      <c r="G77" s="60"/>
      <c r="H77" s="60"/>
      <c r="I77" s="60"/>
      <c r="J77" s="60"/>
    </row>
    <row r="78" spans="1:10" ht="15" customHeight="1" x14ac:dyDescent="0.3">
      <c r="A78" s="69" t="s">
        <v>339</v>
      </c>
      <c r="B78" s="69"/>
      <c r="C78" s="70">
        <f>SUM(C73:C77)</f>
        <v>0</v>
      </c>
      <c r="D78" s="75">
        <f>SUM(D73:D77)</f>
        <v>1.4521647347400661</v>
      </c>
      <c r="E78" s="76">
        <f>SUM(E73:E77)</f>
        <v>-0.21859104264227402</v>
      </c>
      <c r="F78" s="71">
        <f>SUM(F73:F77)</f>
        <v>10</v>
      </c>
      <c r="G78" s="60"/>
      <c r="H78" s="60" t="str">
        <f>"Ecuación: Y = "&amp;TEXT(B82,"#,##0.0000")&amp;" + ("&amp;TEXT(B81,"#,##0.0000")&amp;")·X"</f>
        <v>Ecuación: Y = 0.2904 + (-0.0219)·X</v>
      </c>
      <c r="I78" s="60"/>
      <c r="J78" s="60"/>
    </row>
    <row r="79" spans="1:10" ht="15" customHeight="1" x14ac:dyDescent="0.3">
      <c r="A79" s="48" t="s">
        <v>340</v>
      </c>
      <c r="B79" s="48">
        <f>COUNT(B73:B77)</f>
        <v>5</v>
      </c>
      <c r="C79" s="60"/>
      <c r="D79" s="60"/>
      <c r="E79" s="60"/>
      <c r="F79" s="60"/>
      <c r="G79" s="60"/>
      <c r="H79" s="60"/>
      <c r="I79" s="60"/>
      <c r="J79" s="60"/>
    </row>
    <row r="80" spans="1:10" ht="15" customHeight="1" x14ac:dyDescent="0.3">
      <c r="A80" s="48" t="s">
        <v>341</v>
      </c>
      <c r="B80" s="66">
        <f>C78/B79</f>
        <v>0</v>
      </c>
      <c r="C80" s="60"/>
      <c r="D80" s="60"/>
      <c r="E80" s="60"/>
      <c r="F80" s="60"/>
      <c r="G80" s="60"/>
      <c r="H80" s="60"/>
      <c r="I80" s="60"/>
      <c r="J80" s="60"/>
    </row>
    <row r="81" spans="1:10" ht="15" customHeight="1" x14ac:dyDescent="0.3">
      <c r="A81" s="48" t="s">
        <v>342</v>
      </c>
      <c r="B81" s="74">
        <f>E78/F78</f>
        <v>-2.1859104264227401E-2</v>
      </c>
      <c r="C81" s="60"/>
      <c r="D81" s="60"/>
      <c r="E81" s="60"/>
      <c r="F81" s="60"/>
      <c r="G81" s="60"/>
      <c r="H81" s="60"/>
      <c r="I81" s="60"/>
      <c r="J81" s="60"/>
    </row>
    <row r="82" spans="1:10" ht="15" customHeight="1" x14ac:dyDescent="0.3">
      <c r="A82" s="48" t="s">
        <v>343</v>
      </c>
      <c r="B82" s="74">
        <f>D78/B79</f>
        <v>0.29043294694801325</v>
      </c>
      <c r="C82" s="60"/>
      <c r="D82" s="60"/>
      <c r="E82" s="60"/>
      <c r="F82" s="60"/>
      <c r="G82" s="60"/>
      <c r="H82" s="60"/>
      <c r="I82" s="60"/>
      <c r="J82" s="60"/>
    </row>
    <row r="83" spans="1:10" ht="15" customHeight="1" x14ac:dyDescent="0.3">
      <c r="A83" s="48" t="s">
        <v>344</v>
      </c>
      <c r="B83" s="72">
        <f>RSQ(D73:D77,C73:C77)</f>
        <v>0.18024111995980038</v>
      </c>
      <c r="C83" s="60"/>
      <c r="D83" s="60"/>
      <c r="E83" s="60"/>
      <c r="F83" s="60"/>
      <c r="G83" s="60"/>
      <c r="H83" s="60"/>
      <c r="I83" s="60"/>
      <c r="J83" s="60"/>
    </row>
    <row r="84" spans="1:10" ht="15" customHeight="1" x14ac:dyDescent="0.3">
      <c r="A84" s="60"/>
      <c r="B84" s="60"/>
      <c r="C84" s="60"/>
      <c r="D84" s="60"/>
      <c r="E84" s="60"/>
      <c r="F84" s="60"/>
      <c r="G84" s="60"/>
      <c r="H84" s="60"/>
      <c r="I84" s="60"/>
      <c r="J84" s="60"/>
    </row>
    <row r="85" spans="1:10" ht="15" customHeight="1" x14ac:dyDescent="0.3">
      <c r="A85" s="60"/>
      <c r="B85" s="60"/>
      <c r="C85" s="60"/>
      <c r="D85" s="60"/>
      <c r="E85" s="60"/>
      <c r="F85" s="60"/>
      <c r="G85" s="60"/>
      <c r="H85" s="60"/>
      <c r="I85" s="60"/>
      <c r="J85" s="60"/>
    </row>
    <row r="86" spans="1:10" ht="15" customHeight="1" x14ac:dyDescent="0.3">
      <c r="A86" s="60"/>
      <c r="B86" s="60"/>
      <c r="C86" s="60"/>
      <c r="D86" s="60"/>
      <c r="E86" s="60"/>
      <c r="F86" s="60"/>
      <c r="G86" s="60"/>
      <c r="H86" s="60"/>
      <c r="I86" s="60"/>
      <c r="J86" s="60"/>
    </row>
    <row r="87" spans="1:10" ht="15" customHeight="1" x14ac:dyDescent="0.3">
      <c r="A87" s="60"/>
      <c r="B87" s="60"/>
      <c r="C87" s="60"/>
      <c r="D87" s="60"/>
      <c r="E87" s="60"/>
      <c r="F87" s="60"/>
      <c r="G87" s="60"/>
      <c r="H87" s="60"/>
      <c r="I87" s="60"/>
      <c r="J87" s="60"/>
    </row>
    <row r="88" spans="1:10" ht="15" customHeight="1" x14ac:dyDescent="0.3">
      <c r="A88" s="61" t="s">
        <v>348</v>
      </c>
      <c r="B88" s="60"/>
      <c r="C88" s="60"/>
      <c r="D88" s="60"/>
      <c r="E88" s="60"/>
      <c r="F88" s="60"/>
      <c r="G88" s="60"/>
      <c r="H88" s="60"/>
      <c r="I88" s="60"/>
      <c r="J88" s="60"/>
    </row>
    <row r="89" spans="1:10" ht="15" customHeight="1" x14ac:dyDescent="0.3">
      <c r="A89" s="64" t="s">
        <v>331</v>
      </c>
      <c r="B89" s="64" t="s">
        <v>332</v>
      </c>
      <c r="C89" s="64" t="s">
        <v>333</v>
      </c>
      <c r="D89" s="64" t="s">
        <v>334</v>
      </c>
      <c r="E89" s="64" t="s">
        <v>335</v>
      </c>
      <c r="F89" s="64" t="s">
        <v>336</v>
      </c>
      <c r="G89" s="60"/>
      <c r="H89" s="64" t="s">
        <v>337</v>
      </c>
      <c r="I89" s="64" t="s">
        <v>312</v>
      </c>
      <c r="J89" s="64" t="s">
        <v>338</v>
      </c>
    </row>
    <row r="90" spans="1:10" ht="15" customHeight="1" x14ac:dyDescent="0.3">
      <c r="A90" s="48" t="str">
        <f>Datos!B$5</f>
        <v>2T25</v>
      </c>
      <c r="B90" s="48">
        <v>1</v>
      </c>
      <c r="C90" s="66">
        <f>B90-(COUNT($B$90:$B$94)+1)/2</f>
        <v>-2</v>
      </c>
      <c r="D90" s="63">
        <f>Datos!B14</f>
        <v>1105.905</v>
      </c>
      <c r="E90" s="63">
        <f>C90*D90</f>
        <v>-2211.81</v>
      </c>
      <c r="F90" s="67">
        <f>C90^2</f>
        <v>4</v>
      </c>
      <c r="G90" s="60"/>
      <c r="H90" s="48" t="s">
        <v>305</v>
      </c>
      <c r="I90" s="62">
        <f>MAX($C$90:$C$94)+1</f>
        <v>3</v>
      </c>
      <c r="J90" s="68">
        <f>$B$99+$B$98*I90</f>
        <v>1011.854</v>
      </c>
    </row>
    <row r="91" spans="1:10" ht="15" customHeight="1" x14ac:dyDescent="0.3">
      <c r="A91" s="48" t="str">
        <f>Datos!C$5</f>
        <v>3T25</v>
      </c>
      <c r="B91" s="48">
        <v>2</v>
      </c>
      <c r="C91" s="66">
        <f>B91-(COUNT($B$90:$B$94)+1)/2</f>
        <v>-1</v>
      </c>
      <c r="D91" s="63">
        <f>Datos!C14</f>
        <v>1049.3489999999999</v>
      </c>
      <c r="E91" s="63">
        <f>C91*D91</f>
        <v>-1049.3489999999999</v>
      </c>
      <c r="F91" s="67">
        <f>C91^2</f>
        <v>1</v>
      </c>
      <c r="G91" s="60"/>
      <c r="H91" s="48" t="s">
        <v>306</v>
      </c>
      <c r="I91" s="62">
        <f>I90+1</f>
        <v>4</v>
      </c>
      <c r="J91" s="68">
        <f>$B$99+$B$98*I91</f>
        <v>996.75360000000012</v>
      </c>
    </row>
    <row r="92" spans="1:10" ht="15" customHeight="1" x14ac:dyDescent="0.3">
      <c r="A92" s="48" t="str">
        <f>Datos!D$5</f>
        <v>4T25</v>
      </c>
      <c r="B92" s="48">
        <v>3</v>
      </c>
      <c r="C92" s="66">
        <f>B92-(COUNT($B$90:$B$94)+1)/2</f>
        <v>0</v>
      </c>
      <c r="D92" s="63">
        <f>Datos!D14</f>
        <v>1051</v>
      </c>
      <c r="E92" s="63">
        <f>C92*D92</f>
        <v>0</v>
      </c>
      <c r="F92" s="67">
        <f>C92^2</f>
        <v>0</v>
      </c>
      <c r="G92" s="60"/>
      <c r="H92" s="48" t="s">
        <v>307</v>
      </c>
      <c r="I92" s="62">
        <f>I91+1</f>
        <v>5</v>
      </c>
      <c r="J92" s="68">
        <f>$B$99+$B$98*I92</f>
        <v>981.6532000000002</v>
      </c>
    </row>
    <row r="93" spans="1:10" ht="15" customHeight="1" x14ac:dyDescent="0.3">
      <c r="A93" s="48" t="str">
        <f>Datos!E$5</f>
        <v>1T26</v>
      </c>
      <c r="B93" s="48">
        <v>4</v>
      </c>
      <c r="C93" s="66">
        <f>B93-(COUNT($B$90:$B$94)+1)/2</f>
        <v>1</v>
      </c>
      <c r="D93" s="63">
        <f>Datos!E14</f>
        <v>1048.8889999999999</v>
      </c>
      <c r="E93" s="63">
        <f>C93*D93</f>
        <v>1048.8889999999999</v>
      </c>
      <c r="F93" s="67">
        <f>C93^2</f>
        <v>1</v>
      </c>
      <c r="G93" s="60"/>
      <c r="H93" s="48" t="s">
        <v>308</v>
      </c>
      <c r="I93" s="62">
        <f>I92+1</f>
        <v>6</v>
      </c>
      <c r="J93" s="68">
        <f>$B$99+$B$98*I93</f>
        <v>966.55280000000027</v>
      </c>
    </row>
    <row r="94" spans="1:10" ht="15" customHeight="1" x14ac:dyDescent="0.3">
      <c r="A94" s="48" t="str">
        <f>Datos!F$5</f>
        <v>2T26</v>
      </c>
      <c r="B94" s="48">
        <v>5</v>
      </c>
      <c r="C94" s="66">
        <f>B94-(COUNT($B$90:$B$94)+1)/2</f>
        <v>2</v>
      </c>
      <c r="D94" s="63">
        <f>Datos!F14</f>
        <v>1030.633</v>
      </c>
      <c r="E94" s="63">
        <f>C94*D94</f>
        <v>2061.2660000000001</v>
      </c>
      <c r="F94" s="67">
        <f>C94^2</f>
        <v>4</v>
      </c>
      <c r="G94" s="60"/>
      <c r="H94" s="60"/>
      <c r="I94" s="60"/>
      <c r="J94" s="60"/>
    </row>
    <row r="95" spans="1:10" ht="15" customHeight="1" x14ac:dyDescent="0.3">
      <c r="A95" s="69" t="s">
        <v>339</v>
      </c>
      <c r="B95" s="69"/>
      <c r="C95" s="70">
        <f>SUM(C90:C94)</f>
        <v>0</v>
      </c>
      <c r="D95" s="68">
        <f>SUM(D90:D94)</f>
        <v>5285.7759999999998</v>
      </c>
      <c r="E95" s="68">
        <f>SUM(E90:E94)</f>
        <v>-151.00399999999945</v>
      </c>
      <c r="F95" s="71">
        <f>SUM(F90:F94)</f>
        <v>10</v>
      </c>
      <c r="G95" s="60"/>
      <c r="H95" s="60" t="str">
        <f>"Ecuación: Y = "&amp;TEXT(B99,"#,##0.0000")&amp;" + ("&amp;TEXT(B98,"#,##0.0000")&amp;")·X"</f>
        <v>Ecuación: Y = 1,057.1552 + (-15.1004)·X</v>
      </c>
      <c r="I95" s="60"/>
      <c r="J95" s="60"/>
    </row>
    <row r="96" spans="1:10" ht="15" customHeight="1" x14ac:dyDescent="0.3">
      <c r="A96" s="48" t="s">
        <v>340</v>
      </c>
      <c r="B96" s="48">
        <f>COUNT(B90:B94)</f>
        <v>5</v>
      </c>
      <c r="C96" s="60"/>
      <c r="D96" s="60"/>
      <c r="E96" s="60"/>
      <c r="F96" s="60"/>
      <c r="G96" s="60"/>
      <c r="H96" s="60"/>
      <c r="I96" s="60"/>
      <c r="J96" s="60"/>
    </row>
    <row r="97" spans="1:10" ht="15" customHeight="1" x14ac:dyDescent="0.3">
      <c r="A97" s="48" t="s">
        <v>341</v>
      </c>
      <c r="B97" s="66">
        <f>C95/B96</f>
        <v>0</v>
      </c>
      <c r="C97" s="60"/>
      <c r="D97" s="60"/>
      <c r="E97" s="60"/>
      <c r="F97" s="60"/>
      <c r="G97" s="60"/>
      <c r="H97" s="60"/>
      <c r="I97" s="60"/>
      <c r="J97" s="60"/>
    </row>
    <row r="98" spans="1:10" ht="15" customHeight="1" x14ac:dyDescent="0.3">
      <c r="A98" s="48" t="s">
        <v>342</v>
      </c>
      <c r="B98" s="63">
        <f>E95/F95</f>
        <v>-15.100399999999945</v>
      </c>
      <c r="C98" s="60"/>
      <c r="D98" s="60"/>
      <c r="E98" s="60"/>
      <c r="F98" s="60"/>
      <c r="G98" s="60"/>
      <c r="H98" s="60"/>
      <c r="I98" s="60"/>
      <c r="J98" s="60"/>
    </row>
    <row r="99" spans="1:10" ht="15" customHeight="1" x14ac:dyDescent="0.3">
      <c r="A99" s="48" t="s">
        <v>343</v>
      </c>
      <c r="B99" s="63">
        <f>D95/B96</f>
        <v>1057.1551999999999</v>
      </c>
      <c r="C99" s="60"/>
      <c r="D99" s="60"/>
      <c r="E99" s="60"/>
      <c r="F99" s="60"/>
      <c r="G99" s="60"/>
      <c r="H99" s="60"/>
      <c r="I99" s="60"/>
      <c r="J99" s="60"/>
    </row>
    <row r="100" spans="1:10" ht="15" customHeight="1" x14ac:dyDescent="0.3">
      <c r="A100" s="48" t="s">
        <v>344</v>
      </c>
      <c r="B100" s="72">
        <f>RSQ(D90:D94,C90:C94)</f>
        <v>0.70222794767769414</v>
      </c>
      <c r="C100" s="60"/>
      <c r="D100" s="60"/>
      <c r="E100" s="60"/>
      <c r="F100" s="60"/>
      <c r="G100" s="60"/>
      <c r="H100" s="60"/>
      <c r="I100" s="60"/>
      <c r="J100" s="60"/>
    </row>
    <row r="101" spans="1:10" ht="15" customHeight="1" x14ac:dyDescent="0.3">
      <c r="A101" s="60"/>
      <c r="B101" s="60"/>
      <c r="C101" s="60"/>
      <c r="D101" s="60"/>
      <c r="E101" s="60"/>
      <c r="F101" s="60"/>
      <c r="G101" s="60"/>
      <c r="H101" s="60"/>
      <c r="I101" s="60"/>
      <c r="J101" s="60"/>
    </row>
    <row r="102" spans="1:10" ht="15" customHeight="1" x14ac:dyDescent="0.3">
      <c r="A102" s="60"/>
      <c r="B102" s="60"/>
      <c r="C102" s="60"/>
      <c r="D102" s="60"/>
      <c r="E102" s="60"/>
      <c r="F102" s="60"/>
      <c r="G102" s="60"/>
      <c r="H102" s="60"/>
      <c r="I102" s="60"/>
      <c r="J102" s="60"/>
    </row>
    <row r="103" spans="1:10" ht="15" customHeight="1" x14ac:dyDescent="0.3">
      <c r="A103" s="60"/>
      <c r="B103" s="60"/>
      <c r="C103" s="60"/>
      <c r="D103" s="60"/>
      <c r="E103" s="60"/>
      <c r="F103" s="60"/>
      <c r="G103" s="60"/>
      <c r="H103" s="60"/>
      <c r="I103" s="60"/>
      <c r="J103" s="60"/>
    </row>
    <row r="104" spans="1:10" ht="15" customHeight="1" x14ac:dyDescent="0.3">
      <c r="A104" s="60"/>
      <c r="B104" s="60"/>
      <c r="C104" s="60"/>
      <c r="D104" s="60"/>
      <c r="E104" s="60"/>
      <c r="F104" s="60"/>
      <c r="G104" s="60"/>
      <c r="H104" s="60"/>
      <c r="I104" s="60"/>
      <c r="J104" s="60"/>
    </row>
    <row r="105" spans="1:10" ht="15" customHeight="1" x14ac:dyDescent="0.3">
      <c r="A105" s="61" t="s">
        <v>349</v>
      </c>
      <c r="B105" s="60"/>
      <c r="C105" s="60"/>
      <c r="D105" s="60"/>
      <c r="E105" s="60"/>
      <c r="F105" s="60"/>
      <c r="G105" s="60"/>
      <c r="H105" s="60"/>
      <c r="I105" s="60"/>
      <c r="J105" s="60"/>
    </row>
    <row r="106" spans="1:10" ht="15" customHeight="1" x14ac:dyDescent="0.3">
      <c r="A106" s="64" t="s">
        <v>331</v>
      </c>
      <c r="B106" s="64" t="s">
        <v>332</v>
      </c>
      <c r="C106" s="64" t="s">
        <v>333</v>
      </c>
      <c r="D106" s="64" t="s">
        <v>334</v>
      </c>
      <c r="E106" s="64" t="s">
        <v>335</v>
      </c>
      <c r="F106" s="64" t="s">
        <v>336</v>
      </c>
      <c r="G106" s="60"/>
      <c r="H106" s="64" t="s">
        <v>337</v>
      </c>
      <c r="I106" s="64" t="s">
        <v>312</v>
      </c>
      <c r="J106" s="64" t="s">
        <v>338</v>
      </c>
    </row>
    <row r="107" spans="1:10" ht="15" customHeight="1" x14ac:dyDescent="0.3">
      <c r="A107" s="48" t="str">
        <f>Datos!B$5</f>
        <v>2T25</v>
      </c>
      <c r="B107" s="48">
        <v>1</v>
      </c>
      <c r="C107" s="66">
        <f>B107-(COUNT($B$107:$B$111)+1)/2</f>
        <v>-2</v>
      </c>
      <c r="D107" s="63">
        <f>Datos!B16</f>
        <v>663.2</v>
      </c>
      <c r="E107" s="63">
        <f>C107*D107</f>
        <v>-1326.4</v>
      </c>
      <c r="F107" s="67">
        <f>C107^2</f>
        <v>4</v>
      </c>
      <c r="G107" s="60"/>
      <c r="H107" s="48" t="s">
        <v>305</v>
      </c>
      <c r="I107" s="62">
        <f>MAX($C$107:$C$111)+1</f>
        <v>3</v>
      </c>
      <c r="J107" s="68">
        <f>$B$116+$B$115*I107</f>
        <v>798.81999999999994</v>
      </c>
    </row>
    <row r="108" spans="1:10" ht="15" customHeight="1" x14ac:dyDescent="0.3">
      <c r="A108" s="48" t="str">
        <f>Datos!C$5</f>
        <v>3T25</v>
      </c>
      <c r="B108" s="48">
        <v>2</v>
      </c>
      <c r="C108" s="66">
        <f>B108-(COUNT($B$107:$B$111)+1)/2</f>
        <v>-1</v>
      </c>
      <c r="D108" s="63">
        <f>Datos!C16</f>
        <v>775.2</v>
      </c>
      <c r="E108" s="63">
        <f>C108*D108</f>
        <v>-775.2</v>
      </c>
      <c r="F108" s="67">
        <f>C108^2</f>
        <v>1</v>
      </c>
      <c r="G108" s="60"/>
      <c r="H108" s="48" t="s">
        <v>306</v>
      </c>
      <c r="I108" s="62">
        <f>I107+1</f>
        <v>4</v>
      </c>
      <c r="J108" s="68">
        <f>$B$116+$B$115*I108</f>
        <v>820.7399999999999</v>
      </c>
    </row>
    <row r="109" spans="1:10" ht="15" customHeight="1" x14ac:dyDescent="0.3">
      <c r="A109" s="48" t="str">
        <f>Datos!D$5</f>
        <v>4T25</v>
      </c>
      <c r="B109" s="48">
        <v>3</v>
      </c>
      <c r="C109" s="66">
        <f>B109-(COUNT($B$107:$B$111)+1)/2</f>
        <v>0</v>
      </c>
      <c r="D109" s="63">
        <f>Datos!D16</f>
        <v>816</v>
      </c>
      <c r="E109" s="63">
        <f>C109*D109</f>
        <v>0</v>
      </c>
      <c r="F109" s="67">
        <f>C109^2</f>
        <v>0</v>
      </c>
      <c r="G109" s="60"/>
      <c r="H109" s="48" t="s">
        <v>307</v>
      </c>
      <c r="I109" s="62">
        <f>I108+1</f>
        <v>5</v>
      </c>
      <c r="J109" s="68">
        <f>$B$116+$B$115*I109</f>
        <v>842.65999999999985</v>
      </c>
    </row>
    <row r="110" spans="1:10" ht="15" customHeight="1" x14ac:dyDescent="0.3">
      <c r="A110" s="48" t="str">
        <f>Datos!E$5</f>
        <v>1T26</v>
      </c>
      <c r="B110" s="48">
        <v>4</v>
      </c>
      <c r="C110" s="66">
        <f>B110-(COUNT($B$107:$B$111)+1)/2</f>
        <v>1</v>
      </c>
      <c r="D110" s="63">
        <f>Datos!E16</f>
        <v>501</v>
      </c>
      <c r="E110" s="63">
        <f>C110*D110</f>
        <v>501</v>
      </c>
      <c r="F110" s="67">
        <f>C110^2</f>
        <v>1</v>
      </c>
      <c r="G110" s="60"/>
      <c r="H110" s="48" t="s">
        <v>308</v>
      </c>
      <c r="I110" s="62">
        <f>I109+1</f>
        <v>6</v>
      </c>
      <c r="J110" s="68">
        <f>$B$116+$B$115*I110</f>
        <v>864.57999999999981</v>
      </c>
    </row>
    <row r="111" spans="1:10" ht="15" customHeight="1" x14ac:dyDescent="0.3">
      <c r="A111" s="48" t="str">
        <f>Datos!F$5</f>
        <v>2T26</v>
      </c>
      <c r="B111" s="48">
        <v>5</v>
      </c>
      <c r="C111" s="66">
        <f>B111-(COUNT($B$107:$B$111)+1)/2</f>
        <v>2</v>
      </c>
      <c r="D111" s="63">
        <f>Datos!F16</f>
        <v>909.9</v>
      </c>
      <c r="E111" s="63">
        <f>C111*D111</f>
        <v>1819.8</v>
      </c>
      <c r="F111" s="67">
        <f>C111^2</f>
        <v>4</v>
      </c>
      <c r="G111" s="60"/>
      <c r="H111" s="60"/>
      <c r="I111" s="60"/>
      <c r="J111" s="60"/>
    </row>
    <row r="112" spans="1:10" ht="15" customHeight="1" x14ac:dyDescent="0.3">
      <c r="A112" s="69" t="s">
        <v>339</v>
      </c>
      <c r="B112" s="69"/>
      <c r="C112" s="70">
        <f>SUM(C107:C111)</f>
        <v>0</v>
      </c>
      <c r="D112" s="68">
        <f>SUM(D107:D111)</f>
        <v>3665.3</v>
      </c>
      <c r="E112" s="68">
        <f>SUM(E107:E111)</f>
        <v>219.19999999999959</v>
      </c>
      <c r="F112" s="71">
        <f>SUM(F107:F111)</f>
        <v>10</v>
      </c>
      <c r="G112" s="60"/>
      <c r="H112" s="60" t="str">
        <f>"Ecuación: Y = "&amp;TEXT(B116,"#,##0.0000")&amp;" + ("&amp;TEXT(B115,"#,##0.0000")&amp;")·X"</f>
        <v>Ecuación: Y = 733.0600 + (21.9200)·X</v>
      </c>
      <c r="I112" s="60"/>
      <c r="J112" s="60"/>
    </row>
    <row r="113" spans="1:10" ht="15" customHeight="1" x14ac:dyDescent="0.3">
      <c r="A113" s="48" t="s">
        <v>340</v>
      </c>
      <c r="B113" s="48">
        <f>COUNT(B107:B111)</f>
        <v>5</v>
      </c>
      <c r="C113" s="60"/>
      <c r="D113" s="60"/>
      <c r="E113" s="60"/>
      <c r="F113" s="60"/>
      <c r="G113" s="60"/>
      <c r="H113" s="60"/>
      <c r="I113" s="60"/>
      <c r="J113" s="60"/>
    </row>
    <row r="114" spans="1:10" ht="15" customHeight="1" x14ac:dyDescent="0.3">
      <c r="A114" s="48" t="s">
        <v>341</v>
      </c>
      <c r="B114" s="66">
        <f>C112/B113</f>
        <v>0</v>
      </c>
      <c r="C114" s="60"/>
      <c r="D114" s="60"/>
      <c r="E114" s="60"/>
      <c r="F114" s="60"/>
      <c r="G114" s="60"/>
      <c r="H114" s="60"/>
      <c r="I114" s="60"/>
      <c r="J114" s="60"/>
    </row>
    <row r="115" spans="1:10" ht="15" customHeight="1" x14ac:dyDescent="0.3">
      <c r="A115" s="48" t="s">
        <v>342</v>
      </c>
      <c r="B115" s="63">
        <f>E112/F112</f>
        <v>21.919999999999959</v>
      </c>
      <c r="C115" s="60"/>
      <c r="D115" s="60"/>
      <c r="E115" s="60"/>
      <c r="F115" s="60"/>
      <c r="G115" s="60"/>
      <c r="H115" s="60"/>
      <c r="I115" s="60"/>
      <c r="J115" s="60"/>
    </row>
    <row r="116" spans="1:10" ht="15" customHeight="1" x14ac:dyDescent="0.3">
      <c r="A116" s="48" t="s">
        <v>343</v>
      </c>
      <c r="B116" s="63">
        <f>D112/B113</f>
        <v>733.06000000000006</v>
      </c>
      <c r="C116" s="60"/>
      <c r="D116" s="60"/>
      <c r="E116" s="60"/>
      <c r="F116" s="60"/>
      <c r="G116" s="60"/>
      <c r="H116" s="60"/>
      <c r="I116" s="60"/>
      <c r="J116" s="60"/>
    </row>
    <row r="117" spans="1:10" ht="15" customHeight="1" x14ac:dyDescent="0.3">
      <c r="A117" s="48" t="s">
        <v>344</v>
      </c>
      <c r="B117" s="72">
        <f>RSQ(D107:D111,C107:C111)</f>
        <v>4.8701497206471898E-2</v>
      </c>
      <c r="C117" s="60"/>
      <c r="D117" s="60"/>
      <c r="E117" s="60"/>
      <c r="F117" s="60"/>
      <c r="G117" s="60"/>
      <c r="H117" s="60"/>
      <c r="I117" s="60"/>
      <c r="J117" s="60"/>
    </row>
    <row r="118" spans="1:10" ht="15" customHeight="1" x14ac:dyDescent="0.3">
      <c r="A118" s="60"/>
      <c r="B118" s="60"/>
      <c r="C118" s="60"/>
      <c r="D118" s="60"/>
      <c r="E118" s="60"/>
      <c r="F118" s="60"/>
      <c r="G118" s="60"/>
      <c r="H118" s="60"/>
      <c r="I118" s="60"/>
      <c r="J118" s="60"/>
    </row>
    <row r="119" spans="1:10" ht="15" customHeight="1" x14ac:dyDescent="0.3">
      <c r="A119" s="60"/>
      <c r="B119" s="60"/>
      <c r="C119" s="60"/>
      <c r="D119" s="60"/>
      <c r="E119" s="60"/>
      <c r="F119" s="60"/>
      <c r="G119" s="60"/>
      <c r="H119" s="60"/>
      <c r="I119" s="60"/>
      <c r="J119" s="60"/>
    </row>
    <row r="120" spans="1:10" ht="15" customHeight="1" x14ac:dyDescent="0.3">
      <c r="A120" s="60"/>
      <c r="B120" s="60"/>
      <c r="C120" s="60"/>
      <c r="D120" s="60"/>
      <c r="E120" s="60"/>
      <c r="F120" s="60"/>
      <c r="G120" s="60"/>
      <c r="H120" s="60"/>
      <c r="I120" s="60"/>
      <c r="J120" s="60"/>
    </row>
    <row r="121" spans="1:10" ht="15" customHeight="1" x14ac:dyDescent="0.3">
      <c r="A121" s="60"/>
      <c r="B121" s="60"/>
      <c r="C121" s="60"/>
      <c r="D121" s="60"/>
      <c r="E121" s="60"/>
      <c r="F121" s="60"/>
      <c r="G121" s="60"/>
      <c r="H121" s="60"/>
      <c r="I121" s="60"/>
      <c r="J121" s="60"/>
    </row>
    <row r="122" spans="1:10" ht="15" customHeight="1" x14ac:dyDescent="0.3">
      <c r="A122" s="61" t="s">
        <v>350</v>
      </c>
      <c r="B122" s="60"/>
      <c r="C122" s="60"/>
      <c r="D122" s="60"/>
      <c r="E122" s="60"/>
      <c r="F122" s="60"/>
      <c r="G122" s="60"/>
      <c r="H122" s="60"/>
      <c r="I122" s="60"/>
      <c r="J122" s="60"/>
    </row>
    <row r="123" spans="1:10" ht="15" customHeight="1" x14ac:dyDescent="0.3">
      <c r="A123" s="64" t="s">
        <v>331</v>
      </c>
      <c r="B123" s="64" t="s">
        <v>332</v>
      </c>
      <c r="C123" s="64" t="s">
        <v>333</v>
      </c>
      <c r="D123" s="64" t="s">
        <v>334</v>
      </c>
      <c r="E123" s="64" t="s">
        <v>335</v>
      </c>
      <c r="F123" s="64" t="s">
        <v>336</v>
      </c>
      <c r="G123" s="60"/>
      <c r="H123" s="64" t="s">
        <v>337</v>
      </c>
      <c r="I123" s="64" t="s">
        <v>312</v>
      </c>
      <c r="J123" s="64" t="s">
        <v>338</v>
      </c>
    </row>
    <row r="124" spans="1:10" ht="15" customHeight="1" x14ac:dyDescent="0.3">
      <c r="A124" s="48" t="str">
        <f>Datos!B$5</f>
        <v>2T25</v>
      </c>
      <c r="B124" s="48">
        <v>1</v>
      </c>
      <c r="C124" s="66">
        <f>B124-(COUNT($B$124:$B$128)+1)/2</f>
        <v>-2</v>
      </c>
      <c r="D124" s="63">
        <f>Datos!B19-Datos!B21</f>
        <v>11066</v>
      </c>
      <c r="E124" s="63">
        <f>C124*D124</f>
        <v>-22132</v>
      </c>
      <c r="F124" s="67">
        <f>C124^2</f>
        <v>4</v>
      </c>
      <c r="G124" s="60"/>
      <c r="H124" s="48" t="s">
        <v>305</v>
      </c>
      <c r="I124" s="62">
        <f>MAX($C$124:$C$128)+1</f>
        <v>3</v>
      </c>
      <c r="J124" s="68">
        <f>$B$133+$B$132*I124</f>
        <v>6975.4312000000036</v>
      </c>
    </row>
    <row r="125" spans="1:10" ht="15" customHeight="1" x14ac:dyDescent="0.3">
      <c r="A125" s="48" t="str">
        <f>Datos!C$5</f>
        <v>3T25</v>
      </c>
      <c r="B125" s="48">
        <v>2</v>
      </c>
      <c r="C125" s="66">
        <f>B125-(COUNT($B$124:$B$128)+1)/2</f>
        <v>-1</v>
      </c>
      <c r="D125" s="63">
        <f>Datos!C19-Datos!C21</f>
        <v>11577</v>
      </c>
      <c r="E125" s="63">
        <f>C125*D125</f>
        <v>-11577</v>
      </c>
      <c r="F125" s="67">
        <f>C125^2</f>
        <v>1</v>
      </c>
      <c r="G125" s="60"/>
      <c r="H125" s="48" t="s">
        <v>306</v>
      </c>
      <c r="I125" s="62">
        <f>I124+1</f>
        <v>4</v>
      </c>
      <c r="J125" s="68">
        <f>$B$133+$B$132*I125</f>
        <v>6036.114000000005</v>
      </c>
    </row>
    <row r="126" spans="1:10" ht="15" customHeight="1" x14ac:dyDescent="0.3">
      <c r="A126" s="48" t="str">
        <f>Datos!D$5</f>
        <v>4T25</v>
      </c>
      <c r="B126" s="48">
        <v>3</v>
      </c>
      <c r="C126" s="66">
        <f>B126-(COUNT($B$124:$B$128)+1)/2</f>
        <v>0</v>
      </c>
      <c r="D126" s="63">
        <f>Datos!D19-Datos!D21</f>
        <v>9310</v>
      </c>
      <c r="E126" s="63">
        <f>C126*D126</f>
        <v>0</v>
      </c>
      <c r="F126" s="67">
        <f>C126^2</f>
        <v>0</v>
      </c>
      <c r="G126" s="60"/>
      <c r="H126" s="48" t="s">
        <v>307</v>
      </c>
      <c r="I126" s="62">
        <f>I125+1</f>
        <v>5</v>
      </c>
      <c r="J126" s="68">
        <f>$B$133+$B$132*I126</f>
        <v>5096.7968000000055</v>
      </c>
    </row>
    <row r="127" spans="1:10" ht="15" customHeight="1" x14ac:dyDescent="0.3">
      <c r="A127" s="48" t="str">
        <f>Datos!E$5</f>
        <v>1T26</v>
      </c>
      <c r="B127" s="48">
        <v>4</v>
      </c>
      <c r="C127" s="66">
        <f>B127-(COUNT($B$124:$B$128)+1)/2</f>
        <v>1</v>
      </c>
      <c r="D127" s="63">
        <f>Datos!E19-Datos!E21</f>
        <v>9712</v>
      </c>
      <c r="E127" s="63">
        <f>C127*D127</f>
        <v>9712</v>
      </c>
      <c r="F127" s="67">
        <f>C127^2</f>
        <v>1</v>
      </c>
      <c r="G127" s="60"/>
      <c r="H127" s="48" t="s">
        <v>308</v>
      </c>
      <c r="I127" s="62">
        <f>I126+1</f>
        <v>6</v>
      </c>
      <c r="J127" s="68">
        <f>$B$133+$B$132*I127</f>
        <v>4157.479600000006</v>
      </c>
    </row>
    <row r="128" spans="1:10" ht="15" customHeight="1" x14ac:dyDescent="0.3">
      <c r="A128" s="48" t="str">
        <f>Datos!F$5</f>
        <v>2T26</v>
      </c>
      <c r="B128" s="48">
        <v>5</v>
      </c>
      <c r="C128" s="66">
        <f>B128-(COUNT($B$124:$B$128)+1)/2</f>
        <v>2</v>
      </c>
      <c r="D128" s="63">
        <f>Datos!F19-Datos!F21</f>
        <v>7301.9140000000043</v>
      </c>
      <c r="E128" s="63">
        <f>C128*D128</f>
        <v>14603.828000000009</v>
      </c>
      <c r="F128" s="67">
        <f>C128^2</f>
        <v>4</v>
      </c>
      <c r="G128" s="60"/>
      <c r="H128" s="60"/>
      <c r="I128" s="60"/>
      <c r="J128" s="60"/>
    </row>
    <row r="129" spans="1:10" ht="15" customHeight="1" x14ac:dyDescent="0.3">
      <c r="A129" s="69" t="s">
        <v>339</v>
      </c>
      <c r="B129" s="69"/>
      <c r="C129" s="70">
        <f>SUM(C124:C128)</f>
        <v>0</v>
      </c>
      <c r="D129" s="68">
        <f>SUM(D124:D128)</f>
        <v>48966.914000000004</v>
      </c>
      <c r="E129" s="68">
        <f>SUM(E124:E128)</f>
        <v>-9393.1719999999914</v>
      </c>
      <c r="F129" s="71">
        <f>SUM(F124:F128)</f>
        <v>10</v>
      </c>
      <c r="G129" s="60"/>
      <c r="H129" s="60" t="str">
        <f>"Ecuación: Y = "&amp;TEXT(B133,"#,##0.0000")&amp;" + ("&amp;TEXT(B132,"#,##0.0000")&amp;")·X"</f>
        <v>Ecuación: Y = 9,793.3828 + (-939.3172)·X</v>
      </c>
      <c r="I129" s="60"/>
      <c r="J129" s="60"/>
    </row>
    <row r="130" spans="1:10" ht="15" customHeight="1" x14ac:dyDescent="0.3">
      <c r="A130" s="48" t="s">
        <v>340</v>
      </c>
      <c r="B130" s="48">
        <f>COUNT(B124:B128)</f>
        <v>5</v>
      </c>
      <c r="C130" s="60"/>
      <c r="D130" s="60"/>
      <c r="E130" s="60"/>
      <c r="F130" s="60"/>
      <c r="G130" s="60"/>
      <c r="H130" s="60"/>
      <c r="I130" s="60"/>
      <c r="J130" s="60"/>
    </row>
    <row r="131" spans="1:10" ht="15" customHeight="1" x14ac:dyDescent="0.3">
      <c r="A131" s="48" t="s">
        <v>341</v>
      </c>
      <c r="B131" s="66">
        <f>C129/B130</f>
        <v>0</v>
      </c>
      <c r="C131" s="60"/>
      <c r="D131" s="60"/>
      <c r="E131" s="60"/>
      <c r="F131" s="60"/>
      <c r="G131" s="60"/>
      <c r="H131" s="60"/>
      <c r="I131" s="60"/>
      <c r="J131" s="60"/>
    </row>
    <row r="132" spans="1:10" ht="15" customHeight="1" x14ac:dyDescent="0.3">
      <c r="A132" s="48" t="s">
        <v>342</v>
      </c>
      <c r="B132" s="63">
        <f>E129/F129</f>
        <v>-939.31719999999916</v>
      </c>
      <c r="C132" s="60"/>
      <c r="D132" s="60"/>
      <c r="E132" s="60"/>
      <c r="F132" s="60"/>
      <c r="G132" s="60"/>
      <c r="H132" s="60"/>
      <c r="I132" s="60"/>
      <c r="J132" s="60"/>
    </row>
    <row r="133" spans="1:10" ht="15" customHeight="1" x14ac:dyDescent="0.3">
      <c r="A133" s="48" t="s">
        <v>343</v>
      </c>
      <c r="B133" s="63">
        <f>D129/B130</f>
        <v>9793.3828000000012</v>
      </c>
      <c r="C133" s="60"/>
      <c r="D133" s="60"/>
      <c r="E133" s="60"/>
      <c r="F133" s="60"/>
      <c r="G133" s="60"/>
      <c r="H133" s="60"/>
      <c r="I133" s="60"/>
      <c r="J133" s="60"/>
    </row>
    <row r="134" spans="1:10" ht="15" customHeight="1" x14ac:dyDescent="0.3">
      <c r="A134" s="48" t="s">
        <v>344</v>
      </c>
      <c r="B134" s="72">
        <f>RSQ(D124:D128,C124:C128)</f>
        <v>0.78438313763249112</v>
      </c>
      <c r="C134" s="60"/>
      <c r="D134" s="60"/>
      <c r="E134" s="60"/>
      <c r="F134" s="60"/>
      <c r="G134" s="60"/>
      <c r="H134" s="60"/>
      <c r="I134" s="60"/>
      <c r="J134" s="6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zoomScaleNormal="100" workbookViewId="0">
      <pane ySplit="4" topLeftCell="A5" activePane="bottomLeft" state="frozen"/>
      <selection pane="bottomLeft" activeCell="A24" sqref="A24"/>
    </sheetView>
  </sheetViews>
  <sheetFormatPr baseColWidth="10" defaultColWidth="10.6640625" defaultRowHeight="14.4" x14ac:dyDescent="0.3"/>
  <cols>
    <col min="1" max="1" width="4.6640625" customWidth="1"/>
    <col min="2" max="2" width="22.33203125" customWidth="1"/>
    <col min="3" max="3" width="25.88671875" customWidth="1"/>
    <col min="4" max="5" width="48.109375" customWidth="1"/>
    <col min="6" max="6" width="20.33203125" customWidth="1"/>
    <col min="7" max="7" width="11.109375" customWidth="1"/>
    <col min="8" max="10" width="14.6640625" customWidth="1"/>
  </cols>
  <sheetData>
    <row r="1" spans="1:10" ht="18.75" customHeight="1" x14ac:dyDescent="0.35">
      <c r="A1" s="14"/>
    </row>
    <row r="2" spans="1:10" x14ac:dyDescent="0.3">
      <c r="A2" s="77"/>
    </row>
    <row r="4" spans="1:10" ht="31.5" customHeight="1" x14ac:dyDescent="0.3">
      <c r="A4" s="78" t="s">
        <v>351</v>
      </c>
      <c r="B4" s="78" t="s">
        <v>352</v>
      </c>
      <c r="C4" s="78" t="s">
        <v>353</v>
      </c>
      <c r="D4" s="78" t="s">
        <v>354</v>
      </c>
      <c r="E4" s="78" t="s">
        <v>355</v>
      </c>
      <c r="F4" s="78" t="s">
        <v>356</v>
      </c>
      <c r="G4" s="78" t="s">
        <v>357</v>
      </c>
      <c r="H4" s="79" t="s">
        <v>358</v>
      </c>
      <c r="I4" s="79" t="s">
        <v>359</v>
      </c>
      <c r="J4" s="79" t="s">
        <v>360</v>
      </c>
    </row>
    <row r="5" spans="1:10" ht="48" customHeight="1" x14ac:dyDescent="0.3">
      <c r="A5" s="80">
        <v>1</v>
      </c>
      <c r="B5" s="81" t="s">
        <v>361</v>
      </c>
      <c r="C5" s="81" t="s">
        <v>362</v>
      </c>
      <c r="D5" s="81" t="s">
        <v>363</v>
      </c>
      <c r="E5" s="81" t="s">
        <v>364</v>
      </c>
      <c r="F5" s="81" t="s">
        <v>239</v>
      </c>
      <c r="G5" s="80" t="s">
        <v>365</v>
      </c>
      <c r="H5" s="82">
        <v>5.0000000000000001E-3</v>
      </c>
      <c r="I5" s="82">
        <v>0</v>
      </c>
      <c r="J5" s="82">
        <v>0</v>
      </c>
    </row>
    <row r="6" spans="1:10" ht="48" customHeight="1" x14ac:dyDescent="0.3">
      <c r="A6" s="80">
        <v>2</v>
      </c>
      <c r="B6" s="81" t="s">
        <v>361</v>
      </c>
      <c r="C6" s="81" t="s">
        <v>366</v>
      </c>
      <c r="D6" s="81" t="s">
        <v>367</v>
      </c>
      <c r="E6" s="81" t="s">
        <v>368</v>
      </c>
      <c r="F6" s="81" t="s">
        <v>369</v>
      </c>
      <c r="G6" s="80" t="s">
        <v>138</v>
      </c>
      <c r="H6" s="82">
        <v>0</v>
      </c>
      <c r="I6" s="82">
        <v>0</v>
      </c>
      <c r="J6" s="82">
        <v>0</v>
      </c>
    </row>
    <row r="7" spans="1:10" ht="31.5" customHeight="1" x14ac:dyDescent="0.3">
      <c r="A7" s="80">
        <v>3</v>
      </c>
      <c r="B7" s="81" t="s">
        <v>370</v>
      </c>
      <c r="C7" s="81" t="s">
        <v>371</v>
      </c>
      <c r="D7" s="81" t="s">
        <v>372</v>
      </c>
      <c r="E7" s="81" t="s">
        <v>373</v>
      </c>
      <c r="F7" s="81" t="s">
        <v>374</v>
      </c>
      <c r="G7" s="80" t="s">
        <v>375</v>
      </c>
      <c r="H7" s="82">
        <v>0</v>
      </c>
      <c r="I7" s="82">
        <v>0</v>
      </c>
      <c r="J7" s="82">
        <v>0</v>
      </c>
    </row>
    <row r="8" spans="1:10" ht="31.5" customHeight="1" x14ac:dyDescent="0.3">
      <c r="A8" s="80">
        <v>4</v>
      </c>
      <c r="B8" s="81" t="s">
        <v>361</v>
      </c>
      <c r="C8" s="81" t="s">
        <v>376</v>
      </c>
      <c r="D8" s="81" t="s">
        <v>377</v>
      </c>
      <c r="E8" s="81" t="s">
        <v>378</v>
      </c>
      <c r="F8" s="81" t="s">
        <v>379</v>
      </c>
      <c r="G8" s="80" t="s">
        <v>380</v>
      </c>
      <c r="H8" s="82">
        <v>0</v>
      </c>
      <c r="I8" s="82">
        <v>1E-3</v>
      </c>
      <c r="J8" s="82">
        <v>0.01</v>
      </c>
    </row>
    <row r="9" spans="1:10" ht="31.5" customHeight="1" x14ac:dyDescent="0.3">
      <c r="A9" s="80">
        <v>5</v>
      </c>
      <c r="B9" s="81" t="s">
        <v>361</v>
      </c>
      <c r="C9" s="81" t="s">
        <v>381</v>
      </c>
      <c r="D9" s="81" t="s">
        <v>382</v>
      </c>
      <c r="E9" s="81" t="s">
        <v>383</v>
      </c>
      <c r="F9" s="81" t="s">
        <v>239</v>
      </c>
      <c r="G9" s="80" t="s">
        <v>380</v>
      </c>
      <c r="H9" s="82">
        <v>-3.0000000000000001E-3</v>
      </c>
      <c r="I9" s="82">
        <v>0</v>
      </c>
      <c r="J9" s="82">
        <v>0</v>
      </c>
    </row>
    <row r="10" spans="1:10" ht="31.5" customHeight="1" x14ac:dyDescent="0.3">
      <c r="A10" s="80">
        <v>6</v>
      </c>
      <c r="B10" s="81" t="s">
        <v>384</v>
      </c>
      <c r="C10" s="81" t="s">
        <v>385</v>
      </c>
      <c r="D10" s="81" t="s">
        <v>386</v>
      </c>
      <c r="E10" s="81" t="s">
        <v>387</v>
      </c>
      <c r="F10" s="81" t="s">
        <v>388</v>
      </c>
      <c r="G10" s="80" t="s">
        <v>389</v>
      </c>
      <c r="H10" s="82">
        <v>2E-3</v>
      </c>
      <c r="I10" s="82">
        <v>1.5E-3</v>
      </c>
      <c r="J10" s="82">
        <v>0</v>
      </c>
    </row>
    <row r="11" spans="1:10" ht="31.5" customHeight="1" x14ac:dyDescent="0.3">
      <c r="A11" s="80">
        <v>7</v>
      </c>
      <c r="B11" s="81" t="s">
        <v>384</v>
      </c>
      <c r="C11" s="81" t="s">
        <v>390</v>
      </c>
      <c r="D11" s="81" t="s">
        <v>391</v>
      </c>
      <c r="E11" s="81" t="s">
        <v>392</v>
      </c>
      <c r="F11" s="81" t="s">
        <v>393</v>
      </c>
      <c r="G11" s="80" t="s">
        <v>380</v>
      </c>
      <c r="H11" s="82">
        <v>0</v>
      </c>
      <c r="I11" s="82">
        <v>5.0000000000000001E-4</v>
      </c>
      <c r="J11" s="82">
        <v>0</v>
      </c>
    </row>
    <row r="12" spans="1:10" ht="31.5" customHeight="1" x14ac:dyDescent="0.3">
      <c r="A12" s="80">
        <v>8</v>
      </c>
      <c r="B12" s="81" t="s">
        <v>394</v>
      </c>
      <c r="C12" s="81" t="s">
        <v>395</v>
      </c>
      <c r="D12" s="81" t="s">
        <v>396</v>
      </c>
      <c r="E12" s="81" t="s">
        <v>397</v>
      </c>
      <c r="F12" s="81" t="s">
        <v>239</v>
      </c>
      <c r="G12" s="80" t="s">
        <v>380</v>
      </c>
      <c r="H12" s="82">
        <v>-2E-3</v>
      </c>
      <c r="I12" s="82">
        <v>0</v>
      </c>
      <c r="J12" s="82">
        <v>0</v>
      </c>
    </row>
    <row r="13" spans="1:10" ht="31.5" customHeight="1" x14ac:dyDescent="0.3">
      <c r="A13" s="80">
        <v>9</v>
      </c>
      <c r="B13" s="81" t="s">
        <v>398</v>
      </c>
      <c r="C13" s="81" t="s">
        <v>399</v>
      </c>
      <c r="D13" s="81" t="s">
        <v>400</v>
      </c>
      <c r="E13" s="81" t="s">
        <v>401</v>
      </c>
      <c r="F13" s="81" t="s">
        <v>379</v>
      </c>
      <c r="G13" s="80" t="s">
        <v>380</v>
      </c>
      <c r="H13" s="82">
        <v>0</v>
      </c>
      <c r="I13" s="82">
        <v>5.0000000000000001E-4</v>
      </c>
      <c r="J13" s="82">
        <v>5.0000000000000001E-3</v>
      </c>
    </row>
    <row r="14" spans="1:10" ht="48" customHeight="1" x14ac:dyDescent="0.3">
      <c r="A14" s="80">
        <v>10</v>
      </c>
      <c r="B14" s="81" t="s">
        <v>402</v>
      </c>
      <c r="C14" s="81" t="s">
        <v>403</v>
      </c>
      <c r="D14" s="81" t="s">
        <v>404</v>
      </c>
      <c r="E14" s="81" t="s">
        <v>405</v>
      </c>
      <c r="F14" s="81" t="s">
        <v>239</v>
      </c>
      <c r="G14" s="80" t="s">
        <v>380</v>
      </c>
      <c r="H14" s="82">
        <v>-3.0000000000000001E-3</v>
      </c>
      <c r="I14" s="82">
        <v>0</v>
      </c>
      <c r="J14" s="82">
        <v>0</v>
      </c>
    </row>
    <row r="15" spans="1:10" ht="48" customHeight="1" x14ac:dyDescent="0.3">
      <c r="A15" s="80">
        <v>11</v>
      </c>
      <c r="B15" s="81" t="s">
        <v>406</v>
      </c>
      <c r="C15" s="81" t="s">
        <v>407</v>
      </c>
      <c r="D15" s="81" t="s">
        <v>408</v>
      </c>
      <c r="E15" s="81" t="s">
        <v>409</v>
      </c>
      <c r="F15" s="81" t="s">
        <v>239</v>
      </c>
      <c r="G15" s="80" t="s">
        <v>380</v>
      </c>
      <c r="H15" s="82">
        <v>-2E-3</v>
      </c>
      <c r="I15" s="82">
        <v>0</v>
      </c>
      <c r="J15" s="82">
        <v>0</v>
      </c>
    </row>
    <row r="16" spans="1:10" ht="31.5" customHeight="1" x14ac:dyDescent="0.3">
      <c r="A16" s="80">
        <v>12</v>
      </c>
      <c r="B16" s="81" t="s">
        <v>410</v>
      </c>
      <c r="C16" s="81" t="s">
        <v>411</v>
      </c>
      <c r="D16" s="81" t="s">
        <v>412</v>
      </c>
      <c r="E16" s="81" t="s">
        <v>413</v>
      </c>
      <c r="F16" s="81" t="s">
        <v>393</v>
      </c>
      <c r="G16" s="80" t="s">
        <v>380</v>
      </c>
      <c r="H16" s="82">
        <v>0</v>
      </c>
      <c r="I16" s="82">
        <v>5.0000000000000001E-4</v>
      </c>
      <c r="J16" s="82">
        <v>0</v>
      </c>
    </row>
    <row r="17" spans="1:10" ht="48" customHeight="1" x14ac:dyDescent="0.3">
      <c r="A17" s="80">
        <v>13</v>
      </c>
      <c r="B17" s="81" t="s">
        <v>414</v>
      </c>
      <c r="C17" s="81" t="s">
        <v>415</v>
      </c>
      <c r="D17" s="81" t="s">
        <v>416</v>
      </c>
      <c r="E17" s="81" t="s">
        <v>417</v>
      </c>
      <c r="F17" s="81" t="s">
        <v>239</v>
      </c>
      <c r="G17" s="80" t="s">
        <v>380</v>
      </c>
      <c r="H17" s="82">
        <v>-5.0000000000000001E-3</v>
      </c>
      <c r="I17" s="82">
        <v>0</v>
      </c>
      <c r="J17" s="82">
        <v>0</v>
      </c>
    </row>
    <row r="18" spans="1:10" ht="31.5" customHeight="1" x14ac:dyDescent="0.3">
      <c r="A18" s="80">
        <v>14</v>
      </c>
      <c r="B18" s="81" t="s">
        <v>418</v>
      </c>
      <c r="C18" s="81" t="s">
        <v>419</v>
      </c>
      <c r="D18" s="81" t="s">
        <v>420</v>
      </c>
      <c r="E18" s="81" t="s">
        <v>421</v>
      </c>
      <c r="F18" s="81" t="s">
        <v>422</v>
      </c>
      <c r="G18" s="80" t="s">
        <v>380</v>
      </c>
      <c r="H18" s="82">
        <v>-5.0000000000000001E-3</v>
      </c>
      <c r="I18" s="82">
        <v>1E-3</v>
      </c>
      <c r="J18" s="82">
        <v>0</v>
      </c>
    </row>
    <row r="19" spans="1:10" ht="48" customHeight="1" x14ac:dyDescent="0.3">
      <c r="A19" s="80">
        <v>15</v>
      </c>
      <c r="B19" s="81" t="s">
        <v>418</v>
      </c>
      <c r="C19" s="81" t="s">
        <v>423</v>
      </c>
      <c r="D19" s="81" t="s">
        <v>424</v>
      </c>
      <c r="E19" s="81" t="s">
        <v>425</v>
      </c>
      <c r="F19" s="81" t="s">
        <v>426</v>
      </c>
      <c r="G19" s="80" t="s">
        <v>389</v>
      </c>
      <c r="H19" s="82">
        <v>2E-3</v>
      </c>
      <c r="I19" s="82">
        <v>0</v>
      </c>
      <c r="J19" s="82">
        <v>0.01</v>
      </c>
    </row>
    <row r="20" spans="1:10" ht="48" customHeight="1" x14ac:dyDescent="0.3">
      <c r="A20" s="80">
        <v>16</v>
      </c>
      <c r="B20" s="81" t="s">
        <v>427</v>
      </c>
      <c r="C20" s="81" t="s">
        <v>428</v>
      </c>
      <c r="D20" s="81" t="s">
        <v>429</v>
      </c>
      <c r="E20" s="81" t="s">
        <v>430</v>
      </c>
      <c r="F20" s="81" t="s">
        <v>431</v>
      </c>
      <c r="G20" s="80" t="s">
        <v>389</v>
      </c>
      <c r="H20" s="82">
        <v>1E-3</v>
      </c>
      <c r="I20" s="82">
        <v>2.0000000000000001E-4</v>
      </c>
      <c r="J20" s="82">
        <v>0</v>
      </c>
    </row>
    <row r="21" spans="1:10" ht="48" customHeight="1" x14ac:dyDescent="0.3">
      <c r="A21" s="80">
        <v>17</v>
      </c>
      <c r="B21" s="81" t="s">
        <v>427</v>
      </c>
      <c r="C21" s="81" t="s">
        <v>432</v>
      </c>
      <c r="D21" s="81" t="s">
        <v>433</v>
      </c>
      <c r="E21" s="81" t="s">
        <v>434</v>
      </c>
      <c r="F21" s="81" t="s">
        <v>435</v>
      </c>
      <c r="G21" s="80" t="s">
        <v>365</v>
      </c>
      <c r="H21" s="82">
        <v>1E-3</v>
      </c>
      <c r="I21" s="82">
        <v>0</v>
      </c>
      <c r="J21" s="82">
        <v>0</v>
      </c>
    </row>
    <row r="22" spans="1:10" x14ac:dyDescent="0.3">
      <c r="A22" s="83" t="s">
        <v>436</v>
      </c>
      <c r="B22" s="83"/>
      <c r="C22" s="83" t="s">
        <v>437</v>
      </c>
      <c r="D22" s="83"/>
      <c r="E22" s="83"/>
      <c r="F22" s="83"/>
      <c r="G22" s="83"/>
      <c r="H22" s="84">
        <f>SUM(H5:H21)</f>
        <v>-9.0000000000000011E-3</v>
      </c>
      <c r="I22" s="84">
        <f>SUM(I5:I21)</f>
        <v>5.1999999999999998E-3</v>
      </c>
      <c r="J22" s="84">
        <f>SUM(J5:J21)</f>
        <v>2.5000000000000001E-2</v>
      </c>
    </row>
    <row r="24" spans="1:10" x14ac:dyDescent="0.3">
      <c r="A24" s="15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0"/>
  <sheetViews>
    <sheetView topLeftCell="A266" zoomScaleNormal="100" workbookViewId="0">
      <selection activeCell="C202" sqref="C202"/>
    </sheetView>
  </sheetViews>
  <sheetFormatPr baseColWidth="10" defaultColWidth="10.6640625" defaultRowHeight="14.4" x14ac:dyDescent="0.3"/>
  <cols>
    <col min="1" max="1" width="61.109375" customWidth="1"/>
    <col min="2" max="7" width="17.44140625" customWidth="1"/>
  </cols>
  <sheetData>
    <row r="1" spans="1:7" ht="15" customHeight="1" x14ac:dyDescent="0.3">
      <c r="A1" s="85"/>
      <c r="B1" s="86"/>
      <c r="C1" s="86"/>
      <c r="D1" s="86"/>
      <c r="E1" s="86"/>
      <c r="F1" s="86"/>
      <c r="G1" s="86"/>
    </row>
    <row r="2" spans="1:7" ht="15" customHeight="1" x14ac:dyDescent="0.3">
      <c r="A2" s="87"/>
      <c r="B2" s="86"/>
      <c r="C2" s="86"/>
      <c r="D2" s="86"/>
      <c r="E2" s="86"/>
      <c r="F2" s="86"/>
      <c r="G2" s="86"/>
    </row>
    <row r="3" spans="1:7" ht="15" customHeight="1" x14ac:dyDescent="0.3">
      <c r="A3" s="87"/>
      <c r="B3" s="86"/>
      <c r="C3" s="86"/>
      <c r="D3" s="86"/>
      <c r="E3" s="86"/>
      <c r="F3" s="86"/>
      <c r="G3" s="86"/>
    </row>
    <row r="4" spans="1:7" ht="15" customHeight="1" x14ac:dyDescent="0.3">
      <c r="A4" s="86"/>
      <c r="B4" s="86"/>
      <c r="C4" s="86"/>
      <c r="D4" s="86"/>
      <c r="E4" s="86"/>
      <c r="F4" s="86"/>
      <c r="G4" s="86"/>
    </row>
    <row r="5" spans="1:7" ht="15" customHeight="1" x14ac:dyDescent="0.3">
      <c r="A5" s="88" t="s">
        <v>438</v>
      </c>
      <c r="B5" s="88" t="s">
        <v>225</v>
      </c>
      <c r="C5" s="88" t="s">
        <v>226</v>
      </c>
      <c r="D5" s="88" t="s">
        <v>227</v>
      </c>
      <c r="E5" s="88" t="s">
        <v>228</v>
      </c>
      <c r="F5" s="88" t="s">
        <v>229</v>
      </c>
      <c r="G5" s="88" t="s">
        <v>230</v>
      </c>
    </row>
    <row r="6" spans="1:7" ht="15" customHeight="1" x14ac:dyDescent="0.3">
      <c r="A6" s="89" t="s">
        <v>439</v>
      </c>
      <c r="B6" s="89"/>
      <c r="C6" s="90">
        <v>0.7</v>
      </c>
      <c r="D6" s="90">
        <v>0.7</v>
      </c>
      <c r="E6" s="90">
        <v>0.75</v>
      </c>
      <c r="F6" s="90">
        <v>0.8</v>
      </c>
      <c r="G6" s="90">
        <v>0.85</v>
      </c>
    </row>
    <row r="7" spans="1:7" ht="15" customHeight="1" x14ac:dyDescent="0.3">
      <c r="A7" s="89" t="s">
        <v>440</v>
      </c>
      <c r="B7" s="89"/>
      <c r="C7" s="90">
        <f>1-C6</f>
        <v>0.30000000000000004</v>
      </c>
      <c r="D7" s="90">
        <f>1-D6</f>
        <v>0.30000000000000004</v>
      </c>
      <c r="E7" s="90">
        <f>1-E6</f>
        <v>0.25</v>
      </c>
      <c r="F7" s="90">
        <f>1-F6</f>
        <v>0.19999999999999996</v>
      </c>
      <c r="G7" s="90">
        <f>1-G6</f>
        <v>0.15000000000000002</v>
      </c>
    </row>
    <row r="8" spans="1:7" ht="15" customHeight="1" x14ac:dyDescent="0.3">
      <c r="A8" s="91"/>
      <c r="B8" s="91"/>
      <c r="C8" s="91"/>
      <c r="D8" s="91"/>
      <c r="E8" s="91"/>
      <c r="F8" s="91"/>
      <c r="G8" s="91"/>
    </row>
    <row r="9" spans="1:7" ht="15" customHeight="1" x14ac:dyDescent="0.3">
      <c r="A9" s="88" t="s">
        <v>441</v>
      </c>
      <c r="B9" s="88" t="s">
        <v>225</v>
      </c>
      <c r="C9" s="88" t="s">
        <v>226</v>
      </c>
      <c r="D9" s="88" t="s">
        <v>227</v>
      </c>
      <c r="E9" s="88" t="s">
        <v>228</v>
      </c>
      <c r="F9" s="88" t="s">
        <v>229</v>
      </c>
      <c r="G9" s="88" t="s">
        <v>230</v>
      </c>
    </row>
    <row r="10" spans="1:7" ht="15" customHeight="1" x14ac:dyDescent="0.3">
      <c r="A10" s="89" t="s">
        <v>442</v>
      </c>
      <c r="B10" s="89"/>
      <c r="C10" s="92">
        <f>Inflación!B13</f>
        <v>3.5099999999999999E-2</v>
      </c>
      <c r="D10" s="92">
        <f>Inflación!C13</f>
        <v>3.5099999999999999E-2</v>
      </c>
      <c r="E10" s="92">
        <f>Inflación!D13</f>
        <v>3.5099999999999999E-2</v>
      </c>
      <c r="F10" s="92">
        <f>Inflación!E13</f>
        <v>3.5099999999999999E-2</v>
      </c>
      <c r="G10" s="92">
        <f>Inflación!F13</f>
        <v>3.5099999999999999E-2</v>
      </c>
    </row>
    <row r="11" spans="1:7" ht="15" customHeight="1" x14ac:dyDescent="0.3">
      <c r="A11" s="89" t="s">
        <v>443</v>
      </c>
      <c r="B11" s="89"/>
      <c r="C11" s="92">
        <v>1.4E-2</v>
      </c>
      <c r="D11" s="92">
        <v>1.7999999999999999E-2</v>
      </c>
      <c r="E11" s="92">
        <v>0.02</v>
      </c>
      <c r="F11" s="92">
        <v>0.02</v>
      </c>
      <c r="G11" s="92">
        <v>0.02</v>
      </c>
    </row>
    <row r="12" spans="1:7" ht="15" customHeight="1" x14ac:dyDescent="0.3">
      <c r="A12" s="89" t="s">
        <v>444</v>
      </c>
      <c r="B12" s="89"/>
      <c r="C12" s="93">
        <v>0.5</v>
      </c>
      <c r="D12" s="93">
        <v>0.5</v>
      </c>
      <c r="E12" s="93">
        <v>0.5</v>
      </c>
      <c r="F12" s="93">
        <v>0.5</v>
      </c>
      <c r="G12" s="93">
        <v>0.5</v>
      </c>
    </row>
    <row r="13" spans="1:7" ht="15" customHeight="1" x14ac:dyDescent="0.3">
      <c r="A13" s="89" t="s">
        <v>445</v>
      </c>
      <c r="B13" s="89"/>
      <c r="C13" s="92">
        <v>-0.04</v>
      </c>
      <c r="D13" s="92">
        <v>-1.4999999999999999E-2</v>
      </c>
      <c r="E13" s="92">
        <v>-5.0000000000000001E-3</v>
      </c>
      <c r="F13" s="92">
        <v>0</v>
      </c>
      <c r="G13" s="92">
        <v>0</v>
      </c>
    </row>
    <row r="14" spans="1:7" ht="15" customHeight="1" x14ac:dyDescent="0.3">
      <c r="A14" s="88" t="s">
        <v>446</v>
      </c>
      <c r="B14" s="88"/>
      <c r="C14" s="94">
        <f>C10+C11*C12+C13</f>
        <v>2.0999999999999977E-3</v>
      </c>
      <c r="D14" s="94">
        <f>D10+D11*D12+D13</f>
        <v>2.9100000000000001E-2</v>
      </c>
      <c r="E14" s="94">
        <f>E10+E11*E12+E13</f>
        <v>4.0100000000000004E-2</v>
      </c>
      <c r="F14" s="94">
        <f>F10+F11*F12+F13</f>
        <v>4.5100000000000001E-2</v>
      </c>
      <c r="G14" s="94">
        <f>G10+G11*G12+G13</f>
        <v>4.5100000000000001E-2</v>
      </c>
    </row>
    <row r="15" spans="1:7" ht="15" customHeight="1" x14ac:dyDescent="0.3">
      <c r="A15" s="89" t="s">
        <v>447</v>
      </c>
      <c r="B15" s="89"/>
      <c r="C15" s="92">
        <v>-0.03</v>
      </c>
      <c r="D15" s="92">
        <v>-0.02</v>
      </c>
      <c r="E15" s="92">
        <v>-1.2500000000000001E-2</v>
      </c>
      <c r="F15" s="92">
        <v>-0.01</v>
      </c>
      <c r="G15" s="92">
        <v>-7.4999999999999997E-3</v>
      </c>
    </row>
    <row r="16" spans="1:7" ht="15" customHeight="1" x14ac:dyDescent="0.3">
      <c r="A16" s="89" t="s">
        <v>448</v>
      </c>
      <c r="B16" s="89"/>
      <c r="C16" s="92">
        <v>-0.01</v>
      </c>
      <c r="D16" s="92">
        <v>-5.0000000000000001E-3</v>
      </c>
      <c r="E16" s="92">
        <v>0</v>
      </c>
      <c r="F16" s="92">
        <v>0</v>
      </c>
      <c r="G16" s="92">
        <v>0</v>
      </c>
    </row>
    <row r="17" spans="1:7" ht="15" customHeight="1" x14ac:dyDescent="0.3">
      <c r="A17" s="89" t="s">
        <v>449</v>
      </c>
      <c r="B17" s="89"/>
      <c r="C17" s="92">
        <v>-3.0000000000000001E-3</v>
      </c>
      <c r="D17" s="92">
        <v>-2E-3</v>
      </c>
      <c r="E17" s="92">
        <v>-1E-3</v>
      </c>
      <c r="F17" s="92">
        <v>0</v>
      </c>
      <c r="G17" s="92">
        <v>0</v>
      </c>
    </row>
    <row r="18" spans="1:7" ht="15" customHeight="1" x14ac:dyDescent="0.3">
      <c r="A18" s="89" t="s">
        <v>450</v>
      </c>
      <c r="B18" s="89"/>
      <c r="C18" s="92">
        <v>-2E-3</v>
      </c>
      <c r="D18" s="92">
        <v>-3.0000000000000001E-3</v>
      </c>
      <c r="E18" s="92">
        <v>-1E-3</v>
      </c>
      <c r="F18" s="92">
        <v>0</v>
      </c>
      <c r="G18" s="92">
        <v>0</v>
      </c>
    </row>
    <row r="19" spans="1:7" ht="15" customHeight="1" x14ac:dyDescent="0.3">
      <c r="A19" s="89" t="s">
        <v>451</v>
      </c>
      <c r="B19" s="89"/>
      <c r="C19" s="92">
        <v>2E-3</v>
      </c>
      <c r="D19" s="92">
        <v>3.0000000000000001E-3</v>
      </c>
      <c r="E19" s="92">
        <v>3.0000000000000001E-3</v>
      </c>
      <c r="F19" s="92">
        <v>2E-3</v>
      </c>
      <c r="G19" s="92">
        <v>2E-3</v>
      </c>
    </row>
    <row r="20" spans="1:7" ht="15" customHeight="1" x14ac:dyDescent="0.3">
      <c r="A20" s="89" t="s">
        <v>452</v>
      </c>
      <c r="B20" s="89"/>
      <c r="C20" s="92">
        <v>3.0000000000000001E-3</v>
      </c>
      <c r="D20" s="92">
        <v>4.0000000000000001E-3</v>
      </c>
      <c r="E20" s="92">
        <v>5.0000000000000001E-3</v>
      </c>
      <c r="F20" s="92">
        <v>5.0000000000000001E-3</v>
      </c>
      <c r="G20" s="92">
        <v>5.0000000000000001E-3</v>
      </c>
    </row>
    <row r="21" spans="1:7" ht="15" customHeight="1" x14ac:dyDescent="0.3">
      <c r="A21" s="89" t="s">
        <v>453</v>
      </c>
      <c r="B21" s="89"/>
      <c r="C21" s="92">
        <v>-2E-3</v>
      </c>
      <c r="D21" s="92">
        <v>-2E-3</v>
      </c>
      <c r="E21" s="92">
        <v>-1E-3</v>
      </c>
      <c r="F21" s="92">
        <v>0</v>
      </c>
      <c r="G21" s="92">
        <v>0</v>
      </c>
    </row>
    <row r="22" spans="1:7" ht="15" customHeight="1" x14ac:dyDescent="0.3">
      <c r="A22" s="89" t="s">
        <v>454</v>
      </c>
      <c r="B22" s="89"/>
      <c r="C22" s="92">
        <v>1E-3</v>
      </c>
      <c r="D22" s="92">
        <v>2E-3</v>
      </c>
      <c r="E22" s="92">
        <v>2E-3</v>
      </c>
      <c r="F22" s="92">
        <v>2E-3</v>
      </c>
      <c r="G22" s="92">
        <v>2E-3</v>
      </c>
    </row>
    <row r="23" spans="1:7" ht="15" customHeight="1" x14ac:dyDescent="0.3">
      <c r="A23" s="88" t="s">
        <v>455</v>
      </c>
      <c r="B23" s="88"/>
      <c r="C23" s="94">
        <f>C14+SUM(C15:C22)</f>
        <v>-3.8900000000000004E-2</v>
      </c>
      <c r="D23" s="94">
        <f>D14+SUM(D15:D22)</f>
        <v>6.1000000000000013E-3</v>
      </c>
      <c r="E23" s="94">
        <f>E14+SUM(E15:E22)</f>
        <v>3.4599999999999999E-2</v>
      </c>
      <c r="F23" s="94">
        <f>F14+SUM(F15:F22)</f>
        <v>4.41E-2</v>
      </c>
      <c r="G23" s="94">
        <f>G14+SUM(G15:G22)</f>
        <v>4.6600000000000003E-2</v>
      </c>
    </row>
    <row r="24" spans="1:7" ht="15" customHeight="1" x14ac:dyDescent="0.3">
      <c r="A24" s="91"/>
      <c r="B24" s="91"/>
      <c r="C24" s="91"/>
      <c r="D24" s="91"/>
      <c r="E24" s="91"/>
      <c r="F24" s="91"/>
      <c r="G24" s="91"/>
    </row>
    <row r="25" spans="1:7" ht="15" customHeight="1" x14ac:dyDescent="0.3">
      <c r="A25" s="88" t="s">
        <v>456</v>
      </c>
      <c r="B25" s="88" t="s">
        <v>225</v>
      </c>
      <c r="C25" s="88" t="s">
        <v>226</v>
      </c>
      <c r="D25" s="88" t="s">
        <v>227</v>
      </c>
      <c r="E25" s="88" t="s">
        <v>228</v>
      </c>
      <c r="F25" s="88" t="s">
        <v>229</v>
      </c>
      <c r="G25" s="88" t="s">
        <v>230</v>
      </c>
    </row>
    <row r="26" spans="1:7" ht="15" customHeight="1" x14ac:dyDescent="0.3">
      <c r="A26" s="89" t="s">
        <v>1149</v>
      </c>
      <c r="B26" s="95">
        <f>'MC Soriana'!G6</f>
        <v>174278</v>
      </c>
      <c r="C26" s="95">
        <f>'MC Soriana'!F24</f>
        <v>162461.17060000001</v>
      </c>
      <c r="D26" s="95">
        <f>C26*(1+D10)</f>
        <v>168163.55768805998</v>
      </c>
      <c r="E26" s="95">
        <f>D26*(1+E10)</f>
        <v>174066.09856291086</v>
      </c>
      <c r="F26" s="95">
        <f>E26*(1+F10)</f>
        <v>180175.81862246903</v>
      </c>
      <c r="G26" s="95">
        <f>F26*(1+G10)</f>
        <v>186499.98985611767</v>
      </c>
    </row>
    <row r="27" spans="1:7" ht="15" customHeight="1" x14ac:dyDescent="0.3">
      <c r="A27" s="89" t="s">
        <v>457</v>
      </c>
      <c r="B27" s="89"/>
      <c r="C27" s="90">
        <f>C26/B26-1</f>
        <v>-6.7804481345895562E-2</v>
      </c>
      <c r="D27" s="90">
        <f>D26/C26-1</f>
        <v>3.5099999999999909E-2</v>
      </c>
      <c r="E27" s="90">
        <f>E26/D26-1</f>
        <v>3.5099999999999909E-2</v>
      </c>
      <c r="F27" s="90">
        <f>F26/E26-1</f>
        <v>3.5099999999999909E-2</v>
      </c>
      <c r="G27" s="90">
        <f>G26/F26-1</f>
        <v>3.5099999999999909E-2</v>
      </c>
    </row>
    <row r="28" spans="1:7" ht="15" customHeight="1" x14ac:dyDescent="0.3">
      <c r="A28" s="88" t="s">
        <v>458</v>
      </c>
      <c r="B28" s="88"/>
      <c r="C28" s="96">
        <f>C$6*C23+C$7*C27</f>
        <v>-4.7571344403768673E-2</v>
      </c>
      <c r="D28" s="96">
        <f>D$6*D23+D$7*D27</f>
        <v>1.4799999999999973E-2</v>
      </c>
      <c r="E28" s="96">
        <f>E$6*E23+E$7*E27</f>
        <v>3.4724999999999978E-2</v>
      </c>
      <c r="F28" s="96">
        <f>F$6*F23+F$7*F27</f>
        <v>4.2299999999999977E-2</v>
      </c>
      <c r="G28" s="96">
        <f>G$6*G23+G$7*G27</f>
        <v>4.4874999999999984E-2</v>
      </c>
    </row>
    <row r="29" spans="1:7" ht="15" customHeight="1" x14ac:dyDescent="0.3">
      <c r="A29" s="91"/>
      <c r="B29" s="91"/>
      <c r="C29" s="91"/>
      <c r="D29" s="91"/>
      <c r="E29" s="91"/>
      <c r="F29" s="91"/>
      <c r="G29" s="91"/>
    </row>
    <row r="30" spans="1:7" ht="15" customHeight="1" x14ac:dyDescent="0.3">
      <c r="A30" s="88" t="s">
        <v>459</v>
      </c>
      <c r="B30" s="88" t="s">
        <v>225</v>
      </c>
      <c r="C30" s="88" t="s">
        <v>226</v>
      </c>
      <c r="D30" s="88" t="s">
        <v>227</v>
      </c>
      <c r="E30" s="88" t="s">
        <v>228</v>
      </c>
      <c r="F30" s="88" t="s">
        <v>229</v>
      </c>
      <c r="G30" s="88" t="s">
        <v>230</v>
      </c>
    </row>
    <row r="31" spans="1:7" ht="15" customHeight="1" x14ac:dyDescent="0.3">
      <c r="A31" s="89" t="s">
        <v>460</v>
      </c>
      <c r="B31" s="92">
        <f>Valuación!B10</f>
        <v>4.2542883699969017E-2</v>
      </c>
      <c r="C31" s="92">
        <f>B31+SUM(C32:C39)</f>
        <v>4.3742883699969017E-2</v>
      </c>
      <c r="D31" s="92">
        <f>C31+SUM(D32:D39)</f>
        <v>4.3442883699969015E-2</v>
      </c>
      <c r="E31" s="92">
        <f>D31+SUM(E32:E39)</f>
        <v>4.3742883699969017E-2</v>
      </c>
      <c r="F31" s="92">
        <f>E31+SUM(F32:F39)</f>
        <v>4.4042883699969018E-2</v>
      </c>
      <c r="G31" s="92">
        <f>F31+SUM(G32:G39)</f>
        <v>4.434288369996902E-2</v>
      </c>
    </row>
    <row r="32" spans="1:7" ht="15" customHeight="1" x14ac:dyDescent="0.3">
      <c r="A32" s="89" t="s">
        <v>461</v>
      </c>
      <c r="B32" s="92"/>
      <c r="C32" s="92">
        <v>5.4999999999999997E-3</v>
      </c>
      <c r="D32" s="92">
        <v>3.0000000000000001E-3</v>
      </c>
      <c r="E32" s="92">
        <v>2E-3</v>
      </c>
      <c r="F32" s="92">
        <v>1E-3</v>
      </c>
      <c r="G32" s="92">
        <v>1E-3</v>
      </c>
    </row>
    <row r="33" spans="1:7" ht="15" customHeight="1" x14ac:dyDescent="0.3">
      <c r="A33" s="89" t="s">
        <v>462</v>
      </c>
      <c r="B33" s="92"/>
      <c r="C33" s="92">
        <v>-1E-3</v>
      </c>
      <c r="D33" s="92">
        <v>-1.5E-3</v>
      </c>
      <c r="E33" s="92">
        <v>-1.5E-3</v>
      </c>
      <c r="F33" s="92">
        <v>-1E-3</v>
      </c>
      <c r="G33" s="92">
        <v>-1E-3</v>
      </c>
    </row>
    <row r="34" spans="1:7" ht="15" customHeight="1" x14ac:dyDescent="0.3">
      <c r="A34" s="89" t="s">
        <v>463</v>
      </c>
      <c r="B34" s="92"/>
      <c r="C34" s="92">
        <v>-1.5E-3</v>
      </c>
      <c r="D34" s="92">
        <v>-1E-3</v>
      </c>
      <c r="E34" s="92">
        <v>-1E-3</v>
      </c>
      <c r="F34" s="92">
        <v>-5.0000000000000001E-4</v>
      </c>
      <c r="G34" s="92">
        <v>0</v>
      </c>
    </row>
    <row r="35" spans="1:7" ht="15" customHeight="1" x14ac:dyDescent="0.3">
      <c r="A35" s="89" t="s">
        <v>464</v>
      </c>
      <c r="B35" s="92"/>
      <c r="C35" s="92">
        <v>-5.0000000000000001E-4</v>
      </c>
      <c r="D35" s="92">
        <v>-5.0000000000000001E-4</v>
      </c>
      <c r="E35" s="92">
        <v>0</v>
      </c>
      <c r="F35" s="92">
        <v>0</v>
      </c>
      <c r="G35" s="92">
        <v>0</v>
      </c>
    </row>
    <row r="36" spans="1:7" ht="15" customHeight="1" x14ac:dyDescent="0.3">
      <c r="A36" s="89" t="s">
        <v>465</v>
      </c>
      <c r="B36" s="92"/>
      <c r="C36" s="92">
        <v>-5.0000000000000001E-4</v>
      </c>
      <c r="D36" s="92">
        <v>-5.0000000000000001E-4</v>
      </c>
      <c r="E36" s="92">
        <v>0</v>
      </c>
      <c r="F36" s="92">
        <v>0</v>
      </c>
      <c r="G36" s="92">
        <v>0</v>
      </c>
    </row>
    <row r="37" spans="1:7" ht="15" customHeight="1" x14ac:dyDescent="0.3">
      <c r="A37" s="89" t="s">
        <v>466</v>
      </c>
      <c r="B37" s="92"/>
      <c r="C37" s="92">
        <v>-2.9999999999999997E-4</v>
      </c>
      <c r="D37" s="92">
        <v>-2.9999999999999997E-4</v>
      </c>
      <c r="E37" s="92">
        <v>-2.0000000000000001E-4</v>
      </c>
      <c r="F37" s="92">
        <v>-2.0000000000000001E-4</v>
      </c>
      <c r="G37" s="92">
        <v>-2.0000000000000001E-4</v>
      </c>
    </row>
    <row r="38" spans="1:7" ht="15" customHeight="1" x14ac:dyDescent="0.3">
      <c r="A38" s="89" t="s">
        <v>467</v>
      </c>
      <c r="B38" s="92"/>
      <c r="C38" s="92">
        <v>5.0000000000000001E-4</v>
      </c>
      <c r="D38" s="92">
        <v>1E-3</v>
      </c>
      <c r="E38" s="92">
        <v>1E-3</v>
      </c>
      <c r="F38" s="92">
        <v>1E-3</v>
      </c>
      <c r="G38" s="92">
        <v>5.0000000000000001E-4</v>
      </c>
    </row>
    <row r="39" spans="1:7" ht="15" customHeight="1" x14ac:dyDescent="0.3">
      <c r="A39" s="89" t="s">
        <v>468</v>
      </c>
      <c r="B39" s="92"/>
      <c r="C39" s="92">
        <v>-1E-3</v>
      </c>
      <c r="D39" s="92">
        <v>-5.0000000000000001E-4</v>
      </c>
      <c r="E39" s="92">
        <v>0</v>
      </c>
      <c r="F39" s="92">
        <v>0</v>
      </c>
      <c r="G39" s="92">
        <v>0</v>
      </c>
    </row>
    <row r="40" spans="1:7" ht="15" customHeight="1" x14ac:dyDescent="0.3">
      <c r="A40" s="89" t="s">
        <v>1144</v>
      </c>
      <c r="B40" s="92"/>
      <c r="C40" s="92">
        <f>'MC Soriana'!$F$27</f>
        <v>4.4311756130113684E-2</v>
      </c>
      <c r="D40" s="92">
        <f>'MC Soriana'!$F$27</f>
        <v>4.4311756130113684E-2</v>
      </c>
      <c r="E40" s="92">
        <f>'MC Soriana'!$F$27</f>
        <v>4.4311756130113684E-2</v>
      </c>
      <c r="F40" s="92">
        <f>'MC Soriana'!$F$27</f>
        <v>4.4311756130113684E-2</v>
      </c>
      <c r="G40" s="92">
        <f>'MC Soriana'!$F$27</f>
        <v>4.4311756130113684E-2</v>
      </c>
    </row>
    <row r="41" spans="1:7" ht="15" customHeight="1" x14ac:dyDescent="0.3">
      <c r="A41" s="88" t="s">
        <v>469</v>
      </c>
      <c r="B41" s="94"/>
      <c r="C41" s="94">
        <f>C$6*C31+C$7*C40</f>
        <v>4.3913545429012414E-2</v>
      </c>
      <c r="D41" s="94">
        <f>D$6*D31+D$7*D40</f>
        <v>4.3703545429012419E-2</v>
      </c>
      <c r="E41" s="94">
        <f>E$6*E31+E$7*E40</f>
        <v>4.3885101807505184E-2</v>
      </c>
      <c r="F41" s="94">
        <f>F$6*F31+F$7*F40</f>
        <v>4.409665818599795E-2</v>
      </c>
      <c r="G41" s="94">
        <f>G$6*G31+G$7*G40</f>
        <v>4.4338214564490719E-2</v>
      </c>
    </row>
    <row r="42" spans="1:7" ht="15" customHeight="1" x14ac:dyDescent="0.3">
      <c r="A42" s="91"/>
      <c r="B42" s="91"/>
      <c r="C42" s="91"/>
      <c r="D42" s="91"/>
      <c r="E42" s="91"/>
      <c r="F42" s="91"/>
      <c r="G42" s="91"/>
    </row>
    <row r="43" spans="1:7" ht="15" customHeight="1" x14ac:dyDescent="0.3">
      <c r="A43" s="88" t="s">
        <v>470</v>
      </c>
      <c r="B43" s="88" t="s">
        <v>225</v>
      </c>
      <c r="C43" s="88" t="s">
        <v>226</v>
      </c>
      <c r="D43" s="88" t="s">
        <v>227</v>
      </c>
      <c r="E43" s="88" t="s">
        <v>228</v>
      </c>
      <c r="F43" s="88" t="s">
        <v>229</v>
      </c>
      <c r="G43" s="88" t="s">
        <v>230</v>
      </c>
    </row>
    <row r="44" spans="1:7" ht="15" customHeight="1" x14ac:dyDescent="0.3">
      <c r="A44" s="89" t="s">
        <v>471</v>
      </c>
      <c r="B44" s="89"/>
      <c r="C44" s="92">
        <f>Valuación!$B$11</f>
        <v>2.4459904796777739E-2</v>
      </c>
      <c r="D44" s="92">
        <f>Valuación!$B$11</f>
        <v>2.4459904796777739E-2</v>
      </c>
      <c r="E44" s="92">
        <f>Valuación!$B$11</f>
        <v>2.4459904796777739E-2</v>
      </c>
      <c r="F44" s="92">
        <f>Valuación!$B$11</f>
        <v>2.4459904796777739E-2</v>
      </c>
      <c r="G44" s="92">
        <f>Valuación!$B$11</f>
        <v>2.4459904796777739E-2</v>
      </c>
    </row>
    <row r="45" spans="1:7" ht="15" customHeight="1" x14ac:dyDescent="0.3">
      <c r="A45" s="89" t="s">
        <v>472</v>
      </c>
      <c r="B45" s="89"/>
      <c r="C45" s="92">
        <f>'MC Soriana'!$F$30/'MC Soriana'!$F$24</f>
        <v>2.4355441890432868E-2</v>
      </c>
      <c r="D45" s="92">
        <f>'MC Soriana'!$F$30/'MC Soriana'!$F$24</f>
        <v>2.4355441890432868E-2</v>
      </c>
      <c r="E45" s="92">
        <f>'MC Soriana'!$F$30/'MC Soriana'!$F$24</f>
        <v>2.4355441890432868E-2</v>
      </c>
      <c r="F45" s="92">
        <f>'MC Soriana'!$F$30/'MC Soriana'!$F$24</f>
        <v>2.4355441890432868E-2</v>
      </c>
      <c r="G45" s="92">
        <f>'MC Soriana'!$F$30/'MC Soriana'!$F$24</f>
        <v>2.4355441890432868E-2</v>
      </c>
    </row>
    <row r="46" spans="1:7" ht="15" customHeight="1" x14ac:dyDescent="0.3">
      <c r="A46" s="89" t="s">
        <v>473</v>
      </c>
      <c r="B46" s="89"/>
      <c r="C46" s="92">
        <f>C$6*C44+C$7*C45</f>
        <v>2.4428565924874277E-2</v>
      </c>
      <c r="D46" s="92">
        <f>D$6*D44+D$7*D45</f>
        <v>2.4428565924874277E-2</v>
      </c>
      <c r="E46" s="92">
        <f>E$6*E44+E$7*E45</f>
        <v>2.4433789070191524E-2</v>
      </c>
      <c r="F46" s="92">
        <f>F$6*F44+F$7*F45</f>
        <v>2.4439012215508763E-2</v>
      </c>
      <c r="G46" s="92">
        <f>G$6*G44+G$7*G45</f>
        <v>2.444423536082601E-2</v>
      </c>
    </row>
    <row r="47" spans="1:7" ht="15" customHeight="1" x14ac:dyDescent="0.3">
      <c r="A47" s="89" t="s">
        <v>474</v>
      </c>
      <c r="B47" s="89"/>
      <c r="C47" s="95">
        <v>4000</v>
      </c>
      <c r="D47" s="95"/>
      <c r="E47" s="95"/>
      <c r="F47" s="95"/>
      <c r="G47" s="95"/>
    </row>
    <row r="48" spans="1:7" ht="15" customHeight="1" x14ac:dyDescent="0.3">
      <c r="A48" s="89" t="s">
        <v>475</v>
      </c>
      <c r="B48" s="89"/>
      <c r="C48" s="92"/>
      <c r="D48" s="92">
        <v>3.0000000000000001E-3</v>
      </c>
      <c r="E48" s="92">
        <v>3.0000000000000001E-3</v>
      </c>
      <c r="F48" s="92">
        <v>3.0000000000000001E-3</v>
      </c>
      <c r="G48" s="92">
        <v>3.0000000000000001E-3</v>
      </c>
    </row>
    <row r="49" spans="1:7" ht="15" customHeight="1" x14ac:dyDescent="0.3">
      <c r="A49" s="89" t="s">
        <v>476</v>
      </c>
      <c r="B49" s="89"/>
      <c r="C49" s="92">
        <f>C47/C67</f>
        <v>2.365878736646054E-2</v>
      </c>
      <c r="D49" s="92">
        <f>Valuación!$B$12*(1+'Variables Externas'!$J$22)+D48</f>
        <v>1.9554516519730725E-2</v>
      </c>
      <c r="E49" s="92">
        <f>Valuación!$B$12*(1+'Variables Externas'!$J$22)+E48</f>
        <v>1.9554516519730725E-2</v>
      </c>
      <c r="F49" s="92">
        <f>Valuación!$B$12*(1+'Variables Externas'!$J$22)+F48</f>
        <v>1.9554516519730725E-2</v>
      </c>
      <c r="G49" s="92">
        <f>Valuación!$B$12*(1+'Variables Externas'!$J$22)+G48</f>
        <v>1.9554516519730725E-2</v>
      </c>
    </row>
    <row r="50" spans="1:7" ht="15" customHeight="1" x14ac:dyDescent="0.3">
      <c r="A50" s="89" t="s">
        <v>477</v>
      </c>
      <c r="B50" s="89"/>
      <c r="C50" s="92">
        <f>'MC Soriana'!$F$31/'MC Soriana'!$F$24</f>
        <v>2.0989446200629546E-2</v>
      </c>
      <c r="D50" s="92">
        <f>'MC Soriana'!$F$31/'MC Soriana'!$F$24</f>
        <v>2.0989446200629546E-2</v>
      </c>
      <c r="E50" s="92">
        <f>'MC Soriana'!$F$31/'MC Soriana'!$F$24</f>
        <v>2.0989446200629546E-2</v>
      </c>
      <c r="F50" s="92">
        <f>'MC Soriana'!$F$31/'MC Soriana'!$F$24</f>
        <v>2.0989446200629546E-2</v>
      </c>
      <c r="G50" s="92">
        <f>'MC Soriana'!$F$31/'MC Soriana'!$F$24</f>
        <v>2.0989446200629546E-2</v>
      </c>
    </row>
    <row r="51" spans="1:7" ht="15" customHeight="1" x14ac:dyDescent="0.3">
      <c r="A51" s="88" t="s">
        <v>478</v>
      </c>
      <c r="B51" s="88"/>
      <c r="C51" s="94">
        <f>C$6*C49+C$7*C50</f>
        <v>2.2857985016711241E-2</v>
      </c>
      <c r="D51" s="94">
        <f>D$6*D49+D$7*D50</f>
        <v>1.9984995424000371E-2</v>
      </c>
      <c r="E51" s="94">
        <f>E$6*E49+E$7*E50</f>
        <v>1.9913248939955431E-2</v>
      </c>
      <c r="F51" s="94">
        <f>F$6*F49+F$7*F50</f>
        <v>1.984150245591049E-2</v>
      </c>
      <c r="G51" s="94">
        <f>G$6*G49+G$7*G50</f>
        <v>1.976975597186555E-2</v>
      </c>
    </row>
    <row r="52" spans="1:7" ht="15" customHeight="1" x14ac:dyDescent="0.3">
      <c r="A52" s="89" t="s">
        <v>479</v>
      </c>
      <c r="B52" s="89"/>
      <c r="C52" s="92">
        <v>0</v>
      </c>
      <c r="D52" s="92">
        <v>5.0000000000000001E-3</v>
      </c>
      <c r="E52" s="92">
        <v>5.0000000000000001E-3</v>
      </c>
      <c r="F52" s="92">
        <v>5.0000000000000001E-3</v>
      </c>
      <c r="G52" s="92">
        <v>5.0000000000000001E-3</v>
      </c>
    </row>
    <row r="53" spans="1:7" ht="15" customHeight="1" x14ac:dyDescent="0.3">
      <c r="A53" s="89" t="s">
        <v>480</v>
      </c>
      <c r="B53" s="89"/>
      <c r="C53" s="92">
        <f>WACC!$B$10+C52</f>
        <v>0.3</v>
      </c>
      <c r="D53" s="92">
        <f>WACC!$B$10+D52</f>
        <v>0.30499999999999999</v>
      </c>
      <c r="E53" s="92">
        <f>WACC!$B$10+E52</f>
        <v>0.30499999999999999</v>
      </c>
      <c r="F53" s="92">
        <f>WACC!$B$10+F52</f>
        <v>0.30499999999999999</v>
      </c>
      <c r="G53" s="92">
        <f>WACC!$B$10+G52</f>
        <v>0.30499999999999999</v>
      </c>
    </row>
    <row r="54" spans="1:7" ht="15" customHeight="1" x14ac:dyDescent="0.3">
      <c r="A54" s="89" t="s">
        <v>1143</v>
      </c>
      <c r="B54" s="89"/>
      <c r="C54" s="92">
        <f>Datos!$G$12/Datos!$G$11</f>
        <v>0.30067142257658414</v>
      </c>
      <c r="D54" s="92">
        <f>Datos!$G$12/Datos!$G$11</f>
        <v>0.30067142257658414</v>
      </c>
      <c r="E54" s="92">
        <f>Datos!$G$12/Datos!$G$11</f>
        <v>0.30067142257658414</v>
      </c>
      <c r="F54" s="92">
        <f>Datos!$G$12/Datos!$G$11</f>
        <v>0.30067142257658414</v>
      </c>
      <c r="G54" s="92">
        <f>Datos!$G$12/Datos!$G$11</f>
        <v>0.30067142257658414</v>
      </c>
    </row>
    <row r="55" spans="1:7" ht="15" customHeight="1" x14ac:dyDescent="0.3">
      <c r="A55" s="88" t="s">
        <v>481</v>
      </c>
      <c r="B55" s="88"/>
      <c r="C55" s="94">
        <f>C$6*C53+C$7*C54</f>
        <v>0.30020142677297523</v>
      </c>
      <c r="D55" s="94">
        <f>D$6*D53+D$7*D54</f>
        <v>0.30370142677297524</v>
      </c>
      <c r="E55" s="94">
        <f>E$6*E53+E$7*E54</f>
        <v>0.30391785564414603</v>
      </c>
      <c r="F55" s="94">
        <f>F$6*F53+F$7*F54</f>
        <v>0.30413428451531682</v>
      </c>
      <c r="G55" s="94">
        <f>G$6*G53+G$7*G54</f>
        <v>0.30435071338648761</v>
      </c>
    </row>
    <row r="56" spans="1:7" ht="15" customHeight="1" x14ac:dyDescent="0.3">
      <c r="A56" s="89" t="s">
        <v>264</v>
      </c>
      <c r="B56" s="97">
        <f>Datos!G18/Datos!G7*365</f>
        <v>87.444305093801944</v>
      </c>
      <c r="C56" s="97">
        <v>88</v>
      </c>
      <c r="D56" s="97">
        <v>88</v>
      </c>
      <c r="E56" s="97">
        <v>87</v>
      </c>
      <c r="F56" s="97">
        <v>87</v>
      </c>
      <c r="G56" s="97">
        <v>87</v>
      </c>
    </row>
    <row r="57" spans="1:7" ht="15" customHeight="1" x14ac:dyDescent="0.3">
      <c r="A57" s="89" t="s">
        <v>265</v>
      </c>
      <c r="B57" s="98">
        <f>(Datos!G19-Datos!G17-Datos!G18)/Datos!G6</f>
        <v>3.9157254316536633E-2</v>
      </c>
      <c r="C57" s="98">
        <f t="shared" ref="C57:G58" si="0">$B57</f>
        <v>3.9157254316536633E-2</v>
      </c>
      <c r="D57" s="98">
        <f t="shared" si="0"/>
        <v>3.9157254316536633E-2</v>
      </c>
      <c r="E57" s="98">
        <f t="shared" si="0"/>
        <v>3.9157254316536633E-2</v>
      </c>
      <c r="F57" s="98">
        <f t="shared" si="0"/>
        <v>3.9157254316536633E-2</v>
      </c>
      <c r="G57" s="98">
        <f t="shared" si="0"/>
        <v>3.9157254316536633E-2</v>
      </c>
    </row>
    <row r="58" spans="1:7" ht="15" customHeight="1" x14ac:dyDescent="0.3">
      <c r="A58" s="89" t="s">
        <v>266</v>
      </c>
      <c r="B58" s="98">
        <f>(Datos!G21-Datos!G25-Datos!G27)/Datos!G6</f>
        <v>0.20022533307044474</v>
      </c>
      <c r="C58" s="98">
        <f t="shared" si="0"/>
        <v>0.20022533307044474</v>
      </c>
      <c r="D58" s="98">
        <f t="shared" si="0"/>
        <v>0.20022533307044474</v>
      </c>
      <c r="E58" s="98">
        <f t="shared" si="0"/>
        <v>0.20022533307044474</v>
      </c>
      <c r="F58" s="98">
        <f t="shared" si="0"/>
        <v>0.20022533307044474</v>
      </c>
      <c r="G58" s="98">
        <f t="shared" si="0"/>
        <v>0.20022533307044474</v>
      </c>
    </row>
    <row r="59" spans="1:7" ht="15" customHeight="1" x14ac:dyDescent="0.3">
      <c r="A59" s="89" t="s">
        <v>261</v>
      </c>
      <c r="B59" s="98">
        <f>Datos!G7/Datos!G6</f>
        <v>0.75910204771427769</v>
      </c>
      <c r="C59" s="98">
        <v>0.75600000000000001</v>
      </c>
      <c r="D59" s="98">
        <v>0.75700000000000001</v>
      </c>
      <c r="E59" s="98">
        <v>0.75800000000000001</v>
      </c>
      <c r="F59" s="98">
        <v>0.75800000000000001</v>
      </c>
      <c r="G59" s="98">
        <v>0.75800000000000001</v>
      </c>
    </row>
    <row r="60" spans="1:7" ht="15" customHeight="1" x14ac:dyDescent="0.3">
      <c r="A60" s="89" t="s">
        <v>262</v>
      </c>
      <c r="B60" s="98">
        <f>-B70/B67</f>
        <v>0.17390079711573669</v>
      </c>
      <c r="C60" s="98">
        <f>1-C59-C46-C41</f>
        <v>0.17565788864611331</v>
      </c>
      <c r="D60" s="98">
        <f>1-D59-D46-D41</f>
        <v>0.1748678886461133</v>
      </c>
      <c r="E60" s="98">
        <f>1-E59-E46-E41</f>
        <v>0.17368110912230328</v>
      </c>
      <c r="F60" s="98">
        <f>1-F59-F46-F41</f>
        <v>0.17346432959849328</v>
      </c>
      <c r="G60" s="98">
        <f>1-G59-G46-G41</f>
        <v>0.17321755007468326</v>
      </c>
    </row>
    <row r="61" spans="1:7" ht="15" customHeight="1" x14ac:dyDescent="0.3">
      <c r="A61" s="89" t="s">
        <v>263</v>
      </c>
      <c r="B61" s="99">
        <f>Datos!G10/(Datos!G25+Datos!G26+Datos!G27+Datos!G28)</f>
        <v>0.13015496655093572</v>
      </c>
      <c r="C61" s="99">
        <v>0.1</v>
      </c>
      <c r="D61" s="99">
        <v>9.7500000000000003E-2</v>
      </c>
      <c r="E61" s="99">
        <v>9.7500000000000003E-2</v>
      </c>
      <c r="F61" s="99">
        <v>9.7500000000000003E-2</v>
      </c>
      <c r="G61" s="99">
        <v>9.7500000000000003E-2</v>
      </c>
    </row>
    <row r="62" spans="1:7" ht="15" customHeight="1" x14ac:dyDescent="0.3">
      <c r="A62" s="89" t="s">
        <v>482</v>
      </c>
      <c r="B62" s="100"/>
      <c r="C62" s="100">
        <v>0</v>
      </c>
      <c r="D62" s="100">
        <v>-1500</v>
      </c>
      <c r="E62" s="100">
        <v>-1500</v>
      </c>
      <c r="F62" s="100">
        <v>-1500</v>
      </c>
      <c r="G62" s="100">
        <v>-1500</v>
      </c>
    </row>
    <row r="63" spans="1:7" ht="15" customHeight="1" x14ac:dyDescent="0.3">
      <c r="A63" s="89" t="s">
        <v>267</v>
      </c>
      <c r="B63" s="98">
        <f>'Proyección Soriana'!B14</f>
        <v>0.30014405762304919</v>
      </c>
      <c r="C63" s="98">
        <f>$B63</f>
        <v>0.30014405762304919</v>
      </c>
      <c r="D63" s="98">
        <f>$B63</f>
        <v>0.30014405762304919</v>
      </c>
      <c r="E63" s="98">
        <f>$B63</f>
        <v>0.30014405762304919</v>
      </c>
      <c r="F63" s="98">
        <f>$B63</f>
        <v>0.30014405762304919</v>
      </c>
      <c r="G63" s="98">
        <f>$B63</f>
        <v>0.30014405762304919</v>
      </c>
    </row>
    <row r="64" spans="1:7" ht="15" customHeight="1" x14ac:dyDescent="0.3">
      <c r="A64" s="101"/>
      <c r="B64" s="101"/>
      <c r="C64" s="101"/>
      <c r="D64" s="101"/>
      <c r="E64" s="101"/>
      <c r="F64" s="101"/>
      <c r="G64" s="101"/>
    </row>
    <row r="65" spans="1:7" ht="15" customHeight="1" x14ac:dyDescent="0.3">
      <c r="A65" s="102" t="s">
        <v>483</v>
      </c>
      <c r="B65" s="101"/>
      <c r="C65" s="101"/>
      <c r="D65" s="101"/>
      <c r="E65" s="101"/>
      <c r="F65" s="101"/>
      <c r="G65" s="101"/>
    </row>
    <row r="66" spans="1:7" ht="15" customHeight="1" x14ac:dyDescent="0.3">
      <c r="A66" s="88" t="s">
        <v>484</v>
      </c>
      <c r="B66" s="103" t="s">
        <v>225</v>
      </c>
      <c r="C66" s="103" t="s">
        <v>226</v>
      </c>
      <c r="D66" s="103" t="s">
        <v>227</v>
      </c>
      <c r="E66" s="103" t="s">
        <v>228</v>
      </c>
      <c r="F66" s="103" t="s">
        <v>229</v>
      </c>
      <c r="G66" s="103" t="s">
        <v>230</v>
      </c>
    </row>
    <row r="67" spans="1:7" ht="15" customHeight="1" x14ac:dyDescent="0.3">
      <c r="A67" s="89" t="s">
        <v>239</v>
      </c>
      <c r="B67" s="100">
        <f>Datos!G6</f>
        <v>177515</v>
      </c>
      <c r="C67" s="100">
        <f>B67*(1+C28)</f>
        <v>169070.37279816502</v>
      </c>
      <c r="D67" s="100">
        <f>C67*(1+D28)</f>
        <v>171572.61431557784</v>
      </c>
      <c r="E67" s="100">
        <f>D67*(1+E28)</f>
        <v>177530.47334768626</v>
      </c>
      <c r="F67" s="100">
        <f>E67*(1+F28)</f>
        <v>185040.01237029338</v>
      </c>
      <c r="G67" s="100">
        <f>F67*(1+G28)</f>
        <v>193343.68292541031</v>
      </c>
    </row>
    <row r="68" spans="1:7" ht="15" customHeight="1" x14ac:dyDescent="0.3">
      <c r="A68" s="89" t="s">
        <v>86</v>
      </c>
      <c r="B68" s="100">
        <f>-Datos!G7</f>
        <v>-134752</v>
      </c>
      <c r="C68" s="100">
        <f>-C67*C59</f>
        <v>-127817.20183541275</v>
      </c>
      <c r="D68" s="100">
        <f>-D67*D59</f>
        <v>-129880.46903689242</v>
      </c>
      <c r="E68" s="100">
        <f>-E67*E59</f>
        <v>-134568.09879754618</v>
      </c>
      <c r="F68" s="100">
        <f>-F67*F59</f>
        <v>-140260.32937668238</v>
      </c>
      <c r="G68" s="100">
        <f>-G67*G59</f>
        <v>-146554.511657461</v>
      </c>
    </row>
    <row r="69" spans="1:7" ht="15" customHeight="1" x14ac:dyDescent="0.3">
      <c r="A69" s="88" t="s">
        <v>80</v>
      </c>
      <c r="B69" s="104">
        <f t="shared" ref="B69:G69" si="1">B67+B68</f>
        <v>42763</v>
      </c>
      <c r="C69" s="104">
        <f t="shared" si="1"/>
        <v>41253.170962752265</v>
      </c>
      <c r="D69" s="104">
        <f t="shared" si="1"/>
        <v>41692.145278685421</v>
      </c>
      <c r="E69" s="104">
        <f t="shared" si="1"/>
        <v>42962.374550140084</v>
      </c>
      <c r="F69" s="104">
        <f t="shared" si="1"/>
        <v>44779.682993611001</v>
      </c>
      <c r="G69" s="104">
        <f t="shared" si="1"/>
        <v>46789.171267949307</v>
      </c>
    </row>
    <row r="70" spans="1:7" ht="15" customHeight="1" x14ac:dyDescent="0.3">
      <c r="A70" s="89" t="s">
        <v>269</v>
      </c>
      <c r="B70" s="100">
        <f>-(Datos!G8-Datos!G9-Datos!G14)</f>
        <v>-30870</v>
      </c>
      <c r="C70" s="100">
        <f>-C67*C60</f>
        <v>-29698.544718336936</v>
      </c>
      <c r="D70" s="100">
        <f>-D67*D60</f>
        <v>-30002.54081485901</v>
      </c>
      <c r="E70" s="100">
        <f>-E67*E60</f>
        <v>-30833.689514033653</v>
      </c>
      <c r="F70" s="100">
        <f>-F67*F60</f>
        <v>-32097.841694709845</v>
      </c>
      <c r="G70" s="100">
        <f>-G67*G60</f>
        <v>-33490.51907875594</v>
      </c>
    </row>
    <row r="71" spans="1:7" ht="15" customHeight="1" x14ac:dyDescent="0.3">
      <c r="A71" s="88" t="s">
        <v>270</v>
      </c>
      <c r="B71" s="104">
        <f t="shared" ref="B71:G71" si="2">B69+B70</f>
        <v>11893</v>
      </c>
      <c r="C71" s="104">
        <f t="shared" si="2"/>
        <v>11554.626244415329</v>
      </c>
      <c r="D71" s="104">
        <f t="shared" si="2"/>
        <v>11689.60446382641</v>
      </c>
      <c r="E71" s="104">
        <f t="shared" si="2"/>
        <v>12128.685036106432</v>
      </c>
      <c r="F71" s="104">
        <f t="shared" si="2"/>
        <v>12681.841298901156</v>
      </c>
      <c r="G71" s="104">
        <f t="shared" si="2"/>
        <v>13298.652189193366</v>
      </c>
    </row>
    <row r="72" spans="1:7" ht="15" customHeight="1" x14ac:dyDescent="0.3">
      <c r="A72" s="89" t="s">
        <v>154</v>
      </c>
      <c r="B72" s="100">
        <f>-Datos!G14</f>
        <v>-4342</v>
      </c>
      <c r="C72" s="100">
        <f>-C67*C46</f>
        <v>-4130.146747843045</v>
      </c>
      <c r="D72" s="100">
        <f>-D67*D46</f>
        <v>-4191.2729197111212</v>
      </c>
      <c r="E72" s="100">
        <f>-E67*E46</f>
        <v>-4337.7421393086242</v>
      </c>
      <c r="F72" s="100">
        <f>-F67*F46</f>
        <v>-4522.1951226754927</v>
      </c>
      <c r="G72" s="100">
        <f>-G67*G46</f>
        <v>-4726.1384909576464</v>
      </c>
    </row>
    <row r="73" spans="1:7" ht="15" customHeight="1" x14ac:dyDescent="0.3">
      <c r="A73" s="88" t="s">
        <v>81</v>
      </c>
      <c r="B73" s="104">
        <f t="shared" ref="B73:G73" si="3">B71+B72</f>
        <v>7551</v>
      </c>
      <c r="C73" s="104">
        <f t="shared" si="3"/>
        <v>7424.479496572284</v>
      </c>
      <c r="D73" s="104">
        <f t="shared" si="3"/>
        <v>7498.331544115289</v>
      </c>
      <c r="E73" s="104">
        <f t="shared" si="3"/>
        <v>7790.9428967978074</v>
      </c>
      <c r="F73" s="104">
        <f t="shared" si="3"/>
        <v>8159.6461762256631</v>
      </c>
      <c r="G73" s="104">
        <f t="shared" si="3"/>
        <v>8572.5136982357199</v>
      </c>
    </row>
    <row r="74" spans="1:7" ht="15" customHeight="1" x14ac:dyDescent="0.3">
      <c r="A74" s="89" t="s">
        <v>88</v>
      </c>
      <c r="B74" s="100">
        <f>-Datos!G10</f>
        <v>-3074</v>
      </c>
      <c r="C74" s="100">
        <f>-C61*(B91+B92)</f>
        <v>-2361.8000000000002</v>
      </c>
      <c r="D74" s="100">
        <f>-D61*(C91+C92)</f>
        <v>-2302.7550000000001</v>
      </c>
      <c r="E74" s="100">
        <f>-E61*(D91+D92)</f>
        <v>-2156.5050000000001</v>
      </c>
      <c r="F74" s="100">
        <f>-F61*(E91+E92)</f>
        <v>-2010.2550000000001</v>
      </c>
      <c r="G74" s="100">
        <f>-G61*(F91+F92)</f>
        <v>-1864.0050000000001</v>
      </c>
    </row>
    <row r="75" spans="1:7" ht="15" customHeight="1" x14ac:dyDescent="0.3">
      <c r="A75" s="89" t="s">
        <v>271</v>
      </c>
      <c r="B75" s="100">
        <f>Datos!G11-Datos!G9+Datos!G10</f>
        <v>288</v>
      </c>
      <c r="C75" s="100">
        <v>0</v>
      </c>
      <c r="D75" s="100">
        <v>0</v>
      </c>
      <c r="E75" s="100">
        <v>0</v>
      </c>
      <c r="F75" s="100">
        <v>0</v>
      </c>
      <c r="G75" s="100">
        <v>0</v>
      </c>
    </row>
    <row r="76" spans="1:7" ht="15" customHeight="1" x14ac:dyDescent="0.3">
      <c r="A76" s="89" t="s">
        <v>152</v>
      </c>
      <c r="B76" s="100">
        <f t="shared" ref="B76:G76" si="4">B73+B74+B75</f>
        <v>4765</v>
      </c>
      <c r="C76" s="100">
        <f t="shared" si="4"/>
        <v>5062.6794965722838</v>
      </c>
      <c r="D76" s="100">
        <f t="shared" si="4"/>
        <v>5195.5765441152889</v>
      </c>
      <c r="E76" s="100">
        <f t="shared" si="4"/>
        <v>5634.4378967978073</v>
      </c>
      <c r="F76" s="100">
        <f t="shared" si="4"/>
        <v>6149.391176225663</v>
      </c>
      <c r="G76" s="100">
        <f t="shared" si="4"/>
        <v>6708.5086982357197</v>
      </c>
    </row>
    <row r="77" spans="1:7" ht="15" customHeight="1" x14ac:dyDescent="0.3">
      <c r="A77" s="89" t="s">
        <v>153</v>
      </c>
      <c r="B77" s="100">
        <f>-Datos!G12</f>
        <v>-1433</v>
      </c>
      <c r="C77" s="100">
        <f>-C76*C55</f>
        <v>-1519.8236081652876</v>
      </c>
      <c r="D77" s="100">
        <f>-D76*D55</f>
        <v>-1577.9040093560172</v>
      </c>
      <c r="E77" s="100">
        <f>-E76*E55</f>
        <v>-1712.4062833549017</v>
      </c>
      <c r="F77" s="100">
        <f>-F76*F55</f>
        <v>-1870.2406855861946</v>
      </c>
      <c r="G77" s="100">
        <f>-G76*G55</f>
        <v>-2041.7394080674987</v>
      </c>
    </row>
    <row r="78" spans="1:7" ht="15" customHeight="1" x14ac:dyDescent="0.3">
      <c r="A78" s="88" t="s">
        <v>89</v>
      </c>
      <c r="B78" s="104">
        <f t="shared" ref="B78:G78" si="5">B76+B77</f>
        <v>3332</v>
      </c>
      <c r="C78" s="104">
        <f t="shared" si="5"/>
        <v>3542.8558884069962</v>
      </c>
      <c r="D78" s="104">
        <f t="shared" si="5"/>
        <v>3617.6725347592719</v>
      </c>
      <c r="E78" s="104">
        <f t="shared" si="5"/>
        <v>3922.0316134429058</v>
      </c>
      <c r="F78" s="104">
        <f t="shared" si="5"/>
        <v>4279.1504906394684</v>
      </c>
      <c r="G78" s="104">
        <f t="shared" si="5"/>
        <v>4666.7692901682212</v>
      </c>
    </row>
    <row r="79" spans="1:7" ht="15" customHeight="1" x14ac:dyDescent="0.3">
      <c r="A79" s="89" t="s">
        <v>272</v>
      </c>
      <c r="B79" s="100"/>
      <c r="C79" s="100">
        <f>-C78*C63</f>
        <v>-1063.3671419201885</v>
      </c>
      <c r="D79" s="100">
        <f>-D78*D63</f>
        <v>-1085.8229137341093</v>
      </c>
      <c r="E79" s="100">
        <f>-E78*E63</f>
        <v>-1177.1744825846281</v>
      </c>
      <c r="F79" s="100">
        <f>-F78*F63</f>
        <v>-1284.3615914401919</v>
      </c>
      <c r="G79" s="100">
        <f>-G78*G63</f>
        <v>-1400.7030707417271</v>
      </c>
    </row>
    <row r="80" spans="1:7" ht="15" customHeight="1" x14ac:dyDescent="0.3">
      <c r="A80" s="89" t="s">
        <v>485</v>
      </c>
      <c r="B80" s="98">
        <f t="shared" ref="B80:G80" si="6">B71/B67</f>
        <v>6.6997155169985639E-2</v>
      </c>
      <c r="C80" s="98">
        <f t="shared" si="6"/>
        <v>6.8342111353886695E-2</v>
      </c>
      <c r="D80" s="98">
        <f t="shared" si="6"/>
        <v>6.8132111353886735E-2</v>
      </c>
      <c r="E80" s="98">
        <f t="shared" si="6"/>
        <v>6.831889087769677E-2</v>
      </c>
      <c r="F80" s="98">
        <f t="shared" si="6"/>
        <v>6.8535670401506738E-2</v>
      </c>
      <c r="G80" s="98">
        <f t="shared" si="6"/>
        <v>6.8782449925316819E-2</v>
      </c>
    </row>
    <row r="81" spans="1:7" ht="15" customHeight="1" x14ac:dyDescent="0.3">
      <c r="A81" s="89" t="s">
        <v>34</v>
      </c>
      <c r="B81" s="98">
        <f t="shared" ref="B81:G81" si="7">B78/B67</f>
        <v>1.877024476804777E-2</v>
      </c>
      <c r="C81" s="98">
        <f t="shared" si="7"/>
        <v>2.0954918533458444E-2</v>
      </c>
      <c r="D81" s="98">
        <f t="shared" si="7"/>
        <v>2.1085372797929134E-2</v>
      </c>
      <c r="E81" s="98">
        <f t="shared" si="7"/>
        <v>2.2092159951389106E-2</v>
      </c>
      <c r="F81" s="98">
        <f t="shared" si="7"/>
        <v>2.3125541529235492E-2</v>
      </c>
      <c r="G81" s="98">
        <f t="shared" si="7"/>
        <v>2.4137169725729313E-2</v>
      </c>
    </row>
    <row r="82" spans="1:7" ht="15" customHeight="1" x14ac:dyDescent="0.3">
      <c r="A82" s="101"/>
      <c r="B82" s="101"/>
      <c r="C82" s="101"/>
      <c r="D82" s="101"/>
      <c r="E82" s="101"/>
      <c r="F82" s="101"/>
      <c r="G82" s="101"/>
    </row>
    <row r="83" spans="1:7" ht="15" customHeight="1" x14ac:dyDescent="0.3">
      <c r="A83" s="88" t="s">
        <v>486</v>
      </c>
      <c r="B83" s="103" t="s">
        <v>225</v>
      </c>
      <c r="C83" s="103" t="s">
        <v>226</v>
      </c>
      <c r="D83" s="103" t="s">
        <v>227</v>
      </c>
      <c r="E83" s="103" t="s">
        <v>228</v>
      </c>
      <c r="F83" s="103" t="s">
        <v>229</v>
      </c>
      <c r="G83" s="103" t="s">
        <v>230</v>
      </c>
    </row>
    <row r="84" spans="1:7" ht="15" customHeight="1" x14ac:dyDescent="0.3">
      <c r="A84" s="89" t="s">
        <v>13</v>
      </c>
      <c r="B84" s="100">
        <f>Datos!G17</f>
        <v>9295</v>
      </c>
      <c r="C84" s="100">
        <f>B84+C108</f>
        <v>12146.665480600976</v>
      </c>
      <c r="D84" s="100">
        <f>C84+D108</f>
        <v>13846.496100048131</v>
      </c>
      <c r="E84" s="100">
        <f>D84+E108</f>
        <v>16092.01921947403</v>
      </c>
      <c r="F84" s="100">
        <f>E84+F108</f>
        <v>18290.300156531022</v>
      </c>
      <c r="G84" s="100">
        <f>F84+G108</f>
        <v>20797.346553318759</v>
      </c>
    </row>
    <row r="85" spans="1:7" ht="15" customHeight="1" x14ac:dyDescent="0.3">
      <c r="A85" s="89" t="s">
        <v>156</v>
      </c>
      <c r="B85" s="100">
        <f>Datos!G18</f>
        <v>32283</v>
      </c>
      <c r="C85" s="100">
        <f>-C68*C56/365</f>
        <v>30816.202086346086</v>
      </c>
      <c r="D85" s="100">
        <f>-D68*D56/365</f>
        <v>31313.647329442556</v>
      </c>
      <c r="E85" s="100">
        <f>-E68*E56/365</f>
        <v>32075.135877771281</v>
      </c>
      <c r="F85" s="100">
        <f>-F68*F56/365</f>
        <v>33431.914125401003</v>
      </c>
      <c r="G85" s="100">
        <f>-G68*G56/365</f>
        <v>34932.171271778381</v>
      </c>
    </row>
    <row r="86" spans="1:7" ht="15" customHeight="1" x14ac:dyDescent="0.3">
      <c r="A86" s="89" t="s">
        <v>274</v>
      </c>
      <c r="B86" s="100">
        <f>Datos!G19-Datos!G17-Datos!G18</f>
        <v>6951</v>
      </c>
      <c r="C86" s="100">
        <f>C67*C57</f>
        <v>6620.3315850494046</v>
      </c>
      <c r="D86" s="100">
        <f>D67*D57</f>
        <v>6718.3124925081356</v>
      </c>
      <c r="E86" s="100">
        <f>E67*E57</f>
        <v>6951.6058938104798</v>
      </c>
      <c r="F86" s="100">
        <f>F67*F57</f>
        <v>7245.6588231186624</v>
      </c>
      <c r="G86" s="100">
        <f>G67*G57</f>
        <v>7570.8077628061128</v>
      </c>
    </row>
    <row r="87" spans="1:7" ht="15" customHeight="1" x14ac:dyDescent="0.3">
      <c r="A87" s="88" t="s">
        <v>157</v>
      </c>
      <c r="B87" s="104">
        <f t="shared" ref="B87:G87" si="8">SUM(B84:B86)</f>
        <v>48529</v>
      </c>
      <c r="C87" s="104">
        <f t="shared" si="8"/>
        <v>49583.199151996465</v>
      </c>
      <c r="D87" s="104">
        <f t="shared" si="8"/>
        <v>51878.455921998822</v>
      </c>
      <c r="E87" s="104">
        <f t="shared" si="8"/>
        <v>55118.760991055795</v>
      </c>
      <c r="F87" s="104">
        <f t="shared" si="8"/>
        <v>58967.87310505069</v>
      </c>
      <c r="G87" s="104">
        <f t="shared" si="8"/>
        <v>63300.325587903251</v>
      </c>
    </row>
    <row r="88" spans="1:7" ht="15" customHeight="1" x14ac:dyDescent="0.3">
      <c r="A88" s="89" t="s">
        <v>275</v>
      </c>
      <c r="B88" s="100">
        <f>Datos!G20-Datos!G19</f>
        <v>107509</v>
      </c>
      <c r="C88" s="100">
        <f>B88-C104+C72</f>
        <v>107243.4613003472</v>
      </c>
      <c r="D88" s="100">
        <f>C88-D104+D72</f>
        <v>106481.06629261668</v>
      </c>
      <c r="E88" s="100">
        <f>D88-E104+E72</f>
        <v>105678.53266350865</v>
      </c>
      <c r="F88" s="100">
        <f>E88-F104+F72</f>
        <v>104827.80940072004</v>
      </c>
      <c r="G88" s="100">
        <f>F88-G104+G72</f>
        <v>103924.02833989951</v>
      </c>
    </row>
    <row r="89" spans="1:7" ht="15" customHeight="1" x14ac:dyDescent="0.3">
      <c r="A89" s="88" t="s">
        <v>92</v>
      </c>
      <c r="B89" s="104">
        <f t="shared" ref="B89:G89" si="9">B87+B88</f>
        <v>156038</v>
      </c>
      <c r="C89" s="104">
        <f t="shared" si="9"/>
        <v>156826.66045234367</v>
      </c>
      <c r="D89" s="104">
        <f t="shared" si="9"/>
        <v>158359.52221461551</v>
      </c>
      <c r="E89" s="104">
        <f t="shared" si="9"/>
        <v>160797.29365456445</v>
      </c>
      <c r="F89" s="104">
        <f t="shared" si="9"/>
        <v>163795.68250577073</v>
      </c>
      <c r="G89" s="104">
        <f t="shared" si="9"/>
        <v>167224.35392780276</v>
      </c>
    </row>
    <row r="90" spans="1:7" ht="15" customHeight="1" x14ac:dyDescent="0.3">
      <c r="A90" s="89" t="s">
        <v>276</v>
      </c>
      <c r="B90" s="100">
        <f>Datos!G21-Datos!G25-Datos!G27</f>
        <v>35543</v>
      </c>
      <c r="C90" s="100">
        <f>C67*C58</f>
        <v>33852.171705856854</v>
      </c>
      <c r="D90" s="100">
        <f>D67*D58</f>
        <v>34353.18384710353</v>
      </c>
      <c r="E90" s="100">
        <f>E67*E58</f>
        <v>35546.098156194195</v>
      </c>
      <c r="F90" s="100">
        <f>F67*F58</f>
        <v>37049.698108201206</v>
      </c>
      <c r="G90" s="100">
        <f>G67*G58</f>
        <v>38712.303310806739</v>
      </c>
    </row>
    <row r="91" spans="1:7" ht="15" customHeight="1" x14ac:dyDescent="0.3">
      <c r="A91" s="89" t="s">
        <v>277</v>
      </c>
      <c r="B91" s="100">
        <f>Datos!G25+Datos!G26</f>
        <v>11500</v>
      </c>
      <c r="C91" s="100">
        <f>MAX(0,B91+C62)</f>
        <v>11500</v>
      </c>
      <c r="D91" s="100">
        <f>MAX(0,C91+D62)</f>
        <v>10000</v>
      </c>
      <c r="E91" s="100">
        <f>MAX(0,D91+E62)</f>
        <v>8500</v>
      </c>
      <c r="F91" s="100">
        <f>MAX(0,E91+F62)</f>
        <v>7000</v>
      </c>
      <c r="G91" s="100">
        <f>MAX(0,F91+G62)</f>
        <v>5500</v>
      </c>
    </row>
    <row r="92" spans="1:7" ht="15" customHeight="1" x14ac:dyDescent="0.3">
      <c r="A92" s="89" t="s">
        <v>278</v>
      </c>
      <c r="B92" s="100">
        <f>Datos!G27+Datos!G28</f>
        <v>12118</v>
      </c>
      <c r="C92" s="100">
        <f t="shared" ref="C92:G93" si="10">B92</f>
        <v>12118</v>
      </c>
      <c r="D92" s="100">
        <f t="shared" si="10"/>
        <v>12118</v>
      </c>
      <c r="E92" s="100">
        <f t="shared" si="10"/>
        <v>12118</v>
      </c>
      <c r="F92" s="100">
        <f t="shared" si="10"/>
        <v>12118</v>
      </c>
      <c r="G92" s="100">
        <f t="shared" si="10"/>
        <v>12118</v>
      </c>
    </row>
    <row r="93" spans="1:7" ht="15" customHeight="1" x14ac:dyDescent="0.3">
      <c r="A93" s="89" t="s">
        <v>279</v>
      </c>
      <c r="B93" s="100">
        <f>Datos!G23-Datos!G21-Datos!G26-Datos!G28</f>
        <v>12145</v>
      </c>
      <c r="C93" s="100">
        <f t="shared" si="10"/>
        <v>12145</v>
      </c>
      <c r="D93" s="100">
        <f t="shared" si="10"/>
        <v>12145</v>
      </c>
      <c r="E93" s="100">
        <f t="shared" si="10"/>
        <v>12145</v>
      </c>
      <c r="F93" s="100">
        <f t="shared" si="10"/>
        <v>12145</v>
      </c>
      <c r="G93" s="100">
        <f t="shared" si="10"/>
        <v>12145</v>
      </c>
    </row>
    <row r="94" spans="1:7" ht="15" customHeight="1" x14ac:dyDescent="0.3">
      <c r="A94" s="88" t="s">
        <v>93</v>
      </c>
      <c r="B94" s="104">
        <f t="shared" ref="B94:G94" si="11">SUM(B90:B93)</f>
        <v>71306</v>
      </c>
      <c r="C94" s="104">
        <f t="shared" si="11"/>
        <v>69615.171705856861</v>
      </c>
      <c r="D94" s="104">
        <f t="shared" si="11"/>
        <v>68616.18384710353</v>
      </c>
      <c r="E94" s="104">
        <f t="shared" si="11"/>
        <v>68309.098156194203</v>
      </c>
      <c r="F94" s="104">
        <f t="shared" si="11"/>
        <v>68312.698108201206</v>
      </c>
      <c r="G94" s="104">
        <f t="shared" si="11"/>
        <v>68475.303310806747</v>
      </c>
    </row>
    <row r="95" spans="1:7" ht="15" customHeight="1" x14ac:dyDescent="0.3">
      <c r="A95" s="89" t="s">
        <v>94</v>
      </c>
      <c r="B95" s="100">
        <f>Datos!G24</f>
        <v>84732</v>
      </c>
      <c r="C95" s="100">
        <f>B95+C78+C79</f>
        <v>87211.488746486808</v>
      </c>
      <c r="D95" s="100">
        <f>C95+D78+D79</f>
        <v>89743.338367511969</v>
      </c>
      <c r="E95" s="100">
        <f>D95+E78+E79</f>
        <v>92488.195498370245</v>
      </c>
      <c r="F95" s="100">
        <f>E95+F78+F79</f>
        <v>95482.984397569526</v>
      </c>
      <c r="G95" s="100">
        <f>F95+G78+G79</f>
        <v>98749.050616996014</v>
      </c>
    </row>
    <row r="96" spans="1:7" ht="15" customHeight="1" x14ac:dyDescent="0.3">
      <c r="A96" s="88" t="s">
        <v>280</v>
      </c>
      <c r="B96" s="104">
        <f t="shared" ref="B96:G96" si="12">B94+B95</f>
        <v>156038</v>
      </c>
      <c r="C96" s="104">
        <f t="shared" si="12"/>
        <v>156826.66045234367</v>
      </c>
      <c r="D96" s="104">
        <f t="shared" si="12"/>
        <v>158359.52221461548</v>
      </c>
      <c r="E96" s="104">
        <f t="shared" si="12"/>
        <v>160797.29365456445</v>
      </c>
      <c r="F96" s="104">
        <f t="shared" si="12"/>
        <v>163795.68250577073</v>
      </c>
      <c r="G96" s="104">
        <f t="shared" si="12"/>
        <v>167224.35392780276</v>
      </c>
    </row>
    <row r="97" spans="1:7" ht="15" customHeight="1" x14ac:dyDescent="0.3">
      <c r="A97" s="89" t="s">
        <v>281</v>
      </c>
      <c r="B97" s="100">
        <f t="shared" ref="B97:G97" si="13">B89-B96</f>
        <v>0</v>
      </c>
      <c r="C97" s="100">
        <f t="shared" si="13"/>
        <v>0</v>
      </c>
      <c r="D97" s="100">
        <f t="shared" si="13"/>
        <v>0</v>
      </c>
      <c r="E97" s="100">
        <f t="shared" si="13"/>
        <v>0</v>
      </c>
      <c r="F97" s="100">
        <f t="shared" si="13"/>
        <v>0</v>
      </c>
      <c r="G97" s="100">
        <f t="shared" si="13"/>
        <v>0</v>
      </c>
    </row>
    <row r="98" spans="1:7" ht="15" customHeight="1" x14ac:dyDescent="0.3">
      <c r="A98" s="101"/>
      <c r="B98" s="101"/>
      <c r="C98" s="101"/>
      <c r="D98" s="101"/>
      <c r="E98" s="101"/>
      <c r="F98" s="101"/>
      <c r="G98" s="101"/>
    </row>
    <row r="99" spans="1:7" ht="15" customHeight="1" x14ac:dyDescent="0.3">
      <c r="A99" s="88" t="s">
        <v>487</v>
      </c>
      <c r="B99" s="103" t="s">
        <v>225</v>
      </c>
      <c r="C99" s="103" t="s">
        <v>226</v>
      </c>
      <c r="D99" s="103" t="s">
        <v>227</v>
      </c>
      <c r="E99" s="103" t="s">
        <v>228</v>
      </c>
      <c r="F99" s="103" t="s">
        <v>229</v>
      </c>
      <c r="G99" s="103" t="s">
        <v>230</v>
      </c>
    </row>
    <row r="100" spans="1:7" ht="15" customHeight="1" x14ac:dyDescent="0.3">
      <c r="A100" s="89" t="s">
        <v>89</v>
      </c>
      <c r="B100" s="105"/>
      <c r="C100" s="100">
        <f>C78</f>
        <v>3542.8558884069962</v>
      </c>
      <c r="D100" s="100">
        <f>D78</f>
        <v>3617.6725347592719</v>
      </c>
      <c r="E100" s="100">
        <f>E78</f>
        <v>3922.0316134429058</v>
      </c>
      <c r="F100" s="100">
        <f>F78</f>
        <v>4279.1504906394684</v>
      </c>
      <c r="G100" s="100">
        <f>G78</f>
        <v>4666.7692901682212</v>
      </c>
    </row>
    <row r="101" spans="1:7" ht="15" customHeight="1" x14ac:dyDescent="0.3">
      <c r="A101" s="89" t="s">
        <v>242</v>
      </c>
      <c r="B101" s="105"/>
      <c r="C101" s="100">
        <f>-C72</f>
        <v>4130.146747843045</v>
      </c>
      <c r="D101" s="100">
        <f>-D72</f>
        <v>4191.2729197111212</v>
      </c>
      <c r="E101" s="100">
        <f>-E72</f>
        <v>4337.7421393086242</v>
      </c>
      <c r="F101" s="100">
        <f>-F72</f>
        <v>4522.1951226754927</v>
      </c>
      <c r="G101" s="100">
        <f>-G72</f>
        <v>4726.1384909576464</v>
      </c>
    </row>
    <row r="102" spans="1:7" ht="15" customHeight="1" x14ac:dyDescent="0.3">
      <c r="A102" s="89" t="s">
        <v>283</v>
      </c>
      <c r="B102" s="105"/>
      <c r="C102" s="100">
        <f t="shared" ref="C102:G103" si="14">-(C85-B85)</f>
        <v>1466.7979136539143</v>
      </c>
      <c r="D102" s="100">
        <f t="shared" si="14"/>
        <v>-497.44524309647022</v>
      </c>
      <c r="E102" s="100">
        <f t="shared" si="14"/>
        <v>-761.4885483287253</v>
      </c>
      <c r="F102" s="100">
        <f t="shared" si="14"/>
        <v>-1356.7782476297216</v>
      </c>
      <c r="G102" s="100">
        <f t="shared" si="14"/>
        <v>-1500.2571463773784</v>
      </c>
    </row>
    <row r="103" spans="1:7" ht="15" customHeight="1" x14ac:dyDescent="0.3">
      <c r="A103" s="89" t="s">
        <v>284</v>
      </c>
      <c r="B103" s="105"/>
      <c r="C103" s="100">
        <f t="shared" si="14"/>
        <v>330.66841495059543</v>
      </c>
      <c r="D103" s="100">
        <f t="shared" si="14"/>
        <v>-97.980907458731053</v>
      </c>
      <c r="E103" s="100">
        <f t="shared" si="14"/>
        <v>-233.29340130234414</v>
      </c>
      <c r="F103" s="100">
        <f t="shared" si="14"/>
        <v>-294.05292930818268</v>
      </c>
      <c r="G103" s="100">
        <f t="shared" si="14"/>
        <v>-325.14893968745037</v>
      </c>
    </row>
    <row r="104" spans="1:7" ht="15" customHeight="1" x14ac:dyDescent="0.3">
      <c r="A104" s="89" t="s">
        <v>243</v>
      </c>
      <c r="B104" s="105"/>
      <c r="C104" s="100">
        <f>-C67*C51</f>
        <v>-3864.6080481902395</v>
      </c>
      <c r="D104" s="100">
        <f>-D67*D51</f>
        <v>-3428.8779119806036</v>
      </c>
      <c r="E104" s="100">
        <f>-E67*E51</f>
        <v>-3535.2085102005994</v>
      </c>
      <c r="F104" s="100">
        <f>-F67*F51</f>
        <v>-3671.4718598868835</v>
      </c>
      <c r="G104" s="100">
        <f>-G67*G51</f>
        <v>-3822.3574301371095</v>
      </c>
    </row>
    <row r="105" spans="1:7" ht="15" customHeight="1" x14ac:dyDescent="0.3">
      <c r="A105" s="89" t="s">
        <v>285</v>
      </c>
      <c r="B105" s="105"/>
      <c r="C105" s="100">
        <f>C90-B90</f>
        <v>-1690.8282941431462</v>
      </c>
      <c r="D105" s="100">
        <f>D90-C90</f>
        <v>501.01214124667604</v>
      </c>
      <c r="E105" s="100">
        <f>E90-D90</f>
        <v>1192.9143090906655</v>
      </c>
      <c r="F105" s="100">
        <f>F90-E90</f>
        <v>1503.5999520070109</v>
      </c>
      <c r="G105" s="100">
        <f>G90-F90</f>
        <v>1662.6052026055331</v>
      </c>
    </row>
    <row r="106" spans="1:7" ht="15" customHeight="1" x14ac:dyDescent="0.3">
      <c r="A106" s="89" t="s">
        <v>488</v>
      </c>
      <c r="B106" s="105"/>
      <c r="C106" s="100">
        <f>C79</f>
        <v>-1063.3671419201885</v>
      </c>
      <c r="D106" s="100">
        <f>D79</f>
        <v>-1085.8229137341093</v>
      </c>
      <c r="E106" s="100">
        <f>E79</f>
        <v>-1177.1744825846281</v>
      </c>
      <c r="F106" s="100">
        <f>F79</f>
        <v>-1284.3615914401919</v>
      </c>
      <c r="G106" s="100">
        <f>G79</f>
        <v>-1400.7030707417271</v>
      </c>
    </row>
    <row r="107" spans="1:7" ht="15" customHeight="1" x14ac:dyDescent="0.3">
      <c r="A107" s="89" t="s">
        <v>489</v>
      </c>
      <c r="B107" s="105"/>
      <c r="C107" s="100">
        <f>C91-B91</f>
        <v>0</v>
      </c>
      <c r="D107" s="100">
        <f>D91-C91</f>
        <v>-1500</v>
      </c>
      <c r="E107" s="100">
        <f>E91-D91</f>
        <v>-1500</v>
      </c>
      <c r="F107" s="100">
        <f>F91-E91</f>
        <v>-1500</v>
      </c>
      <c r="G107" s="100">
        <f>G91-F91</f>
        <v>-1500</v>
      </c>
    </row>
    <row r="108" spans="1:7" ht="15" customHeight="1" x14ac:dyDescent="0.3">
      <c r="A108" s="88" t="s">
        <v>490</v>
      </c>
      <c r="B108" s="103"/>
      <c r="C108" s="104">
        <f>SUM(C100:C107)</f>
        <v>2851.6654806009765</v>
      </c>
      <c r="D108" s="104">
        <f>SUM(D100:D107)</f>
        <v>1699.8306194471552</v>
      </c>
      <c r="E108" s="104">
        <f>SUM(E100:E107)</f>
        <v>2245.5231194258995</v>
      </c>
      <c r="F108" s="104">
        <f>SUM(F100:F107)</f>
        <v>2198.280937056993</v>
      </c>
      <c r="G108" s="104">
        <f>SUM(G100:G107)</f>
        <v>2507.0463967877367</v>
      </c>
    </row>
    <row r="109" spans="1:7" ht="15" customHeight="1" x14ac:dyDescent="0.3">
      <c r="A109" s="101"/>
      <c r="B109" s="101"/>
      <c r="C109" s="101"/>
      <c r="D109" s="101"/>
      <c r="E109" s="101"/>
      <c r="F109" s="101"/>
      <c r="G109" s="101"/>
    </row>
    <row r="110" spans="1:7" ht="15" customHeight="1" x14ac:dyDescent="0.3">
      <c r="A110" s="88" t="s">
        <v>491</v>
      </c>
      <c r="B110" s="103" t="s">
        <v>225</v>
      </c>
      <c r="C110" s="103" t="s">
        <v>226</v>
      </c>
      <c r="D110" s="103" t="s">
        <v>227</v>
      </c>
      <c r="E110" s="103" t="s">
        <v>228</v>
      </c>
      <c r="F110" s="103" t="s">
        <v>229</v>
      </c>
      <c r="G110" s="103" t="s">
        <v>230</v>
      </c>
    </row>
    <row r="111" spans="1:7" ht="15" customHeight="1" x14ac:dyDescent="0.3">
      <c r="A111" s="89" t="s">
        <v>81</v>
      </c>
      <c r="B111" s="105"/>
      <c r="C111" s="100">
        <f>C73</f>
        <v>7424.479496572284</v>
      </c>
      <c r="D111" s="100">
        <f>D73</f>
        <v>7498.331544115289</v>
      </c>
      <c r="E111" s="100">
        <f>E73</f>
        <v>7790.9428967978074</v>
      </c>
      <c r="F111" s="100">
        <f>F73</f>
        <v>8159.6461762256631</v>
      </c>
      <c r="G111" s="100">
        <f>G73</f>
        <v>8572.5136982357199</v>
      </c>
    </row>
    <row r="112" spans="1:7" ht="15" customHeight="1" x14ac:dyDescent="0.3">
      <c r="A112" s="89" t="s">
        <v>240</v>
      </c>
      <c r="B112" s="105"/>
      <c r="C112" s="100">
        <f>-C111*C55</f>
        <v>-2228.8393379177005</v>
      </c>
      <c r="D112" s="100">
        <f>-D111*D55</f>
        <v>-2277.25398836462</v>
      </c>
      <c r="E112" s="100">
        <f>-E111*E55</f>
        <v>-2367.8066586407808</v>
      </c>
      <c r="F112" s="100">
        <f>-F111*F55</f>
        <v>-2481.6281517045327</v>
      </c>
      <c r="G112" s="100">
        <f>-G111*G55</f>
        <v>-2609.0506595734787</v>
      </c>
    </row>
    <row r="113" spans="1:7" ht="15" customHeight="1" x14ac:dyDescent="0.3">
      <c r="A113" s="89" t="s">
        <v>492</v>
      </c>
      <c r="B113" s="105"/>
      <c r="C113" s="100">
        <f>C111+C112</f>
        <v>5195.6401586545835</v>
      </c>
      <c r="D113" s="100">
        <f>D111+D112</f>
        <v>5221.0775557506695</v>
      </c>
      <c r="E113" s="100">
        <f>E111+E112</f>
        <v>5423.136238157027</v>
      </c>
      <c r="F113" s="100">
        <f>F111+F112</f>
        <v>5678.0180245211304</v>
      </c>
      <c r="G113" s="100">
        <f>G111+G112</f>
        <v>5963.4630386622412</v>
      </c>
    </row>
    <row r="114" spans="1:7" ht="15" customHeight="1" x14ac:dyDescent="0.3">
      <c r="A114" s="89" t="s">
        <v>242</v>
      </c>
      <c r="B114" s="105"/>
      <c r="C114" s="100">
        <f>C101</f>
        <v>4130.146747843045</v>
      </c>
      <c r="D114" s="100">
        <f>D101</f>
        <v>4191.2729197111212</v>
      </c>
      <c r="E114" s="100">
        <f>E101</f>
        <v>4337.7421393086242</v>
      </c>
      <c r="F114" s="100">
        <f>F101</f>
        <v>4522.1951226754927</v>
      </c>
      <c r="G114" s="100">
        <f>G101</f>
        <v>4726.1384909576464</v>
      </c>
    </row>
    <row r="115" spans="1:7" ht="15" customHeight="1" x14ac:dyDescent="0.3">
      <c r="A115" s="89" t="s">
        <v>243</v>
      </c>
      <c r="B115" s="105"/>
      <c r="C115" s="100">
        <f>C104</f>
        <v>-3864.6080481902395</v>
      </c>
      <c r="D115" s="100">
        <f>D104</f>
        <v>-3428.8779119806036</v>
      </c>
      <c r="E115" s="100">
        <f>E104</f>
        <v>-3535.2085102005994</v>
      </c>
      <c r="F115" s="100">
        <f>F104</f>
        <v>-3671.4718598868835</v>
      </c>
      <c r="G115" s="100">
        <f>G104</f>
        <v>-3822.3574301371095</v>
      </c>
    </row>
    <row r="116" spans="1:7" ht="15" customHeight="1" x14ac:dyDescent="0.3">
      <c r="A116" s="89" t="s">
        <v>244</v>
      </c>
      <c r="B116" s="105"/>
      <c r="C116" s="100">
        <f>C102+C103+C105</f>
        <v>106.63803446136353</v>
      </c>
      <c r="D116" s="100">
        <f>D102+D103+D105</f>
        <v>-94.414009308525237</v>
      </c>
      <c r="E116" s="100">
        <f>E102+E103+E105</f>
        <v>198.13235945959605</v>
      </c>
      <c r="F116" s="100">
        <f>F102+F103+F105</f>
        <v>-147.2312249308934</v>
      </c>
      <c r="G116" s="100">
        <f>G102+G103+G105</f>
        <v>-162.80088345929562</v>
      </c>
    </row>
    <row r="117" spans="1:7" ht="15" customHeight="1" x14ac:dyDescent="0.3">
      <c r="A117" s="88" t="s">
        <v>493</v>
      </c>
      <c r="B117" s="103"/>
      <c r="C117" s="104">
        <f>SUM(C113:C116)</f>
        <v>5567.8168927687539</v>
      </c>
      <c r="D117" s="104">
        <f>SUM(D113:D116)</f>
        <v>5889.0585541726605</v>
      </c>
      <c r="E117" s="104">
        <f>SUM(E113:E116)</f>
        <v>6423.8022267246479</v>
      </c>
      <c r="F117" s="104">
        <f>SUM(F113:F116)</f>
        <v>6381.5100623788467</v>
      </c>
      <c r="G117" s="104">
        <f>SUM(G113:G116)</f>
        <v>6704.4432160234819</v>
      </c>
    </row>
    <row r="118" spans="1:7" ht="15" customHeight="1" x14ac:dyDescent="0.3">
      <c r="A118" s="89" t="s">
        <v>238</v>
      </c>
      <c r="B118" s="105"/>
      <c r="C118" s="106">
        <v>1</v>
      </c>
      <c r="D118" s="106">
        <f>C118+1</f>
        <v>2</v>
      </c>
      <c r="E118" s="106">
        <f>D118+1</f>
        <v>3</v>
      </c>
      <c r="F118" s="106">
        <f>E118+1</f>
        <v>4</v>
      </c>
      <c r="G118" s="106">
        <f>F118+1</f>
        <v>5</v>
      </c>
    </row>
    <row r="119" spans="1:7" ht="15" customHeight="1" x14ac:dyDescent="0.3">
      <c r="A119" s="89" t="s">
        <v>246</v>
      </c>
      <c r="B119" s="105"/>
      <c r="C119" s="107">
        <f>1/(1+$B$126)^C118</f>
        <v>0.8977974121327511</v>
      </c>
      <c r="D119" s="107">
        <f>1/(1+$B$126)^D118</f>
        <v>0.80604019323226495</v>
      </c>
      <c r="E119" s="107">
        <f>1/(1+$B$126)^E118</f>
        <v>0.72366079955891005</v>
      </c>
      <c r="F119" s="107">
        <f>1/(1+$B$126)^F118</f>
        <v>0.649700793105907</v>
      </c>
      <c r="G119" s="107">
        <f>1/(1+$B$126)^G118</f>
        <v>0.58329969071107923</v>
      </c>
    </row>
    <row r="120" spans="1:7" ht="15" customHeight="1" x14ac:dyDescent="0.3">
      <c r="A120" s="89" t="s">
        <v>247</v>
      </c>
      <c r="B120" s="105"/>
      <c r="C120" s="100">
        <f>C117*C119</f>
        <v>4998.7715975568026</v>
      </c>
      <c r="D120" s="100">
        <f>D117*D119</f>
        <v>4746.8178949614539</v>
      </c>
      <c r="E120" s="100">
        <f>E117*E119</f>
        <v>4648.6538555998659</v>
      </c>
      <c r="F120" s="100">
        <f>F117*F119</f>
        <v>4146.0721487408628</v>
      </c>
      <c r="G120" s="100">
        <f>G117*G119</f>
        <v>3910.6996542964903</v>
      </c>
    </row>
    <row r="121" spans="1:7" ht="15" customHeight="1" x14ac:dyDescent="0.3">
      <c r="A121" s="101"/>
      <c r="B121" s="101"/>
      <c r="C121" s="101"/>
      <c r="D121" s="101"/>
      <c r="E121" s="101"/>
      <c r="F121" s="101"/>
      <c r="G121" s="101"/>
    </row>
    <row r="122" spans="1:7" ht="15" customHeight="1" x14ac:dyDescent="0.3">
      <c r="A122" s="88" t="s">
        <v>494</v>
      </c>
      <c r="B122" s="103" t="s">
        <v>78</v>
      </c>
      <c r="C122" s="103"/>
      <c r="D122" s="103"/>
      <c r="E122" s="103"/>
      <c r="F122" s="103"/>
      <c r="G122" s="103"/>
    </row>
    <row r="123" spans="1:7" ht="15" customHeight="1" x14ac:dyDescent="0.3">
      <c r="A123" s="89" t="s">
        <v>6</v>
      </c>
      <c r="B123" s="99">
        <v>3.5000000000000003E-2</v>
      </c>
      <c r="C123" s="105"/>
      <c r="D123" s="105"/>
      <c r="E123" s="105"/>
      <c r="F123" s="105"/>
      <c r="G123" s="105"/>
    </row>
    <row r="124" spans="1:7" ht="15" customHeight="1" x14ac:dyDescent="0.3">
      <c r="A124" s="89" t="s">
        <v>495</v>
      </c>
      <c r="B124" s="99">
        <f>B220</f>
        <v>0.11383702657870544</v>
      </c>
      <c r="C124" s="105"/>
      <c r="D124" s="105"/>
      <c r="E124" s="105"/>
      <c r="F124" s="105"/>
      <c r="G124" s="105"/>
    </row>
    <row r="125" spans="1:7" ht="15" customHeight="1" x14ac:dyDescent="0.3">
      <c r="A125" s="89" t="s">
        <v>496</v>
      </c>
      <c r="B125" s="99">
        <v>0</v>
      </c>
      <c r="C125" s="105"/>
      <c r="D125" s="105"/>
      <c r="E125" s="105"/>
      <c r="F125" s="105"/>
      <c r="G125" s="105"/>
    </row>
    <row r="126" spans="1:7" ht="15" customHeight="1" x14ac:dyDescent="0.3">
      <c r="A126" s="89" t="s">
        <v>497</v>
      </c>
      <c r="B126" s="99">
        <f>B124+B125</f>
        <v>0.11383702657870544</v>
      </c>
      <c r="C126" s="105"/>
      <c r="D126" s="105"/>
      <c r="E126" s="105"/>
      <c r="F126" s="105"/>
      <c r="G126" s="105"/>
    </row>
    <row r="127" spans="1:7" ht="15" customHeight="1" x14ac:dyDescent="0.3">
      <c r="A127" s="89" t="s">
        <v>1142</v>
      </c>
      <c r="B127" s="100">
        <f>G113+G116</f>
        <v>5800.6621552029455</v>
      </c>
      <c r="C127" s="105"/>
      <c r="D127" s="105"/>
      <c r="E127" s="105"/>
      <c r="F127" s="105"/>
      <c r="G127" s="105"/>
    </row>
    <row r="128" spans="1:7" ht="15" customHeight="1" x14ac:dyDescent="0.3">
      <c r="A128" s="89" t="s">
        <v>498</v>
      </c>
      <c r="B128" s="100">
        <f>B127*(1+B123)</f>
        <v>6003.6853306350486</v>
      </c>
      <c r="C128" s="105"/>
      <c r="D128" s="105"/>
      <c r="E128" s="105"/>
      <c r="F128" s="105"/>
      <c r="G128" s="105"/>
    </row>
    <row r="129" spans="1:7" ht="15" customHeight="1" x14ac:dyDescent="0.3">
      <c r="A129" s="88" t="s">
        <v>499</v>
      </c>
      <c r="B129" s="104">
        <f>IF(B126&gt;B123,B128/(B126-B123),"REVISAR WACC/g")</f>
        <v>76153.117274677832</v>
      </c>
      <c r="C129" s="103"/>
      <c r="D129" s="103"/>
      <c r="E129" s="103"/>
      <c r="F129" s="103"/>
      <c r="G129" s="103"/>
    </row>
    <row r="130" spans="1:7" ht="15" customHeight="1" x14ac:dyDescent="0.3">
      <c r="A130" s="89" t="s">
        <v>500</v>
      </c>
      <c r="B130" s="107">
        <f>G119</f>
        <v>0.58329969071107923</v>
      </c>
      <c r="C130" s="105"/>
      <c r="D130" s="105"/>
      <c r="E130" s="105"/>
      <c r="F130" s="105"/>
      <c r="G130" s="105"/>
    </row>
    <row r="131" spans="1:7" ht="15" customHeight="1" x14ac:dyDescent="0.3">
      <c r="A131" s="89" t="s">
        <v>295</v>
      </c>
      <c r="B131" s="100">
        <f>B129*B130</f>
        <v>44420.089753004126</v>
      </c>
      <c r="C131" s="105"/>
      <c r="D131" s="105"/>
      <c r="E131" s="105"/>
      <c r="F131" s="105"/>
      <c r="G131" s="105"/>
    </row>
    <row r="132" spans="1:7" ht="15" customHeight="1" x14ac:dyDescent="0.3">
      <c r="A132" s="101"/>
      <c r="B132" s="101"/>
      <c r="C132" s="101"/>
      <c r="D132" s="101"/>
      <c r="E132" s="101"/>
      <c r="F132" s="101"/>
      <c r="G132" s="101"/>
    </row>
    <row r="133" spans="1:7" ht="15" customHeight="1" x14ac:dyDescent="0.3">
      <c r="A133" s="88" t="s">
        <v>501</v>
      </c>
      <c r="B133" s="103" t="s">
        <v>78</v>
      </c>
      <c r="C133" s="103"/>
      <c r="D133" s="103"/>
      <c r="E133" s="103"/>
      <c r="F133" s="103"/>
      <c r="G133" s="103"/>
    </row>
    <row r="134" spans="1:7" ht="15" customHeight="1" x14ac:dyDescent="0.3">
      <c r="A134" s="89" t="s">
        <v>502</v>
      </c>
      <c r="B134" s="100">
        <f>SUM(C120:G120)</f>
        <v>22451.015151155476</v>
      </c>
      <c r="C134" s="105"/>
      <c r="D134" s="105"/>
      <c r="E134" s="105"/>
      <c r="F134" s="105"/>
      <c r="G134" s="105"/>
    </row>
    <row r="135" spans="1:7" ht="15" customHeight="1" x14ac:dyDescent="0.3">
      <c r="A135" s="89" t="s">
        <v>503</v>
      </c>
      <c r="B135" s="100">
        <f>B131</f>
        <v>44420.089753004126</v>
      </c>
      <c r="C135" s="105"/>
      <c r="D135" s="105"/>
      <c r="E135" s="105"/>
      <c r="F135" s="105"/>
      <c r="G135" s="105"/>
    </row>
    <row r="136" spans="1:7" ht="15" customHeight="1" x14ac:dyDescent="0.3">
      <c r="A136" s="88" t="s">
        <v>504</v>
      </c>
      <c r="B136" s="104">
        <f>B134+B135</f>
        <v>66871.104904159598</v>
      </c>
      <c r="C136" s="103"/>
      <c r="D136" s="103"/>
      <c r="E136" s="103"/>
      <c r="F136" s="103"/>
      <c r="G136" s="103"/>
    </row>
    <row r="137" spans="1:7" ht="15" customHeight="1" x14ac:dyDescent="0.3">
      <c r="A137" s="89" t="s">
        <v>258</v>
      </c>
      <c r="B137" s="98">
        <f>B135/B136</f>
        <v>0.66426433085960646</v>
      </c>
      <c r="C137" s="105"/>
      <c r="D137" s="105"/>
      <c r="E137" s="105"/>
      <c r="F137" s="105"/>
      <c r="G137" s="105"/>
    </row>
    <row r="138" spans="1:7" ht="15" customHeight="1" x14ac:dyDescent="0.3">
      <c r="A138" s="101"/>
      <c r="B138" s="101"/>
      <c r="C138" s="101"/>
      <c r="D138" s="101"/>
      <c r="E138" s="101"/>
      <c r="F138" s="101"/>
      <c r="G138" s="101"/>
    </row>
    <row r="139" spans="1:7" ht="15" customHeight="1" x14ac:dyDescent="0.3">
      <c r="A139" s="88" t="s">
        <v>505</v>
      </c>
      <c r="B139" s="103" t="s">
        <v>78</v>
      </c>
      <c r="C139" s="103"/>
      <c r="D139" s="103"/>
      <c r="E139" s="103"/>
      <c r="F139" s="103"/>
      <c r="G139" s="103"/>
    </row>
    <row r="140" spans="1:7" ht="15" customHeight="1" x14ac:dyDescent="0.3">
      <c r="A140" s="89" t="s">
        <v>504</v>
      </c>
      <c r="B140" s="100">
        <f>B136</f>
        <v>66871.104904159598</v>
      </c>
      <c r="C140" s="105"/>
      <c r="D140" s="105"/>
      <c r="E140" s="105"/>
      <c r="F140" s="105"/>
      <c r="G140" s="105"/>
    </row>
    <row r="141" spans="1:7" ht="15" customHeight="1" x14ac:dyDescent="0.3">
      <c r="A141" s="89" t="s">
        <v>299</v>
      </c>
      <c r="B141" s="100">
        <f>-B91</f>
        <v>-11500</v>
      </c>
      <c r="C141" s="105"/>
      <c r="D141" s="105"/>
      <c r="E141" s="105"/>
      <c r="F141" s="105"/>
      <c r="G141" s="105"/>
    </row>
    <row r="142" spans="1:7" ht="15" customHeight="1" x14ac:dyDescent="0.3">
      <c r="A142" s="89" t="s">
        <v>300</v>
      </c>
      <c r="B142" s="100">
        <f>-B92</f>
        <v>-12118</v>
      </c>
      <c r="C142" s="105"/>
      <c r="D142" s="105"/>
      <c r="E142" s="105"/>
      <c r="F142" s="105"/>
      <c r="G142" s="105"/>
    </row>
    <row r="143" spans="1:7" ht="15" customHeight="1" x14ac:dyDescent="0.3">
      <c r="A143" s="89" t="s">
        <v>301</v>
      </c>
      <c r="B143" s="100">
        <f>B84</f>
        <v>9295</v>
      </c>
      <c r="C143" s="105"/>
      <c r="D143" s="105"/>
      <c r="E143" s="105"/>
      <c r="F143" s="105"/>
      <c r="G143" s="105"/>
    </row>
    <row r="144" spans="1:7" ht="15" customHeight="1" x14ac:dyDescent="0.3">
      <c r="A144" s="89" t="s">
        <v>506</v>
      </c>
      <c r="B144" s="100">
        <f>-(B141+B142+B143)</f>
        <v>14323</v>
      </c>
      <c r="C144" s="105"/>
      <c r="D144" s="105"/>
      <c r="E144" s="105"/>
      <c r="F144" s="105"/>
      <c r="G144" s="105"/>
    </row>
    <row r="145" spans="1:7" ht="15" customHeight="1" x14ac:dyDescent="0.3">
      <c r="A145" s="88" t="s">
        <v>507</v>
      </c>
      <c r="B145" s="104">
        <f>SUM(B140:B143)</f>
        <v>52548.104904159598</v>
      </c>
      <c r="C145" s="103"/>
      <c r="D145" s="103"/>
      <c r="E145" s="103"/>
      <c r="F145" s="103"/>
      <c r="G145" s="103"/>
    </row>
    <row r="146" spans="1:7" ht="15" customHeight="1" x14ac:dyDescent="0.3">
      <c r="A146" s="101"/>
      <c r="B146" s="101"/>
      <c r="C146" s="101"/>
      <c r="D146" s="101"/>
      <c r="E146" s="101"/>
      <c r="F146" s="101"/>
      <c r="G146" s="101"/>
    </row>
    <row r="147" spans="1:7" ht="15" customHeight="1" x14ac:dyDescent="0.3">
      <c r="A147" s="88" t="s">
        <v>508</v>
      </c>
      <c r="B147" s="103" t="s">
        <v>78</v>
      </c>
      <c r="C147" s="103"/>
      <c r="D147" s="103"/>
      <c r="E147" s="103"/>
      <c r="F147" s="103"/>
      <c r="G147" s="103"/>
    </row>
    <row r="148" spans="1:7" ht="15" customHeight="1" x14ac:dyDescent="0.3">
      <c r="A148" s="89" t="s">
        <v>509</v>
      </c>
      <c r="B148" s="100">
        <f>B145</f>
        <v>52548.104904159598</v>
      </c>
      <c r="C148" s="105"/>
      <c r="D148" s="105"/>
      <c r="E148" s="105"/>
      <c r="F148" s="105"/>
      <c r="G148" s="105"/>
    </row>
    <row r="149" spans="1:7" ht="15" customHeight="1" x14ac:dyDescent="0.3">
      <c r="A149" s="89" t="s">
        <v>57</v>
      </c>
      <c r="B149" s="108">
        <f>Valuación!B40</f>
        <v>1800</v>
      </c>
      <c r="C149" s="105"/>
      <c r="D149" s="105"/>
      <c r="E149" s="105"/>
      <c r="F149" s="105"/>
      <c r="G149" s="105"/>
    </row>
    <row r="150" spans="1:7" ht="15" customHeight="1" x14ac:dyDescent="0.3">
      <c r="A150" s="88" t="s">
        <v>510</v>
      </c>
      <c r="B150" s="109">
        <f>B148/B149</f>
        <v>29.193391613421998</v>
      </c>
      <c r="C150" s="103"/>
      <c r="D150" s="103"/>
      <c r="E150" s="103"/>
      <c r="F150" s="103"/>
      <c r="G150" s="103"/>
    </row>
    <row r="151" spans="1:7" ht="15" customHeight="1" x14ac:dyDescent="0.3">
      <c r="A151" s="89" t="s">
        <v>16</v>
      </c>
      <c r="B151" s="110">
        <f>Valuación!B42</f>
        <v>33.479999999999997</v>
      </c>
      <c r="C151" s="105"/>
      <c r="D151" s="105"/>
      <c r="E151" s="105"/>
      <c r="F151" s="105"/>
      <c r="G151" s="105"/>
    </row>
    <row r="152" spans="1:7" ht="15" customHeight="1" x14ac:dyDescent="0.3">
      <c r="A152" s="89" t="s">
        <v>17</v>
      </c>
      <c r="B152" s="98">
        <f>B150/B151-1</f>
        <v>-0.12803489804593782</v>
      </c>
      <c r="C152" s="105"/>
      <c r="D152" s="105"/>
      <c r="E152" s="105"/>
      <c r="F152" s="105"/>
      <c r="G152" s="105"/>
    </row>
    <row r="153" spans="1:7" ht="15" customHeight="1" x14ac:dyDescent="0.3">
      <c r="A153" s="89" t="s">
        <v>511</v>
      </c>
      <c r="B153" s="110">
        <f>'Proyección Soriana'!B85</f>
        <v>36.540972423785909</v>
      </c>
      <c r="C153" s="105"/>
      <c r="D153" s="105"/>
      <c r="E153" s="105"/>
      <c r="F153" s="105"/>
      <c r="G153" s="105"/>
    </row>
    <row r="154" spans="1:7" ht="15" customHeight="1" x14ac:dyDescent="0.3">
      <c r="A154" s="89" t="s">
        <v>512</v>
      </c>
      <c r="B154" s="98">
        <f>B150/B153-1</f>
        <v>-0.20107786747298195</v>
      </c>
      <c r="C154" s="105"/>
      <c r="D154" s="105"/>
      <c r="E154" s="105"/>
      <c r="F154" s="105"/>
      <c r="G154" s="105"/>
    </row>
    <row r="155" spans="1:7" ht="15" customHeight="1" x14ac:dyDescent="0.3">
      <c r="A155" s="89" t="s">
        <v>513</v>
      </c>
      <c r="B155" s="98">
        <v>0.15</v>
      </c>
      <c r="C155" s="105"/>
      <c r="D155" s="105"/>
      <c r="E155" s="105"/>
      <c r="F155" s="105"/>
      <c r="G155" s="105"/>
    </row>
    <row r="156" spans="1:7" ht="15" customHeight="1" x14ac:dyDescent="0.3">
      <c r="A156" s="88" t="s">
        <v>514</v>
      </c>
      <c r="B156" s="103" t="str">
        <f>IF(B152&gt;B155,"COMPRAR",IF(B152&lt;-B155,"VENDER","MANTENER"))</f>
        <v>MANTENER</v>
      </c>
      <c r="C156" s="103"/>
      <c r="D156" s="103"/>
      <c r="E156" s="103"/>
      <c r="F156" s="103"/>
      <c r="G156" s="103"/>
    </row>
    <row r="157" spans="1:7" ht="15" customHeight="1" x14ac:dyDescent="0.3">
      <c r="A157" s="89" t="s">
        <v>515</v>
      </c>
      <c r="B157" s="105" t="str">
        <f t="array" ref="B157">IF(SUMPRODUCT(ABS(B97:G97))&lt;1,"PASS","FAIL")</f>
        <v>PASS</v>
      </c>
      <c r="C157" s="105"/>
      <c r="D157" s="105"/>
      <c r="E157" s="105"/>
      <c r="F157" s="105"/>
      <c r="G157" s="105"/>
    </row>
    <row r="158" spans="1:7" ht="15" customHeight="1" x14ac:dyDescent="0.3">
      <c r="A158" s="89" t="s">
        <v>516</v>
      </c>
      <c r="B158" s="105" t="str">
        <f>IF(B126&gt;B123,"PASS","FAIL")</f>
        <v>PASS</v>
      </c>
      <c r="C158" s="105"/>
      <c r="D158" s="105"/>
      <c r="E158" s="105"/>
      <c r="F158" s="105"/>
      <c r="G158" s="105"/>
    </row>
    <row r="159" spans="1:7" ht="15" customHeight="1" x14ac:dyDescent="0.3">
      <c r="A159" s="101"/>
      <c r="B159" s="101"/>
      <c r="C159" s="101"/>
      <c r="D159" s="101"/>
      <c r="E159" s="101"/>
      <c r="F159" s="101"/>
      <c r="G159" s="101"/>
    </row>
    <row r="160" spans="1:7" ht="15" customHeight="1" x14ac:dyDescent="0.3">
      <c r="A160" s="88" t="s">
        <v>517</v>
      </c>
      <c r="B160" s="103"/>
      <c r="C160" s="103"/>
      <c r="D160" s="103"/>
      <c r="E160" s="103"/>
      <c r="F160" s="103"/>
      <c r="G160" s="103"/>
    </row>
    <row r="161" spans="1:7" ht="15" customHeight="1" x14ac:dyDescent="0.3">
      <c r="A161" s="89" t="s">
        <v>518</v>
      </c>
      <c r="B161" s="99">
        <v>5.0000000000000001E-3</v>
      </c>
      <c r="C161" s="105"/>
      <c r="D161" s="105"/>
      <c r="E161" s="105"/>
      <c r="F161" s="105"/>
      <c r="G161" s="105"/>
    </row>
    <row r="162" spans="1:7" ht="15" customHeight="1" x14ac:dyDescent="0.3">
      <c r="A162" s="88" t="s">
        <v>519</v>
      </c>
      <c r="B162" s="111">
        <f>$B$123-2*$B$161</f>
        <v>2.5000000000000001E-2</v>
      </c>
      <c r="C162" s="111">
        <f>B162+$B$161</f>
        <v>3.0000000000000002E-2</v>
      </c>
      <c r="D162" s="111">
        <f>C162+$B$161</f>
        <v>3.5000000000000003E-2</v>
      </c>
      <c r="E162" s="111">
        <f>D162+$B$161</f>
        <v>0.04</v>
      </c>
      <c r="F162" s="111">
        <f>E162+$B$161</f>
        <v>4.4999999999999998E-2</v>
      </c>
      <c r="G162" s="103"/>
    </row>
    <row r="163" spans="1:7" ht="15" customHeight="1" x14ac:dyDescent="0.3">
      <c r="A163" s="111">
        <f>$B$126-2*$B$161</f>
        <v>0.10383702657870544</v>
      </c>
      <c r="B163" s="110" cm="1">
        <f t="array" ref="B163">(SUMPRODUCT($C$117:$G$117,1/(1+$A163)^$C$118:$G$118)+$B$127*(1+B$162)/($A163-B$162)/(1+$A163)^$G$118+$B$141+$B$142+$B$143)/$B$149</f>
        <v>30.411021898837166</v>
      </c>
      <c r="C163" s="110" cm="1">
        <f t="array" ref="C163">(SUMPRODUCT($C$117:$G$117,1/(1+$A163)^$C$118:$G$118)+$B$127*(1+C$162)/($A163-C$162)/(1+$A163)^$G$118+$B$141+$B$142+$B$143)/$B$149</f>
        <v>32.275472171960644</v>
      </c>
      <c r="D163" s="110" cm="1">
        <f t="array" ref="D163">(SUMPRODUCT($C$117:$G$117,1/(1+$A163)^$C$118:$G$118)+$B$127*(1+D$162)/($A163-D$162)/(1+$A163)^$G$118+$B$141+$B$142+$B$143)/$B$149</f>
        <v>34.410772359118646</v>
      </c>
      <c r="E163" s="110" cm="1">
        <f t="array" ref="E163">(SUMPRODUCT($C$117:$G$117,1/(1+$A163)^$C$118:$G$118)+$B$127*(1+E$162)/($A163-E$162)/(1+$A163)^$G$118+$B$141+$B$142+$B$143)/$B$149</f>
        <v>36.880564972004748</v>
      </c>
      <c r="F163" s="110" cm="1">
        <f t="array" ref="F163">(SUMPRODUCT($C$117:$G$117,1/(1+$A163)^$C$118:$G$118)+$B$127*(1+F$162)/($A163-F$162)/(1+$A163)^$G$118+$B$141+$B$142+$B$143)/$B$149</f>
        <v>39.770126012444237</v>
      </c>
      <c r="G163" s="105"/>
    </row>
    <row r="164" spans="1:7" ht="15" customHeight="1" x14ac:dyDescent="0.3">
      <c r="A164" s="111">
        <f>A163+$B$161</f>
        <v>0.10883702657870545</v>
      </c>
      <c r="B164" s="110" cm="1">
        <f t="array" ref="B164">(SUMPRODUCT($C$117:$G$117,1/(1+$A164)^$C$118:$G$118)+$B$127*(1+B$162)/($A164-B$162)/(1+$A164)^$G$118+$B$141+$B$142+$B$143)/$B$149</f>
        <v>28.182959189649665</v>
      </c>
      <c r="C164" s="110" cm="1">
        <f t="array" ref="C164">(SUMPRODUCT($C$117:$G$117,1/(1+$A164)^$C$118:$G$118)+$B$127*(1+C$162)/($A164-C$162)/(1+$A164)^$G$118+$B$141+$B$142+$B$143)/$B$149</f>
        <v>29.795601647400002</v>
      </c>
      <c r="D164" s="110" cm="1">
        <f t="array" ref="D164">(SUMPRODUCT($C$117:$G$117,1/(1+$A164)^$C$118:$G$118)+$B$127*(1+D$162)/($A164-D$162)/(1+$A164)^$G$118+$B$141+$B$142+$B$143)/$B$149</f>
        <v>31.626649765897174</v>
      </c>
      <c r="E164" s="110" cm="1">
        <f t="array" ref="E164">(SUMPRODUCT($C$117:$G$117,1/(1+$A164)^$C$118:$G$118)+$B$127*(1+E$162)/($A164-E$162)/(1+$A164)^$G$118+$B$141+$B$142+$B$143)/$B$149</f>
        <v>33.723695445518452</v>
      </c>
      <c r="F164" s="110" cm="1">
        <f t="array" ref="F164">(SUMPRODUCT($C$117:$G$117,1/(1+$A164)^$C$118:$G$118)+$B$127*(1+F$162)/($A164-F$162)/(1+$A164)^$G$118+$B$141+$B$142+$B$143)/$B$149</f>
        <v>36.149241024337854</v>
      </c>
      <c r="G164" s="105"/>
    </row>
    <row r="165" spans="1:7" ht="15" customHeight="1" x14ac:dyDescent="0.3">
      <c r="A165" s="111">
        <f>A164+$B$161</f>
        <v>0.11383702657870545</v>
      </c>
      <c r="B165" s="110" cm="1">
        <f t="array" ref="B165">(SUMPRODUCT($C$117:$G$117,1/(1+$A165)^$C$118:$G$118)+$B$127*(1+B$162)/($A165-B$162)/(1+$A165)^$G$118+$B$141+$B$142+$B$143)/$B$149</f>
        <v>26.203921517007629</v>
      </c>
      <c r="C165" s="110" cm="1">
        <f t="array" ref="C165">(SUMPRODUCT($C$117:$G$117,1/(1+$A165)^$C$118:$G$118)+$B$127*(1+C$162)/($A165-C$162)/(1+$A165)^$G$118+$B$141+$B$142+$B$143)/$B$149</f>
        <v>27.609511284829424</v>
      </c>
      <c r="D165" s="112" cm="1">
        <f t="array" ref="D165">(SUMPRODUCT($C$117:$G$117,1/(1+$A165)^$C$118:$G$118)+$B$127*(1+D$162)/($A165-D$162)/(1+$A165)^$G$118+$B$141+$B$142+$B$143)/$B$149</f>
        <v>29.193391613421991</v>
      </c>
      <c r="E165" s="110" cm="1">
        <f t="array" ref="E165">(SUMPRODUCT($C$117:$G$117,1/(1+$A165)^$C$118:$G$118)+$B$127*(1+E$162)/($A165-E$162)/(1+$A165)^$G$118+$B$141+$B$142+$B$143)/$B$149</f>
        <v>30.991782249645151</v>
      </c>
      <c r="F165" s="110" cm="1">
        <f t="array" ref="F165">(SUMPRODUCT($C$117:$G$117,1/(1+$A165)^$C$118:$G$118)+$B$127*(1+F$162)/($A165-F$162)/(1+$A165)^$G$118+$B$141+$B$142+$B$143)/$B$149</f>
        <v>33.051426273123049</v>
      </c>
      <c r="G165" s="105"/>
    </row>
    <row r="166" spans="1:7" ht="15" customHeight="1" x14ac:dyDescent="0.3">
      <c r="A166" s="111">
        <f>A165+$B$161</f>
        <v>0.11883702657870546</v>
      </c>
      <c r="B166" s="110" cm="1">
        <f t="array" ref="B166">(SUMPRODUCT($C$117:$G$117,1/(1+$A166)^$C$118:$G$118)+$B$127*(1+B$162)/($A166-B$162)/(1+$A166)^$G$118+$B$141+$B$142+$B$143)/$B$149</f>
        <v>24.434156972399006</v>
      </c>
      <c r="C166" s="110" cm="1">
        <f t="array" ref="C166">(SUMPRODUCT($C$117:$G$117,1/(1+$A166)^$C$118:$G$118)+$B$127*(1+C$162)/($A166-C$162)/(1+$A166)^$G$118+$B$141+$B$142+$B$143)/$B$149</f>
        <v>25.667657948847996</v>
      </c>
      <c r="D166" s="110" cm="1">
        <f t="array" ref="D166">(SUMPRODUCT($C$117:$G$117,1/(1+$A166)^$C$118:$G$118)+$B$127*(1+D$162)/($A166-D$162)/(1+$A166)^$G$118+$B$141+$B$142+$B$143)/$B$149</f>
        <v>27.048289736918864</v>
      </c>
      <c r="E166" s="110" cm="1">
        <f t="array" ref="E166">(SUMPRODUCT($C$117:$G$117,1/(1+$A166)^$C$118:$G$118)+$B$127*(1+E$162)/($A166-E$162)/(1+$A166)^$G$118+$B$141+$B$142+$B$143)/$B$149</f>
        <v>28.604046316979769</v>
      </c>
      <c r="F166" s="110" cm="1">
        <f t="array" ref="F166">(SUMPRODUCT($C$117:$G$117,1/(1+$A166)^$C$118:$G$118)+$B$127*(1+F$162)/($A166-F$162)/(1+$A166)^$G$118+$B$141+$B$142+$B$143)/$B$149</f>
        <v>30.370504309617537</v>
      </c>
      <c r="G166" s="105"/>
    </row>
    <row r="167" spans="1:7" ht="15" customHeight="1" x14ac:dyDescent="0.3">
      <c r="A167" s="111">
        <f>A166+$B$161</f>
        <v>0.12383702657870546</v>
      </c>
      <c r="B167" s="110" cm="1">
        <f t="array" ref="B167">(SUMPRODUCT($C$117:$G$117,1/(1+$A167)^$C$118:$G$118)+$B$127*(1+B$162)/($A167-B$162)/(1+$A167)^$G$118+$B$141+$B$142+$B$143)/$B$149</f>
        <v>22.841955682599639</v>
      </c>
      <c r="C167" s="110" cm="1">
        <f t="array" ref="C167">(SUMPRODUCT($C$117:$G$117,1/(1+$A167)^$C$118:$G$118)+$B$127*(1+C$162)/($A167-C$162)/(1+$A167)^$G$118+$B$141+$B$142+$B$143)/$B$149</f>
        <v>23.931055827053132</v>
      </c>
      <c r="D167" s="110" cm="1">
        <f t="array" ref="D167">(SUMPRODUCT($C$117:$G$117,1/(1+$A167)^$C$118:$G$118)+$B$127*(1+D$162)/($A167-D$162)/(1+$A167)^$G$118+$B$141+$B$142+$B$143)/$B$149</f>
        <v>25.142751266103595</v>
      </c>
      <c r="E167" s="110" cm="1">
        <f t="array" ref="E167">(SUMPRODUCT($C$117:$G$117,1/(1+$A167)^$C$118:$G$118)+$B$127*(1+E$162)/($A167-E$162)/(1+$A167)^$G$118+$B$141+$B$142+$B$143)/$B$149</f>
        <v>26.498976573220506</v>
      </c>
      <c r="F167" s="110" cm="1">
        <f t="array" ref="F167">(SUMPRODUCT($C$117:$G$117,1/(1+$A167)^$C$118:$G$118)+$B$127*(1+F$162)/($A167-F$162)/(1+$A167)^$G$118+$B$141+$B$142+$B$143)/$B$149</f>
        <v>28.027230857833541</v>
      </c>
      <c r="G167" s="105"/>
    </row>
    <row r="168" spans="1:7" ht="15" customHeight="1" x14ac:dyDescent="0.3">
      <c r="A168" s="105" t="s">
        <v>520</v>
      </c>
      <c r="B168" s="113">
        <f>D165-B150</f>
        <v>0</v>
      </c>
      <c r="C168" s="105"/>
      <c r="D168" s="105"/>
      <c r="E168" s="105"/>
      <c r="F168" s="105"/>
      <c r="G168" s="105"/>
    </row>
    <row r="169" spans="1:7" ht="15" customHeight="1" x14ac:dyDescent="0.3">
      <c r="A169" s="101"/>
      <c r="B169" s="101"/>
      <c r="C169" s="101"/>
      <c r="D169" s="101"/>
      <c r="E169" s="101"/>
      <c r="F169" s="101"/>
      <c r="G169" s="101"/>
    </row>
    <row r="170" spans="1:7" ht="15" customHeight="1" x14ac:dyDescent="0.3">
      <c r="A170" s="88" t="s">
        <v>521</v>
      </c>
      <c r="B170" s="88" t="s">
        <v>357</v>
      </c>
      <c r="C170" s="88" t="s">
        <v>522</v>
      </c>
      <c r="D170" s="88" t="s">
        <v>523</v>
      </c>
      <c r="E170" s="88" t="s">
        <v>524</v>
      </c>
      <c r="F170" s="88" t="s">
        <v>525</v>
      </c>
      <c r="G170" s="88" t="s">
        <v>526</v>
      </c>
    </row>
    <row r="171" spans="1:7" x14ac:dyDescent="0.3">
      <c r="A171" s="89" t="s">
        <v>527</v>
      </c>
      <c r="B171" s="89" t="s">
        <v>365</v>
      </c>
      <c r="C171" s="89">
        <v>4</v>
      </c>
      <c r="D171" s="89" t="s">
        <v>528</v>
      </c>
      <c r="E171" s="89" t="s">
        <v>529</v>
      </c>
      <c r="F171" s="89" t="s">
        <v>239</v>
      </c>
      <c r="G171" s="89">
        <v>11</v>
      </c>
    </row>
    <row r="172" spans="1:7" x14ac:dyDescent="0.3">
      <c r="A172" s="89" t="s">
        <v>530</v>
      </c>
      <c r="B172" s="89" t="s">
        <v>389</v>
      </c>
      <c r="C172" s="89">
        <v>3</v>
      </c>
      <c r="D172" s="89" t="s">
        <v>528</v>
      </c>
      <c r="E172" s="89" t="s">
        <v>529</v>
      </c>
      <c r="F172" s="89" t="s">
        <v>369</v>
      </c>
      <c r="G172" s="89">
        <v>10</v>
      </c>
    </row>
    <row r="173" spans="1:7" x14ac:dyDescent="0.3">
      <c r="A173" s="89" t="s">
        <v>531</v>
      </c>
      <c r="B173" s="89" t="s">
        <v>380</v>
      </c>
      <c r="C173" s="89">
        <v>5</v>
      </c>
      <c r="D173" s="89" t="s">
        <v>528</v>
      </c>
      <c r="E173" s="89" t="s">
        <v>532</v>
      </c>
      <c r="F173" s="89" t="s">
        <v>239</v>
      </c>
      <c r="G173" s="89">
        <v>13</v>
      </c>
    </row>
    <row r="174" spans="1:7" x14ac:dyDescent="0.3">
      <c r="A174" s="89" t="s">
        <v>533</v>
      </c>
      <c r="B174" s="89" t="s">
        <v>365</v>
      </c>
      <c r="C174" s="89">
        <v>3</v>
      </c>
      <c r="D174" s="89" t="s">
        <v>534</v>
      </c>
      <c r="E174" s="89" t="s">
        <v>529</v>
      </c>
      <c r="F174" s="89" t="s">
        <v>239</v>
      </c>
      <c r="G174" s="89">
        <v>13</v>
      </c>
    </row>
    <row r="175" spans="1:7" x14ac:dyDescent="0.3">
      <c r="A175" s="89" t="s">
        <v>535</v>
      </c>
      <c r="B175" s="89" t="s">
        <v>380</v>
      </c>
      <c r="C175" s="89">
        <v>3</v>
      </c>
      <c r="D175" s="89" t="s">
        <v>534</v>
      </c>
      <c r="E175" s="89" t="s">
        <v>532</v>
      </c>
      <c r="F175" s="89" t="s">
        <v>239</v>
      </c>
      <c r="G175" s="89">
        <v>17</v>
      </c>
    </row>
    <row r="176" spans="1:7" x14ac:dyDescent="0.3">
      <c r="A176" s="89" t="s">
        <v>536</v>
      </c>
      <c r="B176" s="89" t="s">
        <v>380</v>
      </c>
      <c r="C176" s="89">
        <v>3</v>
      </c>
      <c r="D176" s="89" t="s">
        <v>528</v>
      </c>
      <c r="E176" s="89" t="s">
        <v>529</v>
      </c>
      <c r="F176" s="89" t="s">
        <v>537</v>
      </c>
      <c r="G176" s="89" t="s">
        <v>538</v>
      </c>
    </row>
    <row r="177" spans="1:7" x14ac:dyDescent="0.3">
      <c r="A177" s="89" t="s">
        <v>539</v>
      </c>
      <c r="B177" s="89" t="s">
        <v>380</v>
      </c>
      <c r="C177" s="89">
        <v>3</v>
      </c>
      <c r="D177" s="89" t="s">
        <v>528</v>
      </c>
      <c r="E177" s="89" t="s">
        <v>532</v>
      </c>
      <c r="F177" s="89" t="s">
        <v>540</v>
      </c>
      <c r="G177" s="89">
        <v>125</v>
      </c>
    </row>
    <row r="178" spans="1:7" x14ac:dyDescent="0.3">
      <c r="A178" s="89" t="s">
        <v>541</v>
      </c>
      <c r="B178" s="89" t="s">
        <v>380</v>
      </c>
      <c r="C178" s="89">
        <v>3</v>
      </c>
      <c r="D178" s="89" t="s">
        <v>534</v>
      </c>
      <c r="E178" s="89" t="s">
        <v>532</v>
      </c>
      <c r="F178" s="89" t="s">
        <v>379</v>
      </c>
      <c r="G178" s="89">
        <v>35</v>
      </c>
    </row>
    <row r="179" spans="1:7" x14ac:dyDescent="0.3">
      <c r="A179" s="89" t="s">
        <v>542</v>
      </c>
      <c r="B179" s="89" t="s">
        <v>380</v>
      </c>
      <c r="C179" s="89">
        <v>2</v>
      </c>
      <c r="D179" s="89" t="s">
        <v>534</v>
      </c>
      <c r="E179" s="89" t="s">
        <v>543</v>
      </c>
      <c r="F179" s="89" t="s">
        <v>5</v>
      </c>
      <c r="G179" s="89">
        <v>125</v>
      </c>
    </row>
    <row r="180" spans="1:7" x14ac:dyDescent="0.3">
      <c r="A180" s="89" t="s">
        <v>544</v>
      </c>
      <c r="B180" s="89" t="s">
        <v>380</v>
      </c>
      <c r="C180" s="89">
        <v>4</v>
      </c>
      <c r="D180" s="89" t="s">
        <v>528</v>
      </c>
      <c r="E180" s="89" t="s">
        <v>543</v>
      </c>
      <c r="F180" s="89" t="s">
        <v>239</v>
      </c>
      <c r="G180" s="89">
        <v>18</v>
      </c>
    </row>
    <row r="181" spans="1:7" x14ac:dyDescent="0.3">
      <c r="A181" s="89" t="s">
        <v>545</v>
      </c>
      <c r="B181" s="89" t="s">
        <v>380</v>
      </c>
      <c r="C181" s="89">
        <v>3</v>
      </c>
      <c r="D181" s="89" t="s">
        <v>528</v>
      </c>
      <c r="E181" s="89" t="s">
        <v>529</v>
      </c>
      <c r="F181" s="89" t="s">
        <v>239</v>
      </c>
      <c r="G181" s="89">
        <v>18</v>
      </c>
    </row>
    <row r="182" spans="1:7" x14ac:dyDescent="0.3">
      <c r="A182" s="89" t="s">
        <v>546</v>
      </c>
      <c r="B182" s="89" t="s">
        <v>380</v>
      </c>
      <c r="C182" s="89">
        <v>2</v>
      </c>
      <c r="D182" s="89" t="s">
        <v>528</v>
      </c>
      <c r="E182" s="89" t="s">
        <v>532</v>
      </c>
      <c r="F182" s="89" t="s">
        <v>379</v>
      </c>
      <c r="G182" s="89">
        <v>35</v>
      </c>
    </row>
    <row r="183" spans="1:7" x14ac:dyDescent="0.3">
      <c r="A183" s="89" t="s">
        <v>547</v>
      </c>
      <c r="B183" s="89" t="s">
        <v>389</v>
      </c>
      <c r="C183" s="89">
        <v>4</v>
      </c>
      <c r="D183" s="89" t="s">
        <v>528</v>
      </c>
      <c r="E183" s="89" t="s">
        <v>548</v>
      </c>
      <c r="F183" s="89" t="s">
        <v>549</v>
      </c>
      <c r="G183" s="89" t="s">
        <v>550</v>
      </c>
    </row>
    <row r="184" spans="1:7" x14ac:dyDescent="0.3">
      <c r="A184" s="89" t="s">
        <v>551</v>
      </c>
      <c r="B184" s="89" t="s">
        <v>380</v>
      </c>
      <c r="C184" s="89">
        <v>3</v>
      </c>
      <c r="D184" s="89" t="s">
        <v>528</v>
      </c>
      <c r="E184" s="89" t="s">
        <v>543</v>
      </c>
      <c r="F184" s="89" t="s">
        <v>393</v>
      </c>
      <c r="G184" s="89">
        <v>33</v>
      </c>
    </row>
    <row r="185" spans="1:7" x14ac:dyDescent="0.3">
      <c r="A185" s="89" t="s">
        <v>552</v>
      </c>
      <c r="B185" s="89" t="s">
        <v>380</v>
      </c>
      <c r="C185" s="89">
        <v>2</v>
      </c>
      <c r="D185" s="89" t="s">
        <v>534</v>
      </c>
      <c r="E185" s="89" t="s">
        <v>529</v>
      </c>
      <c r="F185" s="89" t="s">
        <v>239</v>
      </c>
      <c r="G185" s="89">
        <v>21</v>
      </c>
    </row>
    <row r="186" spans="1:7" x14ac:dyDescent="0.3">
      <c r="A186" s="89" t="s">
        <v>553</v>
      </c>
      <c r="B186" s="89" t="s">
        <v>380</v>
      </c>
      <c r="C186" s="89">
        <v>2</v>
      </c>
      <c r="D186" s="89" t="s">
        <v>534</v>
      </c>
      <c r="E186" s="89" t="s">
        <v>543</v>
      </c>
      <c r="F186" s="89" t="s">
        <v>236</v>
      </c>
      <c r="G186" s="89">
        <v>52</v>
      </c>
    </row>
    <row r="187" spans="1:7" x14ac:dyDescent="0.3">
      <c r="A187" s="89" t="s">
        <v>554</v>
      </c>
      <c r="B187" s="89" t="s">
        <v>365</v>
      </c>
      <c r="C187" s="89">
        <v>3</v>
      </c>
      <c r="D187" s="89" t="s">
        <v>528</v>
      </c>
      <c r="E187" s="89" t="s">
        <v>543</v>
      </c>
      <c r="F187" s="89" t="s">
        <v>239</v>
      </c>
      <c r="G187" s="89">
        <v>19</v>
      </c>
    </row>
    <row r="188" spans="1:7" x14ac:dyDescent="0.3">
      <c r="A188" s="89" t="s">
        <v>555</v>
      </c>
      <c r="B188" s="89" t="s">
        <v>380</v>
      </c>
      <c r="C188" s="89">
        <v>3</v>
      </c>
      <c r="D188" s="89" t="s">
        <v>528</v>
      </c>
      <c r="E188" s="89" t="s">
        <v>532</v>
      </c>
      <c r="F188" s="89" t="s">
        <v>556</v>
      </c>
      <c r="G188" s="89">
        <v>34</v>
      </c>
    </row>
    <row r="189" spans="1:7" x14ac:dyDescent="0.3">
      <c r="A189" s="89" t="s">
        <v>557</v>
      </c>
      <c r="B189" s="89" t="s">
        <v>380</v>
      </c>
      <c r="C189" s="89">
        <v>5</v>
      </c>
      <c r="D189" s="89" t="s">
        <v>528</v>
      </c>
      <c r="E189" s="89" t="s">
        <v>532</v>
      </c>
      <c r="F189" s="89" t="s">
        <v>239</v>
      </c>
      <c r="G189" s="89">
        <v>15</v>
      </c>
    </row>
    <row r="190" spans="1:7" x14ac:dyDescent="0.3">
      <c r="A190" s="89" t="s">
        <v>558</v>
      </c>
      <c r="B190" s="89" t="s">
        <v>380</v>
      </c>
      <c r="C190" s="89">
        <v>5</v>
      </c>
      <c r="D190" s="89" t="s">
        <v>528</v>
      </c>
      <c r="E190" s="89" t="s">
        <v>548</v>
      </c>
      <c r="F190" s="89" t="s">
        <v>559</v>
      </c>
      <c r="G190" s="89" t="s">
        <v>560</v>
      </c>
    </row>
    <row r="191" spans="1:7" x14ac:dyDescent="0.3">
      <c r="A191" s="89" t="s">
        <v>561</v>
      </c>
      <c r="B191" s="89" t="s">
        <v>389</v>
      </c>
      <c r="C191" s="89">
        <v>4</v>
      </c>
      <c r="D191" s="89" t="s">
        <v>528</v>
      </c>
      <c r="E191" s="89" t="s">
        <v>562</v>
      </c>
      <c r="F191" s="89" t="s">
        <v>563</v>
      </c>
      <c r="G191" s="89" t="s">
        <v>564</v>
      </c>
    </row>
    <row r="192" spans="1:7" x14ac:dyDescent="0.3">
      <c r="A192" s="89" t="s">
        <v>565</v>
      </c>
      <c r="B192" s="89" t="s">
        <v>389</v>
      </c>
      <c r="C192" s="89">
        <v>3</v>
      </c>
      <c r="D192" s="89" t="s">
        <v>528</v>
      </c>
      <c r="E192" s="89" t="s">
        <v>543</v>
      </c>
      <c r="F192" s="89" t="s">
        <v>559</v>
      </c>
      <c r="G192" s="89">
        <v>16</v>
      </c>
    </row>
    <row r="193" spans="1:7" x14ac:dyDescent="0.3">
      <c r="A193" s="89" t="s">
        <v>566</v>
      </c>
      <c r="B193" s="89" t="s">
        <v>389</v>
      </c>
      <c r="C193" s="89">
        <v>2</v>
      </c>
      <c r="D193" s="89" t="s">
        <v>528</v>
      </c>
      <c r="E193" s="89" t="s">
        <v>543</v>
      </c>
      <c r="F193" s="89" t="s">
        <v>556</v>
      </c>
      <c r="G193" s="89" t="s">
        <v>567</v>
      </c>
    </row>
    <row r="194" spans="1:7" x14ac:dyDescent="0.3">
      <c r="A194" s="89" t="s">
        <v>568</v>
      </c>
      <c r="B194" s="89" t="s">
        <v>365</v>
      </c>
      <c r="C194" s="89">
        <v>2</v>
      </c>
      <c r="D194" s="89" t="s">
        <v>528</v>
      </c>
      <c r="E194" s="89" t="s">
        <v>543</v>
      </c>
      <c r="F194" s="89" t="s">
        <v>435</v>
      </c>
      <c r="G194" s="89">
        <v>22</v>
      </c>
    </row>
    <row r="195" spans="1:7" x14ac:dyDescent="0.3">
      <c r="A195" s="89" t="s">
        <v>569</v>
      </c>
      <c r="B195" s="89" t="s">
        <v>365</v>
      </c>
      <c r="C195" s="89">
        <v>2</v>
      </c>
      <c r="D195" s="89" t="s">
        <v>534</v>
      </c>
      <c r="E195" s="89" t="s">
        <v>562</v>
      </c>
      <c r="F195" s="89" t="s">
        <v>556</v>
      </c>
      <c r="G195" s="89">
        <v>38</v>
      </c>
    </row>
    <row r="196" spans="1:7" x14ac:dyDescent="0.3">
      <c r="A196" s="89" t="s">
        <v>570</v>
      </c>
      <c r="B196" s="89" t="s">
        <v>365</v>
      </c>
      <c r="C196" s="89">
        <v>4</v>
      </c>
      <c r="D196" s="89" t="s">
        <v>528</v>
      </c>
      <c r="E196" s="89" t="s">
        <v>532</v>
      </c>
      <c r="F196" s="89" t="s">
        <v>556</v>
      </c>
      <c r="G196" s="89">
        <v>32</v>
      </c>
    </row>
    <row r="197" spans="1:7" x14ac:dyDescent="0.3">
      <c r="A197" s="89" t="s">
        <v>571</v>
      </c>
      <c r="B197" s="89" t="s">
        <v>389</v>
      </c>
      <c r="C197" s="89">
        <v>3</v>
      </c>
      <c r="D197" s="89" t="s">
        <v>528</v>
      </c>
      <c r="E197" s="89" t="s">
        <v>532</v>
      </c>
      <c r="F197" s="89" t="s">
        <v>99</v>
      </c>
      <c r="G197" s="89">
        <v>47</v>
      </c>
    </row>
    <row r="198" spans="1:7" x14ac:dyDescent="0.3">
      <c r="A198" s="89" t="s">
        <v>572</v>
      </c>
      <c r="B198" s="89" t="s">
        <v>380</v>
      </c>
      <c r="C198" s="89">
        <v>3</v>
      </c>
      <c r="D198" s="89" t="s">
        <v>534</v>
      </c>
      <c r="E198" s="89" t="s">
        <v>532</v>
      </c>
      <c r="F198" s="89" t="s">
        <v>393</v>
      </c>
      <c r="G198" s="89">
        <v>36</v>
      </c>
    </row>
    <row r="199" spans="1:7" x14ac:dyDescent="0.3">
      <c r="A199" s="89" t="s">
        <v>573</v>
      </c>
      <c r="B199" s="89" t="s">
        <v>380</v>
      </c>
      <c r="C199" s="89">
        <v>3</v>
      </c>
      <c r="D199" s="89" t="s">
        <v>528</v>
      </c>
      <c r="E199" s="89" t="s">
        <v>529</v>
      </c>
      <c r="F199" s="89" t="s">
        <v>239</v>
      </c>
      <c r="G199" s="89">
        <v>17</v>
      </c>
    </row>
    <row r="200" spans="1:7" x14ac:dyDescent="0.3">
      <c r="A200" s="89" t="s">
        <v>574</v>
      </c>
      <c r="B200" s="89" t="s">
        <v>380</v>
      </c>
      <c r="C200" s="89">
        <v>2</v>
      </c>
      <c r="D200" s="89" t="s">
        <v>534</v>
      </c>
      <c r="E200" s="89" t="s">
        <v>529</v>
      </c>
      <c r="F200" s="89" t="s">
        <v>393</v>
      </c>
      <c r="G200" s="89" t="s">
        <v>575</v>
      </c>
    </row>
    <row r="201" spans="1:7" ht="15" customHeight="1" x14ac:dyDescent="0.3">
      <c r="A201" s="91"/>
      <c r="B201" s="91"/>
      <c r="C201" s="91"/>
      <c r="D201" s="91"/>
      <c r="E201" s="91"/>
      <c r="F201" s="91"/>
      <c r="G201" s="91"/>
    </row>
    <row r="202" spans="1:7" ht="15" customHeight="1" x14ac:dyDescent="0.3">
      <c r="A202" s="91"/>
      <c r="B202" s="91"/>
      <c r="C202" s="91"/>
      <c r="D202" s="91"/>
      <c r="E202" s="91"/>
      <c r="F202" s="91"/>
      <c r="G202" s="91"/>
    </row>
    <row r="203" spans="1:7" ht="15" customHeight="1" x14ac:dyDescent="0.3">
      <c r="A203" s="101"/>
      <c r="B203" s="101"/>
      <c r="C203" s="101"/>
      <c r="D203" s="101"/>
      <c r="E203" s="101"/>
      <c r="F203" s="101"/>
      <c r="G203" s="101"/>
    </row>
    <row r="204" spans="1:7" ht="15" customHeight="1" x14ac:dyDescent="0.3">
      <c r="A204" s="101"/>
      <c r="B204" s="101"/>
      <c r="C204" s="101"/>
      <c r="D204" s="101"/>
      <c r="E204" s="101"/>
      <c r="F204" s="101"/>
      <c r="G204" s="101"/>
    </row>
    <row r="205" spans="1:7" ht="15" customHeight="1" x14ac:dyDescent="0.3">
      <c r="A205" s="88" t="s">
        <v>576</v>
      </c>
      <c r="B205" s="103" t="s">
        <v>78</v>
      </c>
      <c r="C205" s="103"/>
      <c r="D205" s="103"/>
      <c r="E205" s="103"/>
      <c r="F205" s="103"/>
      <c r="G205" s="103"/>
    </row>
    <row r="206" spans="1:7" x14ac:dyDescent="0.3">
      <c r="A206" s="89" t="s">
        <v>577</v>
      </c>
      <c r="B206" s="99">
        <f>C61</f>
        <v>0.1</v>
      </c>
      <c r="C206" s="105"/>
      <c r="D206" s="105"/>
      <c r="E206" s="105"/>
      <c r="F206" s="105"/>
      <c r="G206" s="105"/>
    </row>
    <row r="207" spans="1:7" x14ac:dyDescent="0.3">
      <c r="A207" s="89" t="s">
        <v>1137</v>
      </c>
      <c r="B207" s="99">
        <f>WACC!$B$10</f>
        <v>0.3</v>
      </c>
      <c r="C207" s="105"/>
      <c r="D207" s="105"/>
      <c r="E207" s="105"/>
      <c r="F207" s="105"/>
      <c r="G207" s="105"/>
    </row>
    <row r="208" spans="1:7" x14ac:dyDescent="0.3">
      <c r="A208" s="89" t="s">
        <v>578</v>
      </c>
      <c r="B208" s="99">
        <f>B206*(1-B207)</f>
        <v>6.9999999999999993E-2</v>
      </c>
      <c r="C208" s="105"/>
      <c r="D208" s="105"/>
      <c r="E208" s="105"/>
      <c r="F208" s="105"/>
      <c r="G208" s="105"/>
    </row>
    <row r="209" spans="1:7" x14ac:dyDescent="0.3">
      <c r="A209" s="89" t="s">
        <v>579</v>
      </c>
      <c r="B209" s="100">
        <f>B91+B92</f>
        <v>23618</v>
      </c>
      <c r="C209" s="105"/>
      <c r="D209" s="105"/>
      <c r="E209" s="105"/>
      <c r="F209" s="105"/>
      <c r="G209" s="105"/>
    </row>
    <row r="210" spans="1:7" x14ac:dyDescent="0.3">
      <c r="A210" s="89" t="s">
        <v>197</v>
      </c>
      <c r="B210" s="99">
        <f>WACC!B5</f>
        <v>9.5170000000000005E-2</v>
      </c>
      <c r="C210" s="105"/>
      <c r="D210" s="105"/>
      <c r="E210" s="105"/>
      <c r="F210" s="105"/>
      <c r="G210" s="105"/>
    </row>
    <row r="211" spans="1:7" x14ac:dyDescent="0.3">
      <c r="A211" s="89" t="s">
        <v>580</v>
      </c>
      <c r="B211" s="99">
        <f>WACC!B8</f>
        <v>4.2299999999999997E-2</v>
      </c>
      <c r="C211" s="105"/>
      <c r="D211" s="105"/>
      <c r="E211" s="105"/>
      <c r="F211" s="105"/>
      <c r="G211" s="105"/>
    </row>
    <row r="212" spans="1:7" x14ac:dyDescent="0.3">
      <c r="A212" s="89" t="s">
        <v>581</v>
      </c>
      <c r="B212" s="113">
        <f>WACC!B9</f>
        <v>0.69</v>
      </c>
      <c r="C212" s="105"/>
      <c r="D212" s="105"/>
      <c r="E212" s="105"/>
      <c r="F212" s="105"/>
      <c r="G212" s="105"/>
    </row>
    <row r="213" spans="1:7" x14ac:dyDescent="0.3">
      <c r="A213" s="88" t="s">
        <v>582</v>
      </c>
      <c r="B213" s="103" t="s">
        <v>583</v>
      </c>
      <c r="C213" s="103" t="s">
        <v>584</v>
      </c>
      <c r="D213" s="103" t="s">
        <v>213</v>
      </c>
      <c r="E213" s="103" t="s">
        <v>585</v>
      </c>
      <c r="F213" s="103" t="s">
        <v>586</v>
      </c>
      <c r="G213" s="103" t="s">
        <v>587</v>
      </c>
    </row>
    <row r="214" spans="1:7" x14ac:dyDescent="0.3">
      <c r="A214" s="89" t="s">
        <v>588</v>
      </c>
      <c r="B214" s="99">
        <f>WACC!B33</f>
        <v>0.12074804182303711</v>
      </c>
      <c r="C214" s="100" cm="1">
        <f t="array" ref="C214">SUMPRODUCT($C$117:$G$117,1/(1+B214)^$C$118:$G$118)+$B$127*(1+$B$123)/(B214-$B$123)/(1+B214)^$G$118-$B$144</f>
        <v>47329.163881882501</v>
      </c>
      <c r="D214" s="107">
        <f t="shared" ref="D214:D219" si="15">$B$209/C214</f>
        <v>0.49901578779085337</v>
      </c>
      <c r="E214" s="107">
        <f t="shared" ref="E214:E219" si="16">$B$212*(1+(1-$B$207)*D214)</f>
        <v>0.93102462550298204</v>
      </c>
      <c r="F214" s="99">
        <f t="shared" ref="F214:F219" si="17">$B$210+E214*$B$211</f>
        <v>0.13455234165877614</v>
      </c>
      <c r="G214" s="99">
        <f t="shared" ref="G214:G219" si="18">C214/(C214+$B$209)*F214+$B$209/(C214+$B$209)*$B$208</f>
        <v>0.11306314995781928</v>
      </c>
    </row>
    <row r="215" spans="1:7" x14ac:dyDescent="0.3">
      <c r="A215" s="89">
        <v>1</v>
      </c>
      <c r="B215" s="99">
        <f t="shared" ref="B215:B220" si="19">G214</f>
        <v>0.11306314995781928</v>
      </c>
      <c r="C215" s="100" cm="1">
        <f t="array" ref="C215">SUMPRODUCT($C$117:$G$117,1/(1+B215)^$C$118:$G$118)+$B$127*(1+$B$123)/(B215-$B$123)/(1+B215)^$G$118-$B$144</f>
        <v>53189.566832632292</v>
      </c>
      <c r="D215" s="107">
        <f t="shared" si="15"/>
        <v>0.44403444897976002</v>
      </c>
      <c r="E215" s="107">
        <f t="shared" si="16"/>
        <v>0.90446863885722406</v>
      </c>
      <c r="F215" s="99">
        <f t="shared" si="17"/>
        <v>0.13342902342366059</v>
      </c>
      <c r="G215" s="99">
        <f t="shared" si="18"/>
        <v>0.11392486859885823</v>
      </c>
    </row>
    <row r="216" spans="1:7" x14ac:dyDescent="0.3">
      <c r="A216" s="89">
        <v>2</v>
      </c>
      <c r="B216" s="99">
        <f t="shared" si="19"/>
        <v>0.11392486859885823</v>
      </c>
      <c r="C216" s="100" cm="1">
        <f t="array" ref="C216">SUMPRODUCT($C$117:$G$117,1/(1+B216)^$C$118:$G$118)+$B$127*(1+$B$123)/(B216-$B$123)/(1+B216)^$G$118-$B$144</f>
        <v>52476.082097395381</v>
      </c>
      <c r="D216" s="107">
        <f t="shared" si="15"/>
        <v>0.4500717099299657</v>
      </c>
      <c r="E216" s="107">
        <f t="shared" si="16"/>
        <v>0.90738463589617335</v>
      </c>
      <c r="F216" s="99">
        <f t="shared" si="17"/>
        <v>0.13355237009840815</v>
      </c>
      <c r="G216" s="99">
        <f t="shared" si="18"/>
        <v>0.11382705328516307</v>
      </c>
    </row>
    <row r="217" spans="1:7" x14ac:dyDescent="0.3">
      <c r="A217" s="89">
        <v>3</v>
      </c>
      <c r="B217" s="99">
        <f t="shared" si="19"/>
        <v>0.11382705328516307</v>
      </c>
      <c r="C217" s="100" cm="1">
        <f t="array" ref="C217">SUMPRODUCT($C$117:$G$117,1/(1+B217)^$C$118:$G$118)+$B$127*(1+$B$123)/(B217-$B$123)/(1+B217)^$G$118-$B$144</f>
        <v>52556.292205654594</v>
      </c>
      <c r="D217" s="107">
        <f t="shared" si="15"/>
        <v>0.44938482166097155</v>
      </c>
      <c r="E217" s="107">
        <f t="shared" si="16"/>
        <v>0.90705286886224923</v>
      </c>
      <c r="F217" s="99">
        <f t="shared" si="17"/>
        <v>0.13353833635287315</v>
      </c>
      <c r="G217" s="99">
        <f t="shared" si="18"/>
        <v>0.11383814112256208</v>
      </c>
    </row>
    <row r="218" spans="1:7" x14ac:dyDescent="0.3">
      <c r="A218" s="89">
        <v>4</v>
      </c>
      <c r="B218" s="99">
        <f t="shared" si="19"/>
        <v>0.11383814112256208</v>
      </c>
      <c r="C218" s="100" cm="1">
        <f t="array" ref="C218">SUMPRODUCT($C$117:$G$117,1/(1+B218)^$C$118:$G$118)+$B$127*(1+$B$123)/(B218-$B$123)/(1+B218)^$G$118-$B$144</f>
        <v>52547.190077678242</v>
      </c>
      <c r="D218" s="107">
        <f t="shared" si="15"/>
        <v>0.44946266327631468</v>
      </c>
      <c r="E218" s="107">
        <f t="shared" si="16"/>
        <v>0.90709046636245994</v>
      </c>
      <c r="F218" s="99">
        <f t="shared" si="17"/>
        <v>0.13353992672713205</v>
      </c>
      <c r="G218" s="99">
        <f t="shared" si="18"/>
        <v>0.113836884065374</v>
      </c>
    </row>
    <row r="219" spans="1:7" x14ac:dyDescent="0.3">
      <c r="A219" s="89">
        <v>5</v>
      </c>
      <c r="B219" s="99">
        <f t="shared" si="19"/>
        <v>0.113836884065374</v>
      </c>
      <c r="C219" s="100" cm="1">
        <f t="array" ref="C219">SUMPRODUCT($C$117:$G$117,1/(1+B219)^$C$118:$G$118)+$B$127*(1+$B$123)/(B219-$B$123)/(1+B219)^$G$118-$B$144</f>
        <v>52548.221882088896</v>
      </c>
      <c r="D219" s="107">
        <f t="shared" si="15"/>
        <v>0.44945383790522159</v>
      </c>
      <c r="E219" s="107">
        <f t="shared" si="16"/>
        <v>0.90708620370822191</v>
      </c>
      <c r="F219" s="99">
        <f t="shared" si="17"/>
        <v>0.13353974641685779</v>
      </c>
      <c r="G219" s="99">
        <f t="shared" si="18"/>
        <v>0.11383702657870544</v>
      </c>
    </row>
    <row r="220" spans="1:7" x14ac:dyDescent="0.3">
      <c r="A220" s="88" t="s">
        <v>589</v>
      </c>
      <c r="B220" s="111">
        <f t="shared" si="19"/>
        <v>0.11383702657870544</v>
      </c>
      <c r="C220" s="103"/>
      <c r="D220" s="103"/>
      <c r="E220" s="103"/>
      <c r="F220" s="103"/>
      <c r="G220" s="103"/>
    </row>
    <row r="221" spans="1:7" x14ac:dyDescent="0.3">
      <c r="A221" s="88" t="s">
        <v>590</v>
      </c>
      <c r="B221" s="111">
        <f>F219</f>
        <v>0.13353974641685779</v>
      </c>
      <c r="C221" s="103"/>
      <c r="D221" s="103"/>
      <c r="E221" s="103"/>
      <c r="F221" s="103"/>
      <c r="G221" s="103"/>
    </row>
    <row r="222" spans="1:7" x14ac:dyDescent="0.3">
      <c r="A222" s="89" t="s">
        <v>591</v>
      </c>
      <c r="B222" s="113">
        <f>(G219-G218)*10000</f>
        <v>1.4251333144144063E-3</v>
      </c>
      <c r="C222" s="106"/>
      <c r="D222" s="106"/>
      <c r="E222" s="106"/>
      <c r="F222" s="106"/>
      <c r="G222" s="106"/>
    </row>
    <row r="223" spans="1:7" x14ac:dyDescent="0.3">
      <c r="A223" s="114"/>
      <c r="B223" s="114"/>
      <c r="C223" s="114"/>
      <c r="D223" s="114"/>
      <c r="E223" s="114"/>
      <c r="F223" s="114"/>
      <c r="G223" s="114"/>
    </row>
    <row r="224" spans="1:7" x14ac:dyDescent="0.3">
      <c r="A224" s="114"/>
      <c r="B224" s="114"/>
      <c r="C224" s="114"/>
      <c r="D224" s="114"/>
      <c r="E224" s="114"/>
      <c r="F224" s="114"/>
      <c r="G224" s="114"/>
    </row>
    <row r="225" spans="1:7" x14ac:dyDescent="0.3">
      <c r="A225" s="88" t="s">
        <v>592</v>
      </c>
      <c r="B225" s="103" t="s">
        <v>1</v>
      </c>
      <c r="C225" s="103" t="s">
        <v>2</v>
      </c>
      <c r="D225" s="103" t="s">
        <v>3</v>
      </c>
      <c r="E225" s="103" t="s">
        <v>4</v>
      </c>
      <c r="F225" s="103"/>
      <c r="G225" s="103"/>
    </row>
    <row r="226" spans="1:7" x14ac:dyDescent="0.3">
      <c r="A226" s="89" t="s">
        <v>210</v>
      </c>
      <c r="B226" s="100">
        <f>WACC!B18</f>
        <v>60263.999999999993</v>
      </c>
      <c r="C226" s="100">
        <f>WACC!C18</f>
        <v>813622.60452961677</v>
      </c>
      <c r="D226" s="100">
        <f>WACC!D18</f>
        <v>89246.025420077553</v>
      </c>
      <c r="E226" s="100">
        <f>WACC!E18</f>
        <v>34190</v>
      </c>
      <c r="F226" s="106"/>
      <c r="G226" s="106"/>
    </row>
    <row r="227" spans="1:7" x14ac:dyDescent="0.3">
      <c r="A227" s="89" t="s">
        <v>593</v>
      </c>
      <c r="B227" s="100">
        <f>WACC!B21</f>
        <v>23618</v>
      </c>
      <c r="C227" s="100">
        <f>WACC!C21</f>
        <v>80848.099999999991</v>
      </c>
      <c r="D227" s="100">
        <f>WACC!D21</f>
        <v>56744.34</v>
      </c>
      <c r="E227" s="100">
        <f>WACC!E21</f>
        <v>2441.8000000000002</v>
      </c>
      <c r="F227" s="106"/>
      <c r="G227" s="106"/>
    </row>
    <row r="228" spans="1:7" x14ac:dyDescent="0.3">
      <c r="A228" s="89" t="s">
        <v>594</v>
      </c>
      <c r="B228" s="100">
        <f>-WACC!B22</f>
        <v>-9295</v>
      </c>
      <c r="C228" s="100">
        <f>-WACC!C22</f>
        <v>-28591.200000000001</v>
      </c>
      <c r="D228" s="100">
        <f>-WACC!D22</f>
        <v>-14640.16</v>
      </c>
      <c r="E228" s="100">
        <f>-WACC!E22</f>
        <v>-2962.8</v>
      </c>
      <c r="F228" s="106"/>
      <c r="G228" s="106"/>
    </row>
    <row r="229" spans="1:7" x14ac:dyDescent="0.3">
      <c r="A229" s="89" t="s">
        <v>595</v>
      </c>
      <c r="B229" s="100">
        <f>SUM(B226:B228)</f>
        <v>74587</v>
      </c>
      <c r="C229" s="100">
        <f>SUM(C226:C228)</f>
        <v>865879.5045296168</v>
      </c>
      <c r="D229" s="100">
        <f>SUM(D226:D228)</f>
        <v>131350.20542007755</v>
      </c>
      <c r="E229" s="100">
        <f>SUM(E226:E228)</f>
        <v>33669</v>
      </c>
      <c r="F229" s="106"/>
      <c r="G229" s="106"/>
    </row>
    <row r="230" spans="1:7" x14ac:dyDescent="0.3">
      <c r="A230" s="89" t="s">
        <v>596</v>
      </c>
      <c r="B230" s="100">
        <f>Datos!G9+Datos!G14</f>
        <v>11894</v>
      </c>
      <c r="C230" s="100">
        <f>Datos!G35+Datos!G40</f>
        <v>103446.9</v>
      </c>
      <c r="D230" s="100">
        <f>Datos!G61+Datos!G66</f>
        <v>24391.15</v>
      </c>
      <c r="E230" s="100">
        <f>Datos!G87+Datos!G92</f>
        <v>5214.8148178832507</v>
      </c>
      <c r="F230" s="106"/>
      <c r="G230" s="106"/>
    </row>
    <row r="231" spans="1:7" x14ac:dyDescent="0.3">
      <c r="A231" s="88" t="s">
        <v>597</v>
      </c>
      <c r="B231" s="115">
        <f>B229/B230</f>
        <v>6.2709769631747099</v>
      </c>
      <c r="C231" s="115">
        <f>C229/C230</f>
        <v>8.3702798685085469</v>
      </c>
      <c r="D231" s="115">
        <f>D229/D230</f>
        <v>5.385158363589972</v>
      </c>
      <c r="E231" s="115">
        <f>E229/E230</f>
        <v>6.4564133484737258</v>
      </c>
      <c r="F231" s="116"/>
      <c r="G231" s="116"/>
    </row>
    <row r="232" spans="1:7" x14ac:dyDescent="0.3">
      <c r="A232" s="89" t="s">
        <v>598</v>
      </c>
      <c r="B232" s="117">
        <f>MEDIAN(C231:E231)</f>
        <v>6.4564133484737258</v>
      </c>
      <c r="C232" s="105"/>
      <c r="D232" s="105"/>
      <c r="E232" s="105"/>
      <c r="F232" s="105"/>
      <c r="G232" s="105"/>
    </row>
    <row r="233" spans="1:7" x14ac:dyDescent="0.3">
      <c r="A233" s="89" t="s">
        <v>599</v>
      </c>
      <c r="B233" s="99">
        <v>0.1</v>
      </c>
      <c r="C233" s="105"/>
      <c r="D233" s="105"/>
      <c r="E233" s="105"/>
      <c r="F233" s="105"/>
      <c r="G233" s="105"/>
    </row>
    <row r="234" spans="1:7" x14ac:dyDescent="0.3">
      <c r="A234" s="89" t="s">
        <v>600</v>
      </c>
      <c r="B234" s="117">
        <f>B232*(1-B233)</f>
        <v>5.8107720136263534</v>
      </c>
      <c r="C234" s="105"/>
      <c r="D234" s="105"/>
      <c r="E234" s="105"/>
      <c r="F234" s="105"/>
      <c r="G234" s="105"/>
    </row>
    <row r="235" spans="1:7" x14ac:dyDescent="0.3">
      <c r="A235" s="89" t="s">
        <v>601</v>
      </c>
      <c r="B235" s="100">
        <f>G71</f>
        <v>13298.652189193366</v>
      </c>
      <c r="C235" s="105"/>
      <c r="D235" s="105"/>
      <c r="E235" s="105"/>
      <c r="F235" s="105"/>
      <c r="G235" s="105"/>
    </row>
    <row r="236" spans="1:7" x14ac:dyDescent="0.3">
      <c r="A236" s="88" t="s">
        <v>602</v>
      </c>
      <c r="B236" s="104">
        <f>B234*B235</f>
        <v>77275.435959915645</v>
      </c>
      <c r="C236" s="105"/>
      <c r="D236" s="105"/>
      <c r="E236" s="105"/>
      <c r="F236" s="105"/>
      <c r="G236" s="105"/>
    </row>
    <row r="237" spans="1:7" x14ac:dyDescent="0.3">
      <c r="A237" s="89" t="s">
        <v>603</v>
      </c>
      <c r="B237" s="100">
        <f>B236*G119</f>
        <v>45074.737894982609</v>
      </c>
      <c r="C237" s="105"/>
      <c r="D237" s="105"/>
      <c r="E237" s="105"/>
      <c r="F237" s="105"/>
      <c r="G237" s="105"/>
    </row>
    <row r="238" spans="1:7" x14ac:dyDescent="0.3">
      <c r="A238" s="88" t="s">
        <v>604</v>
      </c>
      <c r="B238" s="104">
        <f>B134+B237</f>
        <v>67525.753046138081</v>
      </c>
      <c r="C238" s="105"/>
      <c r="D238" s="105"/>
      <c r="E238" s="105"/>
      <c r="F238" s="105"/>
      <c r="G238" s="105"/>
    </row>
    <row r="239" spans="1:7" x14ac:dyDescent="0.3">
      <c r="A239" s="89" t="s">
        <v>605</v>
      </c>
      <c r="B239" s="100">
        <f>B238-B144</f>
        <v>53202.753046138081</v>
      </c>
      <c r="C239" s="105"/>
      <c r="D239" s="105"/>
      <c r="E239" s="105"/>
      <c r="F239" s="105"/>
      <c r="G239" s="105"/>
    </row>
    <row r="240" spans="1:7" x14ac:dyDescent="0.3">
      <c r="A240" s="88" t="s">
        <v>606</v>
      </c>
      <c r="B240" s="109">
        <f>B239/B149</f>
        <v>29.557085025632269</v>
      </c>
      <c r="C240" s="105"/>
      <c r="D240" s="105"/>
      <c r="E240" s="105"/>
      <c r="F240" s="105"/>
      <c r="G240" s="105"/>
    </row>
    <row r="241" spans="1:7" x14ac:dyDescent="0.3">
      <c r="A241" s="89" t="s">
        <v>607</v>
      </c>
      <c r="B241" s="117">
        <f>B129/G71</f>
        <v>5.7263785977168959</v>
      </c>
      <c r="C241" s="105"/>
      <c r="D241" s="105"/>
      <c r="E241" s="105"/>
      <c r="F241" s="105"/>
      <c r="G241" s="105"/>
    </row>
    <row r="242" spans="1:7" x14ac:dyDescent="0.3">
      <c r="A242" s="89" t="s">
        <v>608</v>
      </c>
      <c r="B242" s="99">
        <f>(B236*B126-B127)/(B236+B127)</f>
        <v>3.6065050839234933E-2</v>
      </c>
      <c r="C242" s="105"/>
      <c r="D242" s="105"/>
      <c r="E242" s="105"/>
      <c r="F242" s="105"/>
      <c r="G242" s="105"/>
    </row>
    <row r="243" spans="1:7" x14ac:dyDescent="0.3">
      <c r="A243" s="89" t="s">
        <v>609</v>
      </c>
      <c r="B243" s="99">
        <v>0.5</v>
      </c>
      <c r="C243" s="105"/>
      <c r="D243" s="105"/>
      <c r="E243" s="105"/>
      <c r="F243" s="105"/>
      <c r="G243" s="105"/>
    </row>
    <row r="244" spans="1:7" x14ac:dyDescent="0.3">
      <c r="A244" s="89" t="s">
        <v>610</v>
      </c>
      <c r="B244" s="99">
        <f>1-B243</f>
        <v>0.5</v>
      </c>
      <c r="C244" s="105"/>
      <c r="D244" s="105"/>
      <c r="E244" s="105"/>
      <c r="F244" s="105"/>
      <c r="G244" s="105"/>
    </row>
    <row r="245" spans="1:7" x14ac:dyDescent="0.3">
      <c r="A245" s="89" t="s">
        <v>611</v>
      </c>
      <c r="B245" s="100">
        <f>B243*B136+B244*B238</f>
        <v>67198.42897514884</v>
      </c>
      <c r="C245" s="105"/>
      <c r="D245" s="105"/>
      <c r="E245" s="105"/>
      <c r="F245" s="105"/>
      <c r="G245" s="105"/>
    </row>
    <row r="246" spans="1:7" x14ac:dyDescent="0.3">
      <c r="A246" s="88" t="s">
        <v>612</v>
      </c>
      <c r="B246" s="109">
        <f>B243*B150+B244*B240</f>
        <v>29.375238319527135</v>
      </c>
      <c r="C246" s="105"/>
      <c r="D246" s="105"/>
      <c r="E246" s="105"/>
      <c r="F246" s="105"/>
      <c r="G246" s="105"/>
    </row>
    <row r="247" spans="1:7" x14ac:dyDescent="0.3">
      <c r="A247" s="114"/>
      <c r="B247" s="114"/>
      <c r="C247" s="114"/>
      <c r="D247" s="114"/>
      <c r="E247" s="114"/>
      <c r="F247" s="114"/>
      <c r="G247" s="114"/>
    </row>
    <row r="248" spans="1:7" x14ac:dyDescent="0.3">
      <c r="A248" s="114"/>
      <c r="B248" s="114"/>
      <c r="C248" s="114"/>
      <c r="D248" s="114"/>
      <c r="E248" s="114"/>
      <c r="F248" s="114"/>
      <c r="G248" s="114"/>
    </row>
    <row r="249" spans="1:7" x14ac:dyDescent="0.3">
      <c r="A249" s="88" t="s">
        <v>613</v>
      </c>
      <c r="B249" s="103" t="s">
        <v>78</v>
      </c>
      <c r="C249" s="103"/>
      <c r="D249" s="103"/>
      <c r="E249" s="103"/>
      <c r="F249" s="103"/>
      <c r="G249" s="103"/>
    </row>
    <row r="250" spans="1:7" x14ac:dyDescent="0.3">
      <c r="A250" s="89" t="s">
        <v>614</v>
      </c>
      <c r="B250" s="118">
        <f>DATE(2025,12,31)</f>
        <v>46022</v>
      </c>
      <c r="C250" s="105"/>
      <c r="D250" s="105"/>
      <c r="E250" s="105"/>
      <c r="F250" s="105"/>
      <c r="G250" s="105"/>
    </row>
    <row r="251" spans="1:7" x14ac:dyDescent="0.3">
      <c r="A251" s="89" t="s">
        <v>615</v>
      </c>
      <c r="B251" s="118">
        <f>DATE(2026,6,30)</f>
        <v>46203</v>
      </c>
      <c r="C251" s="105"/>
      <c r="D251" s="105"/>
      <c r="E251" s="105"/>
      <c r="F251" s="105"/>
      <c r="G251" s="105"/>
    </row>
    <row r="252" spans="1:7" x14ac:dyDescent="0.3">
      <c r="A252" s="89" t="s">
        <v>616</v>
      </c>
      <c r="B252" s="118">
        <f>DATE(2026,10,1)</f>
        <v>46296</v>
      </c>
      <c r="C252" s="105"/>
      <c r="D252" s="105"/>
      <c r="E252" s="105"/>
      <c r="F252" s="105"/>
      <c r="G252" s="105"/>
    </row>
    <row r="253" spans="1:7" x14ac:dyDescent="0.3">
      <c r="A253" s="89" t="s">
        <v>617</v>
      </c>
      <c r="B253" s="113">
        <f>YEARFRAC(B250,B251)</f>
        <v>0.5</v>
      </c>
      <c r="C253" s="105"/>
      <c r="D253" s="105"/>
      <c r="E253" s="105"/>
      <c r="F253" s="105"/>
      <c r="G253" s="105"/>
    </row>
    <row r="254" spans="1:7" x14ac:dyDescent="0.3">
      <c r="A254" s="89" t="s">
        <v>618</v>
      </c>
      <c r="B254" s="113">
        <f>YEARFRAC(B251,B252)</f>
        <v>0.25277777777777777</v>
      </c>
      <c r="C254" s="105"/>
      <c r="D254" s="105"/>
      <c r="E254" s="105"/>
      <c r="F254" s="105"/>
      <c r="G254" s="105"/>
    </row>
    <row r="255" spans="1:7" x14ac:dyDescent="0.3">
      <c r="A255" s="89" t="s">
        <v>619</v>
      </c>
      <c r="B255" s="100">
        <f>B245</f>
        <v>67198.42897514884</v>
      </c>
      <c r="C255" s="105"/>
      <c r="D255" s="105"/>
      <c r="E255" s="105"/>
      <c r="F255" s="105"/>
      <c r="G255" s="105"/>
    </row>
    <row r="256" spans="1:7" x14ac:dyDescent="0.3">
      <c r="A256" s="89" t="s">
        <v>620</v>
      </c>
      <c r="B256" s="100">
        <f>B255*(1+B126)^B253</f>
        <v>70920.198948614445</v>
      </c>
      <c r="C256" s="105"/>
      <c r="D256" s="105"/>
      <c r="E256" s="105"/>
      <c r="F256" s="105"/>
      <c r="G256" s="105"/>
    </row>
    <row r="257" spans="1:7" x14ac:dyDescent="0.3">
      <c r="A257" s="89" t="s">
        <v>621</v>
      </c>
      <c r="B257" s="100">
        <f>-((Datos!E15+Datos!F15)-(Datos!E16+Datos!F16))</f>
        <v>1060.4969999999998</v>
      </c>
      <c r="C257" s="105"/>
      <c r="D257" s="105"/>
      <c r="E257" s="105"/>
      <c r="F257" s="105"/>
      <c r="G257" s="105"/>
    </row>
    <row r="258" spans="1:7" x14ac:dyDescent="0.3">
      <c r="A258" s="89" t="s">
        <v>622</v>
      </c>
      <c r="B258" s="100">
        <f>B256+B257</f>
        <v>71980.695948614448</v>
      </c>
      <c r="C258" s="105"/>
      <c r="D258" s="105"/>
      <c r="E258" s="105"/>
      <c r="F258" s="105"/>
      <c r="G258" s="105"/>
    </row>
    <row r="259" spans="1:7" x14ac:dyDescent="0.3">
      <c r="A259" s="89" t="s">
        <v>623</v>
      </c>
      <c r="B259" s="100">
        <f>-(Datos!F25+Datos!F26)</f>
        <v>-11500</v>
      </c>
      <c r="C259" s="105"/>
      <c r="D259" s="105"/>
      <c r="E259" s="105"/>
      <c r="F259" s="105"/>
      <c r="G259" s="105"/>
    </row>
    <row r="260" spans="1:7" x14ac:dyDescent="0.3">
      <c r="A260" s="89" t="s">
        <v>624</v>
      </c>
      <c r="B260" s="100">
        <f>-(Datos!F27+Datos!F28)</f>
        <v>-12220.588000000002</v>
      </c>
      <c r="C260" s="105"/>
      <c r="D260" s="105"/>
      <c r="E260" s="105"/>
      <c r="F260" s="105"/>
      <c r="G260" s="105"/>
    </row>
    <row r="261" spans="1:7" x14ac:dyDescent="0.3">
      <c r="A261" s="89" t="s">
        <v>625</v>
      </c>
      <c r="B261" s="100">
        <f>Datos!F17</f>
        <v>6875.384</v>
      </c>
      <c r="C261" s="105"/>
      <c r="D261" s="105"/>
      <c r="E261" s="105"/>
      <c r="F261" s="105"/>
      <c r="G261" s="105"/>
    </row>
    <row r="262" spans="1:7" x14ac:dyDescent="0.3">
      <c r="A262" s="88" t="s">
        <v>626</v>
      </c>
      <c r="B262" s="104">
        <f>SUM(B258:B261)</f>
        <v>55135.491948614443</v>
      </c>
      <c r="C262" s="105"/>
      <c r="D262" s="105"/>
      <c r="E262" s="105"/>
      <c r="F262" s="105"/>
      <c r="G262" s="105"/>
    </row>
    <row r="263" spans="1:7" x14ac:dyDescent="0.3">
      <c r="A263" s="88" t="s">
        <v>627</v>
      </c>
      <c r="B263" s="104">
        <f>B262*(1+B221)^B254</f>
        <v>56910.402260138944</v>
      </c>
      <c r="C263" s="105"/>
      <c r="D263" s="105"/>
      <c r="E263" s="105"/>
      <c r="F263" s="105"/>
      <c r="G263" s="105"/>
    </row>
    <row r="264" spans="1:7" x14ac:dyDescent="0.3">
      <c r="A264" s="89" t="s">
        <v>57</v>
      </c>
      <c r="B264" s="108">
        <f>B149</f>
        <v>1800</v>
      </c>
      <c r="C264" s="105"/>
      <c r="D264" s="105"/>
      <c r="E264" s="105"/>
      <c r="F264" s="105"/>
      <c r="G264" s="105"/>
    </row>
    <row r="265" spans="1:7" x14ac:dyDescent="0.3">
      <c r="A265" s="88" t="s">
        <v>628</v>
      </c>
      <c r="B265" s="109">
        <f>B263/B264</f>
        <v>31.616890144521637</v>
      </c>
      <c r="C265" s="105"/>
      <c r="D265" s="105"/>
      <c r="E265" s="105"/>
      <c r="F265" s="105"/>
      <c r="G265" s="105"/>
    </row>
    <row r="266" spans="1:7" x14ac:dyDescent="0.3">
      <c r="A266" s="89" t="s">
        <v>16</v>
      </c>
      <c r="B266" s="110">
        <f>B151</f>
        <v>33.479999999999997</v>
      </c>
      <c r="C266" s="105"/>
      <c r="D266" s="105"/>
      <c r="E266" s="105"/>
      <c r="F266" s="105"/>
      <c r="G266" s="105"/>
    </row>
    <row r="267" spans="1:7" x14ac:dyDescent="0.3">
      <c r="A267" s="89" t="s">
        <v>17</v>
      </c>
      <c r="B267" s="98">
        <f>B265/B266-1</f>
        <v>-5.5648442517274743E-2</v>
      </c>
      <c r="C267" s="105"/>
      <c r="D267" s="105"/>
      <c r="E267" s="105"/>
      <c r="F267" s="105"/>
      <c r="G267" s="105"/>
    </row>
    <row r="268" spans="1:7" x14ac:dyDescent="0.3">
      <c r="A268" s="88" t="s">
        <v>629</v>
      </c>
      <c r="B268" s="111" t="str">
        <f>IF(B267&gt;B155,"COMPRAR",IF(B267&lt;-B155,"VENDER","MANTENER"))</f>
        <v>MANTENER</v>
      </c>
      <c r="C268" s="105"/>
      <c r="D268" s="105"/>
      <c r="E268" s="105"/>
      <c r="F268" s="105"/>
      <c r="G268" s="105"/>
    </row>
    <row r="269" spans="1:7" x14ac:dyDescent="0.3">
      <c r="A269" s="89" t="s">
        <v>18</v>
      </c>
      <c r="B269" s="110">
        <f>Generales!B24</f>
        <v>23.356999999999999</v>
      </c>
      <c r="C269" s="105"/>
      <c r="D269" s="105"/>
      <c r="E269" s="105"/>
      <c r="F269" s="105"/>
      <c r="G269" s="105"/>
    </row>
    <row r="270" spans="1:7" x14ac:dyDescent="0.3">
      <c r="A270" s="89" t="s">
        <v>630</v>
      </c>
      <c r="B270" s="98">
        <f>B265/B269-1</f>
        <v>0.35363660335324054</v>
      </c>
      <c r="C270" s="105"/>
      <c r="D270" s="105"/>
      <c r="E270" s="105"/>
      <c r="F270" s="105"/>
      <c r="G270" s="105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69"/>
  <sheetViews>
    <sheetView zoomScale="114" zoomScaleNormal="100" workbookViewId="0">
      <selection activeCell="D47" sqref="D47"/>
    </sheetView>
  </sheetViews>
  <sheetFormatPr baseColWidth="10" defaultColWidth="8.6640625" defaultRowHeight="14.4" x14ac:dyDescent="0.3"/>
  <cols>
    <col min="1" max="1" width="114" bestFit="1" customWidth="1"/>
    <col min="2" max="2" width="14.44140625" bestFit="1" customWidth="1"/>
    <col min="3" max="7" width="14" customWidth="1"/>
    <col min="8" max="8" width="62" hidden="1" customWidth="1"/>
    <col min="9" max="12" width="14" customWidth="1"/>
  </cols>
  <sheetData>
    <row r="1" spans="1:8" ht="17.399999999999999" x14ac:dyDescent="0.3">
      <c r="A1" s="119"/>
    </row>
    <row r="2" spans="1:8" x14ac:dyDescent="0.3">
      <c r="A2" s="120"/>
    </row>
    <row r="3" spans="1:8" x14ac:dyDescent="0.3">
      <c r="A3" s="120"/>
    </row>
    <row r="5" spans="1:8" x14ac:dyDescent="0.3">
      <c r="A5" s="255" t="s">
        <v>631</v>
      </c>
      <c r="B5" s="255"/>
      <c r="C5" s="255"/>
    </row>
    <row r="6" spans="1:8" x14ac:dyDescent="0.3">
      <c r="A6" s="256" t="s">
        <v>632</v>
      </c>
      <c r="B6" s="256"/>
      <c r="C6" s="256"/>
      <c r="D6" s="256"/>
      <c r="E6" s="157">
        <v>2</v>
      </c>
      <c r="F6" s="154" t="str">
        <f>CHOOSE(E6+1,"Trayectoria Citi — Referencia","Cautela","Base","Alcista")</f>
        <v>Base</v>
      </c>
      <c r="H6" s="120" t="s">
        <v>633</v>
      </c>
    </row>
    <row r="8" spans="1:8" x14ac:dyDescent="0.3">
      <c r="A8" s="155" t="s">
        <v>195</v>
      </c>
      <c r="B8" s="155" t="s">
        <v>226</v>
      </c>
      <c r="C8" s="155" t="s">
        <v>227</v>
      </c>
      <c r="D8" s="155" t="s">
        <v>228</v>
      </c>
      <c r="E8" s="155" t="s">
        <v>229</v>
      </c>
      <c r="F8" s="155" t="s">
        <v>230</v>
      </c>
      <c r="G8" s="124"/>
      <c r="H8" s="124" t="s">
        <v>634</v>
      </c>
    </row>
    <row r="9" spans="1:8" ht="57.6" x14ac:dyDescent="0.3">
      <c r="A9" s="152" t="s">
        <v>635</v>
      </c>
      <c r="B9" s="153">
        <v>3.9300000000000002E-2</v>
      </c>
      <c r="C9" s="153">
        <v>3.8300000000000001E-2</v>
      </c>
      <c r="D9" s="153">
        <v>3.7499999999999999E-2</v>
      </c>
      <c r="E9" s="153">
        <v>3.7499999999999999E-2</v>
      </c>
      <c r="F9" s="153">
        <v>3.7499999999999999E-2</v>
      </c>
      <c r="H9" s="1" t="s">
        <v>636</v>
      </c>
    </row>
    <row r="10" spans="1:8" ht="28.8" x14ac:dyDescent="0.3">
      <c r="A10" s="152" t="s">
        <v>637</v>
      </c>
      <c r="B10" s="153">
        <f>$B$33</f>
        <v>3.2599999999999997E-2</v>
      </c>
      <c r="C10" s="153">
        <f>$B$33</f>
        <v>3.2599999999999997E-2</v>
      </c>
      <c r="D10" s="153">
        <f>$B$33</f>
        <v>3.2599999999999997E-2</v>
      </c>
      <c r="E10" s="153">
        <f>$B$33</f>
        <v>3.2599999999999997E-2</v>
      </c>
      <c r="F10" s="153">
        <f>$B$33</f>
        <v>3.2599999999999997E-2</v>
      </c>
      <c r="H10" s="1" t="s">
        <v>638</v>
      </c>
    </row>
    <row r="11" spans="1:8" ht="28.8" x14ac:dyDescent="0.3">
      <c r="A11" s="152" t="s">
        <v>639</v>
      </c>
      <c r="B11" s="153">
        <f>$B$34</f>
        <v>3.5099999999999999E-2</v>
      </c>
      <c r="C11" s="153">
        <f>$B$34</f>
        <v>3.5099999999999999E-2</v>
      </c>
      <c r="D11" s="153">
        <f>$B$34</f>
        <v>3.5099999999999999E-2</v>
      </c>
      <c r="E11" s="153">
        <f>$B$34</f>
        <v>3.5099999999999999E-2</v>
      </c>
      <c r="F11" s="153">
        <f>$B$34</f>
        <v>3.5099999999999999E-2</v>
      </c>
      <c r="H11" s="1" t="s">
        <v>640</v>
      </c>
    </row>
    <row r="12" spans="1:8" x14ac:dyDescent="0.3">
      <c r="A12" s="152" t="s">
        <v>641</v>
      </c>
      <c r="B12" s="153">
        <f>$B$35</f>
        <v>0.04</v>
      </c>
      <c r="C12" s="153">
        <f>$B$35</f>
        <v>0.04</v>
      </c>
      <c r="D12" s="153">
        <f>$B$35</f>
        <v>0.04</v>
      </c>
      <c r="E12" s="153">
        <f>$B$35</f>
        <v>0.04</v>
      </c>
      <c r="F12" s="153">
        <f>$B$35</f>
        <v>0.04</v>
      </c>
      <c r="H12" s="1" t="s">
        <v>642</v>
      </c>
    </row>
    <row r="13" spans="1:8" ht="43.2" x14ac:dyDescent="0.3">
      <c r="A13" s="154" t="s">
        <v>643</v>
      </c>
      <c r="B13" s="156">
        <f>CHOOSE($E$6+1,B9,B10,B11,B12)</f>
        <v>3.5099999999999999E-2</v>
      </c>
      <c r="C13" s="156">
        <f>CHOOSE($E$6+1,C9,C10,C11,C12)</f>
        <v>3.5099999999999999E-2</v>
      </c>
      <c r="D13" s="156">
        <f>CHOOSE($E$6+1,D9,D10,D11,D12)</f>
        <v>3.5099999999999999E-2</v>
      </c>
      <c r="E13" s="156">
        <f>CHOOSE($E$6+1,E9,E10,E11,E12)</f>
        <v>3.5099999999999999E-2</v>
      </c>
      <c r="F13" s="156">
        <f>CHOOSE($E$6+1,F9,F10,F11,F12)</f>
        <v>3.5099999999999999E-2</v>
      </c>
      <c r="H13" s="1" t="s">
        <v>644</v>
      </c>
    </row>
    <row r="17" spans="1:9" ht="15" customHeight="1" x14ac:dyDescent="0.3"/>
    <row r="18" spans="1:9" ht="15" customHeight="1" x14ac:dyDescent="0.3">
      <c r="A18" s="151" t="s">
        <v>645</v>
      </c>
    </row>
    <row r="19" spans="1:9" ht="15" customHeight="1" x14ac:dyDescent="0.3">
      <c r="A19" s="160" t="s">
        <v>646</v>
      </c>
      <c r="B19" s="160" t="s">
        <v>332</v>
      </c>
      <c r="C19" s="160" t="s">
        <v>647</v>
      </c>
      <c r="D19" s="160" t="s">
        <v>648</v>
      </c>
      <c r="E19" s="160" t="s">
        <v>649</v>
      </c>
      <c r="F19" s="160" t="s">
        <v>650</v>
      </c>
      <c r="G19" s="160" t="s">
        <v>651</v>
      </c>
      <c r="H19" s="160" t="s">
        <v>652</v>
      </c>
      <c r="I19" s="152"/>
    </row>
    <row r="20" spans="1:9" ht="15" customHeight="1" x14ac:dyDescent="0.3">
      <c r="A20" s="152" t="s">
        <v>653</v>
      </c>
      <c r="B20" s="152">
        <f>COUNT(B134:B158)</f>
        <v>25</v>
      </c>
      <c r="C20" s="161">
        <f>EXP(INTERCEPT(F134:F158,E134:E158))</f>
        <v>3.9951135108918021</v>
      </c>
      <c r="D20" s="162">
        <f>SLOPE(F134:F158,E134:E158)</f>
        <v>-5.0443031586758216E-3</v>
      </c>
      <c r="E20" s="163">
        <f>RSQ(F134:F158,E134:E158)</f>
        <v>0.10389452025477081</v>
      </c>
      <c r="F20" s="152">
        <v>26</v>
      </c>
      <c r="G20" s="164">
        <f>C20*EXP(D20*F20)/100</f>
        <v>3.5040523391286132E-2</v>
      </c>
      <c r="H20" s="165" t="s">
        <v>654</v>
      </c>
      <c r="I20" s="152"/>
    </row>
    <row r="21" spans="1:9" ht="28.35" customHeight="1" x14ac:dyDescent="0.3">
      <c r="A21" s="152" t="s">
        <v>655</v>
      </c>
      <c r="B21" s="152">
        <f>COUNT(B26:E26)</f>
        <v>4</v>
      </c>
      <c r="C21" s="161">
        <f>EXP(INTERCEPT(B28:E28,B27:E27))</f>
        <v>4.0301898509720706</v>
      </c>
      <c r="D21" s="162">
        <f>SLOPE(B28:E28,B27:E27)</f>
        <v>-2.7712799673618636E-2</v>
      </c>
      <c r="E21" s="163">
        <f>RSQ(B28:E28,B27:E27)</f>
        <v>9.2082096111511511E-2</v>
      </c>
      <c r="F21" s="152">
        <v>5</v>
      </c>
      <c r="G21" s="164">
        <f>C21*EXP(D21*F21)/100</f>
        <v>3.5087136397464559E-2</v>
      </c>
      <c r="H21" s="165" t="s">
        <v>656</v>
      </c>
      <c r="I21" s="152"/>
    </row>
    <row r="22" spans="1:9" ht="15" customHeight="1" x14ac:dyDescent="0.3">
      <c r="A22" s="152" t="s">
        <v>657</v>
      </c>
      <c r="B22" s="152">
        <f>COUNT(C70:C158)</f>
        <v>89</v>
      </c>
      <c r="C22" s="161">
        <f>EXP(INTERCEPT(D70:D158,C70:C158))</f>
        <v>5.8811993951512775</v>
      </c>
      <c r="D22" s="162">
        <f>SLOPE(D70:D158,C70:C158)</f>
        <v>-6.3337130363289151E-3</v>
      </c>
      <c r="E22" s="163">
        <f>RSQ(D70:D158,C70:C158)</f>
        <v>0.62264862123362907</v>
      </c>
      <c r="F22" s="152">
        <v>90</v>
      </c>
      <c r="G22" s="164">
        <f>C22*EXP(D22*F22)/100</f>
        <v>3.3258542107677667E-2</v>
      </c>
      <c r="H22" s="165" t="s">
        <v>658</v>
      </c>
      <c r="I22" s="152"/>
    </row>
    <row r="23" spans="1:9" ht="15" customHeight="1" x14ac:dyDescent="0.3">
      <c r="A23" s="152" t="s">
        <v>659</v>
      </c>
      <c r="B23" s="152"/>
      <c r="C23" s="161">
        <v>5.8811999999999998</v>
      </c>
      <c r="D23" s="162">
        <v>-6.0000000000000001E-3</v>
      </c>
      <c r="E23" s="152"/>
      <c r="F23" s="152">
        <v>90</v>
      </c>
      <c r="G23" s="164">
        <f>C23*EXP(D23*F23)/100</f>
        <v>3.427259021861908E-2</v>
      </c>
      <c r="H23" s="165" t="s">
        <v>660</v>
      </c>
      <c r="I23" s="152"/>
    </row>
    <row r="24" spans="1:9" ht="15" customHeight="1" x14ac:dyDescent="0.3">
      <c r="A24" s="152" t="s">
        <v>661</v>
      </c>
      <c r="B24" s="152"/>
      <c r="C24" s="152"/>
      <c r="D24" s="152"/>
      <c r="E24" s="152"/>
      <c r="F24" s="152"/>
      <c r="G24" s="164">
        <f>AVERAGE(B154:B158,G23*100)/100</f>
        <v>3.2678765036436512E-2</v>
      </c>
      <c r="H24" s="165" t="s">
        <v>662</v>
      </c>
      <c r="I24" s="152"/>
    </row>
    <row r="25" spans="1:9" ht="28.35" customHeight="1" x14ac:dyDescent="0.3"/>
    <row r="26" spans="1:9" x14ac:dyDescent="0.3">
      <c r="A26" s="168" t="s">
        <v>663</v>
      </c>
      <c r="B26" s="161">
        <f>AVERAGE(B134:B139)</f>
        <v>3.7083333333333335</v>
      </c>
      <c r="C26" s="161">
        <f>AVERAGE(B140:B145)</f>
        <v>3.8366666666666664</v>
      </c>
      <c r="D26" s="161">
        <f>AVERAGE(B146:B151)</f>
        <v>4.3266666666666671</v>
      </c>
      <c r="E26" s="161">
        <f>AVERAGE(B152:B157)</f>
        <v>3.2483333333333335</v>
      </c>
    </row>
    <row r="27" spans="1:9" x14ac:dyDescent="0.3">
      <c r="A27" s="152" t="s">
        <v>664</v>
      </c>
      <c r="B27" s="152">
        <v>1</v>
      </c>
      <c r="C27" s="152">
        <v>2</v>
      </c>
      <c r="D27" s="152">
        <v>3</v>
      </c>
      <c r="E27" s="152">
        <v>4</v>
      </c>
    </row>
    <row r="28" spans="1:9" x14ac:dyDescent="0.3">
      <c r="A28" s="152" t="s">
        <v>665</v>
      </c>
      <c r="B28" s="169">
        <f>LN(B26)</f>
        <v>1.3105825393841943</v>
      </c>
      <c r="C28" s="169">
        <f>LN(C26)</f>
        <v>1.3446039340656815</v>
      </c>
      <c r="D28" s="169">
        <f>LN(D26)</f>
        <v>1.4647974226078344</v>
      </c>
      <c r="E28" s="169">
        <f>LN(E26)</f>
        <v>1.1781420442914146</v>
      </c>
    </row>
    <row r="31" spans="1:9" x14ac:dyDescent="0.3">
      <c r="A31" s="168" t="s">
        <v>666</v>
      </c>
      <c r="B31" s="152"/>
      <c r="C31" s="152"/>
      <c r="D31" s="152"/>
      <c r="E31" s="152"/>
      <c r="F31" s="152"/>
      <c r="G31" s="152"/>
    </row>
    <row r="32" spans="1:9" x14ac:dyDescent="0.3">
      <c r="A32" s="160" t="s">
        <v>667</v>
      </c>
      <c r="B32" s="160" t="s">
        <v>78</v>
      </c>
      <c r="C32" s="160" t="s">
        <v>668</v>
      </c>
      <c r="D32" s="160"/>
      <c r="E32" s="160"/>
      <c r="F32" s="160"/>
      <c r="G32" s="160"/>
      <c r="H32" s="159" t="s">
        <v>669</v>
      </c>
    </row>
    <row r="33" spans="1:8" ht="48" customHeight="1" x14ac:dyDescent="0.3">
      <c r="A33" s="168" t="s">
        <v>670</v>
      </c>
      <c r="B33" s="153">
        <v>3.2599999999999997E-2</v>
      </c>
      <c r="C33" s="257" t="s">
        <v>671</v>
      </c>
      <c r="D33" s="257"/>
      <c r="E33" s="257"/>
      <c r="F33" s="257"/>
      <c r="G33" s="257"/>
      <c r="H33" s="1" t="s">
        <v>672</v>
      </c>
    </row>
    <row r="34" spans="1:8" ht="43.2" x14ac:dyDescent="0.3">
      <c r="A34" s="168" t="s">
        <v>673</v>
      </c>
      <c r="B34" s="153">
        <f>ROUND(G21,4)</f>
        <v>3.5099999999999999E-2</v>
      </c>
      <c r="C34" s="257" t="s">
        <v>674</v>
      </c>
      <c r="D34" s="257"/>
      <c r="E34" s="257"/>
      <c r="F34" s="257"/>
      <c r="G34" s="257"/>
      <c r="H34" s="1" t="s">
        <v>675</v>
      </c>
    </row>
    <row r="35" spans="1:8" ht="43.2" x14ac:dyDescent="0.3">
      <c r="A35" s="168" t="s">
        <v>676</v>
      </c>
      <c r="B35" s="153">
        <v>0.04</v>
      </c>
      <c r="C35" s="257" t="s">
        <v>677</v>
      </c>
      <c r="D35" s="257"/>
      <c r="E35" s="257"/>
      <c r="F35" s="257"/>
      <c r="G35" s="257"/>
      <c r="H35" s="1" t="s">
        <v>678</v>
      </c>
    </row>
    <row r="37" spans="1:8" x14ac:dyDescent="0.3">
      <c r="A37" s="170"/>
    </row>
    <row r="44" spans="1:8" x14ac:dyDescent="0.3">
      <c r="A44" s="168" t="s">
        <v>679</v>
      </c>
      <c r="B44" s="152"/>
    </row>
    <row r="45" spans="1:8" ht="48" customHeight="1" x14ac:dyDescent="0.3">
      <c r="A45" s="160" t="s">
        <v>680</v>
      </c>
      <c r="B45" s="160" t="s">
        <v>681</v>
      </c>
      <c r="C45" s="159"/>
      <c r="D45" s="159"/>
      <c r="E45" s="159"/>
      <c r="F45" s="159"/>
      <c r="G45" s="159"/>
      <c r="H45" s="159"/>
    </row>
    <row r="46" spans="1:8" ht="48" customHeight="1" x14ac:dyDescent="0.3">
      <c r="A46" s="248">
        <v>44562</v>
      </c>
      <c r="B46" s="249">
        <v>7.13</v>
      </c>
    </row>
    <row r="47" spans="1:8" ht="48" customHeight="1" x14ac:dyDescent="0.3">
      <c r="A47" s="248">
        <v>44577</v>
      </c>
      <c r="B47" s="249">
        <v>7.01</v>
      </c>
    </row>
    <row r="48" spans="1:8" x14ac:dyDescent="0.3">
      <c r="A48" s="248">
        <v>44593</v>
      </c>
      <c r="B48" s="249">
        <v>7.22</v>
      </c>
    </row>
    <row r="49" spans="1:2" x14ac:dyDescent="0.3">
      <c r="A49" s="248">
        <v>44608</v>
      </c>
      <c r="B49" s="249">
        <v>7.34</v>
      </c>
    </row>
    <row r="50" spans="1:2" x14ac:dyDescent="0.3">
      <c r="A50" s="248">
        <v>44621</v>
      </c>
      <c r="B50" s="249">
        <v>7.29</v>
      </c>
    </row>
    <row r="51" spans="1:2" x14ac:dyDescent="0.3">
      <c r="A51" s="248">
        <v>44636</v>
      </c>
      <c r="B51" s="249">
        <v>7.62</v>
      </c>
    </row>
    <row r="52" spans="1:2" x14ac:dyDescent="0.3">
      <c r="A52" s="248">
        <v>44652</v>
      </c>
      <c r="B52" s="249">
        <v>7.72</v>
      </c>
    </row>
    <row r="53" spans="1:2" x14ac:dyDescent="0.3">
      <c r="A53" s="248">
        <v>44667</v>
      </c>
      <c r="B53" s="249">
        <v>7.65</v>
      </c>
    </row>
    <row r="54" spans="1:2" x14ac:dyDescent="0.3">
      <c r="A54" s="248">
        <v>44682</v>
      </c>
      <c r="B54" s="249">
        <v>7.58</v>
      </c>
    </row>
    <row r="55" spans="1:2" x14ac:dyDescent="0.3">
      <c r="A55" s="248">
        <v>44697</v>
      </c>
      <c r="B55" s="249">
        <v>7.72</v>
      </c>
    </row>
    <row r="56" spans="1:2" hidden="1" x14ac:dyDescent="0.3">
      <c r="A56" s="130">
        <v>44713</v>
      </c>
      <c r="B56" s="131">
        <v>7.88</v>
      </c>
    </row>
    <row r="57" spans="1:2" hidden="1" x14ac:dyDescent="0.3">
      <c r="A57" s="130">
        <v>44728</v>
      </c>
      <c r="B57" s="131">
        <v>8.09</v>
      </c>
    </row>
    <row r="58" spans="1:2" hidden="1" x14ac:dyDescent="0.3">
      <c r="A58" s="130">
        <v>44743</v>
      </c>
      <c r="B58" s="131">
        <v>8.16</v>
      </c>
    </row>
    <row r="59" spans="1:2" hidden="1" x14ac:dyDescent="0.3">
      <c r="A59" s="130">
        <v>44758</v>
      </c>
      <c r="B59" s="131">
        <v>8.14</v>
      </c>
    </row>
    <row r="60" spans="1:2" hidden="1" x14ac:dyDescent="0.3">
      <c r="A60" s="130">
        <v>44774</v>
      </c>
      <c r="B60" s="131">
        <v>8.6199999999999992</v>
      </c>
    </row>
    <row r="61" spans="1:2" hidden="1" x14ac:dyDescent="0.3">
      <c r="A61" s="130">
        <v>44789</v>
      </c>
      <c r="B61" s="131">
        <v>8.77</v>
      </c>
    </row>
    <row r="62" spans="1:2" hidden="1" x14ac:dyDescent="0.3">
      <c r="A62" s="130">
        <v>44805</v>
      </c>
      <c r="B62" s="131">
        <v>8.76</v>
      </c>
    </row>
    <row r="63" spans="1:2" hidden="1" x14ac:dyDescent="0.3">
      <c r="A63" s="130">
        <v>44820</v>
      </c>
      <c r="B63" s="131">
        <v>8.64</v>
      </c>
    </row>
    <row r="64" spans="1:2" hidden="1" x14ac:dyDescent="0.3">
      <c r="A64" s="130">
        <v>44835</v>
      </c>
      <c r="B64" s="131">
        <v>8.5299999999999994</v>
      </c>
    </row>
    <row r="65" spans="1:4" hidden="1" x14ac:dyDescent="0.3">
      <c r="A65" s="130">
        <v>44850</v>
      </c>
      <c r="B65" s="131">
        <v>8.2799999999999994</v>
      </c>
    </row>
    <row r="66" spans="1:4" hidden="1" x14ac:dyDescent="0.3">
      <c r="A66" s="130">
        <v>44866</v>
      </c>
      <c r="B66" s="131">
        <v>8.14</v>
      </c>
    </row>
    <row r="67" spans="1:4" hidden="1" x14ac:dyDescent="0.3">
      <c r="A67" s="130">
        <v>44881</v>
      </c>
      <c r="B67" s="131">
        <v>7.46</v>
      </c>
    </row>
    <row r="68" spans="1:4" hidden="1" x14ac:dyDescent="0.3">
      <c r="A68" s="130">
        <v>44896</v>
      </c>
      <c r="B68" s="131">
        <v>7.77</v>
      </c>
    </row>
    <row r="69" spans="1:4" hidden="1" x14ac:dyDescent="0.3">
      <c r="A69" s="130">
        <v>44911</v>
      </c>
      <c r="B69" s="131">
        <v>7.86</v>
      </c>
    </row>
    <row r="70" spans="1:4" hidden="1" x14ac:dyDescent="0.3">
      <c r="A70" s="130">
        <v>44927</v>
      </c>
      <c r="B70" s="131">
        <v>7.94</v>
      </c>
      <c r="C70">
        <v>1</v>
      </c>
      <c r="D70" s="129">
        <f t="shared" ref="D70:D101" si="0">LN(B70)</f>
        <v>2.0719132752590443</v>
      </c>
    </row>
    <row r="71" spans="1:4" hidden="1" x14ac:dyDescent="0.3">
      <c r="A71" s="130">
        <v>44942</v>
      </c>
      <c r="B71" s="131">
        <v>7.88</v>
      </c>
      <c r="C71">
        <v>2</v>
      </c>
      <c r="D71" s="129">
        <f t="shared" si="0"/>
        <v>2.0643279038697879</v>
      </c>
    </row>
    <row r="72" spans="1:4" hidden="1" x14ac:dyDescent="0.3">
      <c r="A72" s="130">
        <v>44958</v>
      </c>
      <c r="B72" s="131">
        <v>7.76</v>
      </c>
      <c r="C72">
        <v>3</v>
      </c>
      <c r="D72" s="129">
        <f t="shared" si="0"/>
        <v>2.0489823341951272</v>
      </c>
    </row>
    <row r="73" spans="1:4" hidden="1" x14ac:dyDescent="0.3">
      <c r="A73" s="130">
        <v>44973</v>
      </c>
      <c r="B73" s="131">
        <v>7.48</v>
      </c>
      <c r="C73">
        <v>4</v>
      </c>
      <c r="D73" s="129">
        <f t="shared" si="0"/>
        <v>2.0122327919863858</v>
      </c>
    </row>
    <row r="74" spans="1:4" hidden="1" x14ac:dyDescent="0.3">
      <c r="A74" s="130">
        <v>44986</v>
      </c>
      <c r="B74" s="131">
        <v>7.12</v>
      </c>
      <c r="C74">
        <v>5</v>
      </c>
      <c r="D74" s="129">
        <f t="shared" si="0"/>
        <v>1.9629077254238845</v>
      </c>
    </row>
    <row r="75" spans="1:4" hidden="1" x14ac:dyDescent="0.3">
      <c r="A75" s="130">
        <v>45001</v>
      </c>
      <c r="B75" s="131">
        <v>6.58</v>
      </c>
      <c r="C75">
        <v>6</v>
      </c>
      <c r="D75" s="129">
        <f t="shared" si="0"/>
        <v>1.8840347453372259</v>
      </c>
    </row>
    <row r="76" spans="1:4" hidden="1" x14ac:dyDescent="0.3">
      <c r="A76" s="130">
        <v>45017</v>
      </c>
      <c r="B76" s="131">
        <v>6.24</v>
      </c>
      <c r="C76">
        <v>7</v>
      </c>
      <c r="D76" s="129">
        <f t="shared" si="0"/>
        <v>1.8309801823813363</v>
      </c>
    </row>
    <row r="77" spans="1:4" hidden="1" x14ac:dyDescent="0.3">
      <c r="A77" s="130">
        <v>45032</v>
      </c>
      <c r="B77" s="131">
        <v>6.27</v>
      </c>
      <c r="C77">
        <v>8</v>
      </c>
      <c r="D77" s="129">
        <f t="shared" si="0"/>
        <v>1.8357763546448294</v>
      </c>
    </row>
    <row r="78" spans="1:4" hidden="1" x14ac:dyDescent="0.3">
      <c r="A78" s="130">
        <v>45047</v>
      </c>
      <c r="B78" s="131">
        <v>6</v>
      </c>
      <c r="C78">
        <v>9</v>
      </c>
      <c r="D78" s="129">
        <f t="shared" si="0"/>
        <v>1.791759469228055</v>
      </c>
    </row>
    <row r="79" spans="1:4" hidden="1" x14ac:dyDescent="0.3">
      <c r="A79" s="130">
        <v>45062</v>
      </c>
      <c r="B79" s="131">
        <v>5.67</v>
      </c>
      <c r="C79">
        <v>10</v>
      </c>
      <c r="D79" s="129">
        <f t="shared" si="0"/>
        <v>1.7351891177396608</v>
      </c>
    </row>
    <row r="80" spans="1:4" hidden="1" x14ac:dyDescent="0.3">
      <c r="A80" s="130">
        <v>45078</v>
      </c>
      <c r="B80" s="131">
        <v>5.18</v>
      </c>
      <c r="C80">
        <v>11</v>
      </c>
      <c r="D80" s="129">
        <f t="shared" si="0"/>
        <v>1.6448050562713916</v>
      </c>
    </row>
    <row r="81" spans="1:4" hidden="1" x14ac:dyDescent="0.3">
      <c r="A81" s="130">
        <v>45093</v>
      </c>
      <c r="B81" s="131">
        <v>4.93</v>
      </c>
      <c r="C81">
        <v>12</v>
      </c>
      <c r="D81" s="129">
        <f t="shared" si="0"/>
        <v>1.5953389880545987</v>
      </c>
    </row>
    <row r="82" spans="1:4" hidden="1" x14ac:dyDescent="0.3">
      <c r="A82" s="130">
        <v>45108</v>
      </c>
      <c r="B82" s="131">
        <v>4.79</v>
      </c>
      <c r="C82">
        <v>13</v>
      </c>
      <c r="D82" s="129">
        <f t="shared" si="0"/>
        <v>1.5665304114228238</v>
      </c>
    </row>
    <row r="83" spans="1:4" hidden="1" x14ac:dyDescent="0.3">
      <c r="A83" s="130">
        <v>45123</v>
      </c>
      <c r="B83" s="131">
        <v>4.78</v>
      </c>
      <c r="C83">
        <v>14</v>
      </c>
      <c r="D83" s="129">
        <f t="shared" si="0"/>
        <v>1.5644405465033646</v>
      </c>
    </row>
    <row r="84" spans="1:4" hidden="1" x14ac:dyDescent="0.3">
      <c r="A84" s="130">
        <v>45139</v>
      </c>
      <c r="B84" s="131">
        <v>4.67</v>
      </c>
      <c r="C84">
        <v>15</v>
      </c>
      <c r="D84" s="129">
        <f t="shared" si="0"/>
        <v>1.5411590716808059</v>
      </c>
    </row>
    <row r="85" spans="1:4" hidden="1" x14ac:dyDescent="0.3">
      <c r="A85" s="130">
        <v>45154</v>
      </c>
      <c r="B85" s="131">
        <v>4.5999999999999996</v>
      </c>
      <c r="C85">
        <v>16</v>
      </c>
      <c r="D85" s="129">
        <f t="shared" si="0"/>
        <v>1.5260563034950492</v>
      </c>
    </row>
    <row r="86" spans="1:4" hidden="1" x14ac:dyDescent="0.3">
      <c r="A86" s="130">
        <v>45170</v>
      </c>
      <c r="B86" s="131">
        <v>4.4400000000000004</v>
      </c>
      <c r="C86">
        <v>17</v>
      </c>
      <c r="D86" s="129">
        <f t="shared" si="0"/>
        <v>1.4906543764441336</v>
      </c>
    </row>
    <row r="87" spans="1:4" hidden="1" x14ac:dyDescent="0.3">
      <c r="A87" s="130">
        <v>45185</v>
      </c>
      <c r="B87" s="131">
        <v>4.47</v>
      </c>
      <c r="C87">
        <v>18</v>
      </c>
      <c r="D87" s="129">
        <f t="shared" si="0"/>
        <v>1.4973884086254774</v>
      </c>
    </row>
    <row r="88" spans="1:4" hidden="1" x14ac:dyDescent="0.3">
      <c r="A88" s="130">
        <v>45200</v>
      </c>
      <c r="B88" s="131">
        <v>4.2699999999999996</v>
      </c>
      <c r="C88">
        <v>19</v>
      </c>
      <c r="D88" s="129">
        <f t="shared" si="0"/>
        <v>1.451613827240533</v>
      </c>
    </row>
    <row r="89" spans="1:4" hidden="1" x14ac:dyDescent="0.3">
      <c r="A89" s="130">
        <v>45215</v>
      </c>
      <c r="B89" s="131">
        <v>4.25</v>
      </c>
      <c r="C89">
        <v>20</v>
      </c>
      <c r="D89" s="129">
        <f t="shared" si="0"/>
        <v>1.4469189829363254</v>
      </c>
    </row>
    <row r="90" spans="1:4" hidden="1" x14ac:dyDescent="0.3">
      <c r="A90" s="130">
        <v>45231</v>
      </c>
      <c r="B90" s="131">
        <v>4.32</v>
      </c>
      <c r="C90">
        <v>21</v>
      </c>
      <c r="D90" s="129">
        <f t="shared" si="0"/>
        <v>1.4632554022560189</v>
      </c>
    </row>
    <row r="91" spans="1:4" hidden="1" x14ac:dyDescent="0.3">
      <c r="A91" s="130">
        <v>45246</v>
      </c>
      <c r="B91" s="131">
        <v>4.33</v>
      </c>
      <c r="C91">
        <v>22</v>
      </c>
      <c r="D91" s="129">
        <f t="shared" si="0"/>
        <v>1.4655675420143985</v>
      </c>
    </row>
    <row r="92" spans="1:4" hidden="1" x14ac:dyDescent="0.3">
      <c r="A92" s="130">
        <v>45261</v>
      </c>
      <c r="B92" s="131">
        <v>4.46</v>
      </c>
      <c r="C92">
        <v>23</v>
      </c>
      <c r="D92" s="129">
        <f t="shared" si="0"/>
        <v>1.4951487660319727</v>
      </c>
    </row>
    <row r="93" spans="1:4" hidden="1" x14ac:dyDescent="0.3">
      <c r="A93" s="130">
        <v>45276</v>
      </c>
      <c r="B93" s="131">
        <v>4.8600000000000003</v>
      </c>
      <c r="C93">
        <v>24</v>
      </c>
      <c r="D93" s="129">
        <f t="shared" si="0"/>
        <v>1.5810384379124025</v>
      </c>
    </row>
    <row r="94" spans="1:4" hidden="1" x14ac:dyDescent="0.3">
      <c r="A94" s="130">
        <v>45292</v>
      </c>
      <c r="B94" s="131">
        <v>4.9000000000000004</v>
      </c>
      <c r="C94">
        <v>25</v>
      </c>
      <c r="D94" s="129">
        <f t="shared" si="0"/>
        <v>1.589235205116581</v>
      </c>
    </row>
    <row r="95" spans="1:4" hidden="1" x14ac:dyDescent="0.3">
      <c r="A95" s="130">
        <v>45307</v>
      </c>
      <c r="B95" s="131">
        <v>4.87</v>
      </c>
      <c r="C95">
        <v>26</v>
      </c>
      <c r="D95" s="129">
        <f t="shared" si="0"/>
        <v>1.5830939370944985</v>
      </c>
    </row>
    <row r="96" spans="1:4" hidden="1" x14ac:dyDescent="0.3">
      <c r="A96" s="130">
        <v>45323</v>
      </c>
      <c r="B96" s="131">
        <v>4.45</v>
      </c>
      <c r="C96">
        <v>27</v>
      </c>
      <c r="D96" s="129">
        <f t="shared" si="0"/>
        <v>1.4929040961781488</v>
      </c>
    </row>
    <row r="97" spans="1:4" hidden="1" x14ac:dyDescent="0.3">
      <c r="A97" s="130">
        <v>45338</v>
      </c>
      <c r="B97" s="131">
        <v>4.3499999999999996</v>
      </c>
      <c r="C97">
        <v>28</v>
      </c>
      <c r="D97" s="129">
        <f t="shared" si="0"/>
        <v>1.4701758451005926</v>
      </c>
    </row>
    <row r="98" spans="1:4" hidden="1" x14ac:dyDescent="0.3">
      <c r="A98" s="130">
        <v>45352</v>
      </c>
      <c r="B98" s="131">
        <v>4.4800000000000004</v>
      </c>
      <c r="C98">
        <v>29</v>
      </c>
      <c r="D98" s="129">
        <f t="shared" si="0"/>
        <v>1.4996230464268938</v>
      </c>
    </row>
    <row r="99" spans="1:4" hidden="1" x14ac:dyDescent="0.3">
      <c r="A99" s="130">
        <v>45367</v>
      </c>
      <c r="B99" s="131">
        <v>4.37</v>
      </c>
      <c r="C99">
        <v>30</v>
      </c>
      <c r="D99" s="129">
        <f t="shared" si="0"/>
        <v>1.4747630091074988</v>
      </c>
    </row>
    <row r="100" spans="1:4" hidden="1" x14ac:dyDescent="0.3">
      <c r="A100" s="130">
        <v>45383</v>
      </c>
      <c r="B100" s="131">
        <v>4.63</v>
      </c>
      <c r="C100">
        <v>31</v>
      </c>
      <c r="D100" s="129">
        <f t="shared" si="0"/>
        <v>1.5325568680981427</v>
      </c>
    </row>
    <row r="101" spans="1:4" hidden="1" x14ac:dyDescent="0.3">
      <c r="A101" s="130">
        <v>45398</v>
      </c>
      <c r="B101" s="131">
        <v>4.67</v>
      </c>
      <c r="C101">
        <v>32</v>
      </c>
      <c r="D101" s="129">
        <f t="shared" si="0"/>
        <v>1.5411590716808059</v>
      </c>
    </row>
    <row r="102" spans="1:4" hidden="1" x14ac:dyDescent="0.3">
      <c r="A102" s="130">
        <v>45413</v>
      </c>
      <c r="B102" s="131">
        <v>4.78</v>
      </c>
      <c r="C102">
        <v>33</v>
      </c>
      <c r="D102" s="129">
        <f t="shared" ref="D102:D133" si="1">LN(B102)</f>
        <v>1.5644405465033646</v>
      </c>
    </row>
    <row r="103" spans="1:4" hidden="1" x14ac:dyDescent="0.3">
      <c r="A103" s="130">
        <v>45428</v>
      </c>
      <c r="B103" s="131">
        <v>4.59</v>
      </c>
      <c r="C103">
        <v>34</v>
      </c>
      <c r="D103" s="129">
        <f t="shared" si="1"/>
        <v>1.5238800240724537</v>
      </c>
    </row>
    <row r="104" spans="1:4" hidden="1" x14ac:dyDescent="0.3">
      <c r="A104" s="130">
        <v>45444</v>
      </c>
      <c r="B104" s="131">
        <v>4.78</v>
      </c>
      <c r="C104">
        <v>35</v>
      </c>
      <c r="D104" s="129">
        <f t="shared" si="1"/>
        <v>1.5644405465033646</v>
      </c>
    </row>
    <row r="105" spans="1:4" hidden="1" x14ac:dyDescent="0.3">
      <c r="A105" s="130">
        <v>45459</v>
      </c>
      <c r="B105" s="131">
        <v>5.17</v>
      </c>
      <c r="C105">
        <v>36</v>
      </c>
      <c r="D105" s="129">
        <f t="shared" si="1"/>
        <v>1.6428726885203377</v>
      </c>
    </row>
    <row r="106" spans="1:4" hidden="1" x14ac:dyDescent="0.3">
      <c r="A106" s="130">
        <v>45474</v>
      </c>
      <c r="B106" s="131">
        <v>5.61</v>
      </c>
      <c r="C106">
        <v>37</v>
      </c>
      <c r="D106" s="129">
        <f t="shared" si="1"/>
        <v>1.724550719534605</v>
      </c>
    </row>
    <row r="107" spans="1:4" hidden="1" x14ac:dyDescent="0.3">
      <c r="A107" s="130">
        <v>45489</v>
      </c>
      <c r="B107" s="131">
        <v>5.52</v>
      </c>
      <c r="C107">
        <v>38</v>
      </c>
      <c r="D107" s="129">
        <f t="shared" si="1"/>
        <v>1.7083778602890038</v>
      </c>
    </row>
    <row r="108" spans="1:4" hidden="1" x14ac:dyDescent="0.3">
      <c r="A108" s="130">
        <v>45505</v>
      </c>
      <c r="B108" s="131">
        <v>5.16</v>
      </c>
      <c r="C108">
        <v>39</v>
      </c>
      <c r="D108" s="129">
        <f t="shared" si="1"/>
        <v>1.6409365794934714</v>
      </c>
    </row>
    <row r="109" spans="1:4" hidden="1" x14ac:dyDescent="0.3">
      <c r="A109" s="130">
        <v>45520</v>
      </c>
      <c r="B109" s="131">
        <v>4.83</v>
      </c>
      <c r="C109">
        <v>40</v>
      </c>
      <c r="D109" s="129">
        <f t="shared" si="1"/>
        <v>1.5748464676644813</v>
      </c>
    </row>
    <row r="110" spans="1:4" hidden="1" x14ac:dyDescent="0.3">
      <c r="A110" s="130">
        <v>45536</v>
      </c>
      <c r="B110" s="131">
        <v>4.66</v>
      </c>
      <c r="C110">
        <v>41</v>
      </c>
      <c r="D110" s="129">
        <f t="shared" si="1"/>
        <v>1.5390154481375546</v>
      </c>
    </row>
    <row r="111" spans="1:4" hidden="1" x14ac:dyDescent="0.3">
      <c r="A111" s="130">
        <v>45551</v>
      </c>
      <c r="B111" s="131">
        <v>4.5</v>
      </c>
      <c r="C111">
        <v>42</v>
      </c>
      <c r="D111" s="129">
        <f t="shared" si="1"/>
        <v>1.5040773967762742</v>
      </c>
    </row>
    <row r="112" spans="1:4" hidden="1" x14ac:dyDescent="0.3">
      <c r="A112" s="130">
        <v>45566</v>
      </c>
      <c r="B112" s="131">
        <v>4.6900000000000004</v>
      </c>
      <c r="C112">
        <v>43</v>
      </c>
      <c r="D112" s="129">
        <f t="shared" si="1"/>
        <v>1.545432582458188</v>
      </c>
    </row>
    <row r="113" spans="1:4" hidden="1" x14ac:dyDescent="0.3">
      <c r="A113" s="130">
        <v>45581</v>
      </c>
      <c r="B113" s="131">
        <v>4.83</v>
      </c>
      <c r="C113">
        <v>44</v>
      </c>
      <c r="D113" s="129">
        <f t="shared" si="1"/>
        <v>1.5748464676644813</v>
      </c>
    </row>
    <row r="114" spans="1:4" hidden="1" x14ac:dyDescent="0.3">
      <c r="A114" s="130">
        <v>45597</v>
      </c>
      <c r="B114" s="131">
        <v>4.5599999999999996</v>
      </c>
      <c r="C114">
        <v>45</v>
      </c>
      <c r="D114" s="129">
        <f t="shared" si="1"/>
        <v>1.5173226235262947</v>
      </c>
    </row>
    <row r="115" spans="1:4" hidden="1" x14ac:dyDescent="0.3">
      <c r="A115" s="130">
        <v>45612</v>
      </c>
      <c r="B115" s="131">
        <v>4.54</v>
      </c>
      <c r="C115">
        <v>46</v>
      </c>
      <c r="D115" s="129">
        <f t="shared" si="1"/>
        <v>1.5129270120532565</v>
      </c>
    </row>
    <row r="116" spans="1:4" hidden="1" x14ac:dyDescent="0.3">
      <c r="A116" s="130">
        <v>45627</v>
      </c>
      <c r="B116" s="131">
        <v>4.4400000000000004</v>
      </c>
      <c r="C116">
        <v>47</v>
      </c>
      <c r="D116" s="129">
        <f t="shared" si="1"/>
        <v>1.4906543764441336</v>
      </c>
    </row>
    <row r="117" spans="1:4" hidden="1" x14ac:dyDescent="0.3">
      <c r="A117" s="130">
        <v>45642</v>
      </c>
      <c r="B117" s="131">
        <v>3.99</v>
      </c>
      <c r="C117">
        <v>48</v>
      </c>
      <c r="D117" s="129">
        <f t="shared" si="1"/>
        <v>1.3837912309017721</v>
      </c>
    </row>
    <row r="118" spans="1:4" hidden="1" x14ac:dyDescent="0.3">
      <c r="A118" s="130">
        <v>45658</v>
      </c>
      <c r="B118" s="131">
        <v>3.69</v>
      </c>
      <c r="C118">
        <v>49</v>
      </c>
      <c r="D118" s="129">
        <f t="shared" si="1"/>
        <v>1.3056264580524357</v>
      </c>
    </row>
    <row r="119" spans="1:4" hidden="1" x14ac:dyDescent="0.3">
      <c r="A119" s="130">
        <v>45673</v>
      </c>
      <c r="B119" s="131">
        <v>3.48</v>
      </c>
      <c r="C119">
        <v>50</v>
      </c>
      <c r="D119" s="129">
        <f t="shared" si="1"/>
        <v>1.2470322937863829</v>
      </c>
    </row>
    <row r="120" spans="1:4" hidden="1" x14ac:dyDescent="0.3">
      <c r="A120" s="130">
        <v>45689</v>
      </c>
      <c r="B120" s="131">
        <v>3.74</v>
      </c>
      <c r="C120">
        <v>51</v>
      </c>
      <c r="D120" s="129">
        <f t="shared" si="1"/>
        <v>1.3190856114264407</v>
      </c>
    </row>
    <row r="121" spans="1:4" hidden="1" x14ac:dyDescent="0.3">
      <c r="A121" s="130">
        <v>45704</v>
      </c>
      <c r="B121" s="131">
        <v>3.81</v>
      </c>
      <c r="C121">
        <v>52</v>
      </c>
      <c r="D121" s="129">
        <f t="shared" si="1"/>
        <v>1.3376291891386096</v>
      </c>
    </row>
    <row r="122" spans="1:4" hidden="1" x14ac:dyDescent="0.3">
      <c r="A122" s="130">
        <v>45717</v>
      </c>
      <c r="B122" s="131">
        <v>3.67</v>
      </c>
      <c r="C122">
        <v>53</v>
      </c>
      <c r="D122" s="129">
        <f t="shared" si="1"/>
        <v>1.3001916620664788</v>
      </c>
    </row>
    <row r="123" spans="1:4" hidden="1" x14ac:dyDescent="0.3">
      <c r="A123" s="130">
        <v>45732</v>
      </c>
      <c r="B123" s="131">
        <v>3.93</v>
      </c>
      <c r="C123">
        <v>54</v>
      </c>
      <c r="D123" s="129">
        <f t="shared" si="1"/>
        <v>1.3686394258811698</v>
      </c>
    </row>
    <row r="124" spans="1:4" hidden="1" x14ac:dyDescent="0.3">
      <c r="A124" s="130">
        <v>45748</v>
      </c>
      <c r="B124" s="131">
        <v>3.96</v>
      </c>
      <c r="C124">
        <v>55</v>
      </c>
      <c r="D124" s="129">
        <f t="shared" si="1"/>
        <v>1.3762440252663892</v>
      </c>
    </row>
    <row r="125" spans="1:4" hidden="1" x14ac:dyDescent="0.3">
      <c r="A125" s="130">
        <v>45763</v>
      </c>
      <c r="B125" s="131">
        <v>3.9</v>
      </c>
      <c r="C125">
        <v>56</v>
      </c>
      <c r="D125" s="129">
        <f t="shared" si="1"/>
        <v>1.3609765531356006</v>
      </c>
    </row>
    <row r="126" spans="1:4" hidden="1" x14ac:dyDescent="0.3">
      <c r="A126" s="130">
        <v>45778</v>
      </c>
      <c r="B126" s="131">
        <v>4.22</v>
      </c>
      <c r="C126">
        <v>57</v>
      </c>
      <c r="D126" s="129">
        <f t="shared" si="1"/>
        <v>1.4398351280479205</v>
      </c>
    </row>
    <row r="127" spans="1:4" hidden="1" x14ac:dyDescent="0.3">
      <c r="A127" s="130">
        <v>45793</v>
      </c>
      <c r="B127" s="131">
        <v>4.62</v>
      </c>
      <c r="C127">
        <v>58</v>
      </c>
      <c r="D127" s="129">
        <f t="shared" si="1"/>
        <v>1.5303947050936475</v>
      </c>
    </row>
    <row r="128" spans="1:4" hidden="1" x14ac:dyDescent="0.3">
      <c r="A128" s="130">
        <v>45809</v>
      </c>
      <c r="B128" s="131">
        <v>4.51</v>
      </c>
      <c r="C128">
        <v>59</v>
      </c>
      <c r="D128" s="129">
        <f t="shared" si="1"/>
        <v>1.506297153514587</v>
      </c>
    </row>
    <row r="129" spans="1:7" hidden="1" x14ac:dyDescent="0.3">
      <c r="A129" s="130">
        <v>45824</v>
      </c>
      <c r="B129" s="131">
        <v>4.13</v>
      </c>
      <c r="C129">
        <v>60</v>
      </c>
      <c r="D129" s="129">
        <f t="shared" si="1"/>
        <v>1.4182774069729414</v>
      </c>
    </row>
    <row r="130" spans="1:7" hidden="1" x14ac:dyDescent="0.3">
      <c r="A130" s="130">
        <v>45839</v>
      </c>
      <c r="B130" s="131">
        <v>3.55</v>
      </c>
      <c r="C130">
        <v>61</v>
      </c>
      <c r="D130" s="129">
        <f t="shared" si="1"/>
        <v>1.2669476034873244</v>
      </c>
    </row>
    <row r="131" spans="1:7" hidden="1" x14ac:dyDescent="0.3">
      <c r="A131" s="130">
        <v>45854</v>
      </c>
      <c r="B131" s="131">
        <v>3.48</v>
      </c>
      <c r="C131">
        <v>62</v>
      </c>
      <c r="D131" s="129">
        <f t="shared" si="1"/>
        <v>1.2470322937863829</v>
      </c>
    </row>
    <row r="132" spans="1:7" hidden="1" x14ac:dyDescent="0.3">
      <c r="A132" s="130">
        <v>45870</v>
      </c>
      <c r="B132" s="131">
        <v>3.49</v>
      </c>
      <c r="C132">
        <v>63</v>
      </c>
      <c r="D132" s="129">
        <f t="shared" si="1"/>
        <v>1.2499017362143359</v>
      </c>
    </row>
    <row r="133" spans="1:7" hidden="1" x14ac:dyDescent="0.3">
      <c r="A133" s="130">
        <v>45885</v>
      </c>
      <c r="B133" s="131">
        <v>3.65</v>
      </c>
      <c r="C133">
        <v>64</v>
      </c>
      <c r="D133" s="129">
        <f t="shared" si="1"/>
        <v>1.2947271675944001</v>
      </c>
    </row>
    <row r="134" spans="1:7" hidden="1" x14ac:dyDescent="0.3">
      <c r="A134" s="130">
        <v>45901</v>
      </c>
      <c r="B134" s="131">
        <v>3.74</v>
      </c>
      <c r="C134">
        <v>65</v>
      </c>
      <c r="D134" s="129">
        <f t="shared" ref="D134:D158" si="2">LN(B134)</f>
        <v>1.3190856114264407</v>
      </c>
      <c r="E134">
        <v>1</v>
      </c>
      <c r="F134" s="129">
        <f t="shared" ref="F134:F158" si="3">LN(B134)</f>
        <v>1.3190856114264407</v>
      </c>
      <c r="G134">
        <v>1</v>
      </c>
    </row>
    <row r="135" spans="1:7" hidden="1" x14ac:dyDescent="0.3">
      <c r="A135" s="130">
        <v>45916</v>
      </c>
      <c r="B135" s="131">
        <v>3.78</v>
      </c>
      <c r="C135">
        <v>66</v>
      </c>
      <c r="D135" s="129">
        <f t="shared" si="2"/>
        <v>1.3297240096314962</v>
      </c>
      <c r="E135">
        <v>2</v>
      </c>
      <c r="F135" s="129">
        <f t="shared" si="3"/>
        <v>1.3297240096314962</v>
      </c>
      <c r="G135">
        <v>1</v>
      </c>
    </row>
    <row r="136" spans="1:7" hidden="1" x14ac:dyDescent="0.3">
      <c r="A136" s="130">
        <v>45931</v>
      </c>
      <c r="B136" s="131">
        <v>3.63</v>
      </c>
      <c r="C136">
        <v>67</v>
      </c>
      <c r="D136" s="129">
        <f t="shared" si="2"/>
        <v>1.2892326482767593</v>
      </c>
      <c r="E136">
        <v>3</v>
      </c>
      <c r="F136" s="129">
        <f t="shared" si="3"/>
        <v>1.2892326482767593</v>
      </c>
      <c r="G136">
        <v>1</v>
      </c>
    </row>
    <row r="137" spans="1:7" hidden="1" x14ac:dyDescent="0.3">
      <c r="A137" s="130">
        <v>45946</v>
      </c>
      <c r="B137" s="131">
        <v>3.5</v>
      </c>
      <c r="C137">
        <v>68</v>
      </c>
      <c r="D137" s="129">
        <f t="shared" si="2"/>
        <v>1.2527629684953681</v>
      </c>
      <c r="E137">
        <v>4</v>
      </c>
      <c r="F137" s="129">
        <f t="shared" si="3"/>
        <v>1.2527629684953681</v>
      </c>
      <c r="G137">
        <v>1</v>
      </c>
    </row>
    <row r="138" spans="1:7" hidden="1" x14ac:dyDescent="0.3">
      <c r="A138" s="130">
        <v>45962</v>
      </c>
      <c r="B138" s="131">
        <v>3.61</v>
      </c>
      <c r="C138">
        <v>69</v>
      </c>
      <c r="D138" s="129">
        <f t="shared" si="2"/>
        <v>1.2837077723447896</v>
      </c>
      <c r="E138">
        <v>5</v>
      </c>
      <c r="F138" s="129">
        <f t="shared" si="3"/>
        <v>1.2837077723447896</v>
      </c>
      <c r="G138">
        <v>1</v>
      </c>
    </row>
    <row r="139" spans="1:7" hidden="1" x14ac:dyDescent="0.3">
      <c r="A139" s="130">
        <v>45977</v>
      </c>
      <c r="B139" s="131">
        <v>3.99</v>
      </c>
      <c r="C139">
        <v>70</v>
      </c>
      <c r="D139" s="129">
        <f t="shared" si="2"/>
        <v>1.3837912309017721</v>
      </c>
      <c r="E139">
        <v>6</v>
      </c>
      <c r="F139" s="129">
        <f t="shared" si="3"/>
        <v>1.3837912309017721</v>
      </c>
      <c r="G139">
        <v>1</v>
      </c>
    </row>
    <row r="140" spans="1:7" hidden="1" x14ac:dyDescent="0.3">
      <c r="A140" s="130">
        <v>45992</v>
      </c>
      <c r="B140" s="131">
        <v>3.72</v>
      </c>
      <c r="C140">
        <v>71</v>
      </c>
      <c r="D140" s="129">
        <f t="shared" si="2"/>
        <v>1.3137236682850553</v>
      </c>
      <c r="E140">
        <v>7</v>
      </c>
      <c r="F140" s="129">
        <f t="shared" si="3"/>
        <v>1.3137236682850553</v>
      </c>
      <c r="G140">
        <v>2</v>
      </c>
    </row>
    <row r="141" spans="1:7" hidden="1" x14ac:dyDescent="0.3">
      <c r="A141" s="130">
        <v>46007</v>
      </c>
      <c r="B141" s="131">
        <v>3.66</v>
      </c>
      <c r="C141">
        <v>72</v>
      </c>
      <c r="D141" s="129">
        <f t="shared" si="2"/>
        <v>1.297463147413275</v>
      </c>
      <c r="E141">
        <v>8</v>
      </c>
      <c r="F141" s="129">
        <f t="shared" si="3"/>
        <v>1.297463147413275</v>
      </c>
      <c r="G141">
        <v>2</v>
      </c>
    </row>
    <row r="142" spans="1:7" hidden="1" x14ac:dyDescent="0.3">
      <c r="A142" s="130">
        <v>46023</v>
      </c>
      <c r="B142" s="131">
        <v>3.77</v>
      </c>
      <c r="C142">
        <v>73</v>
      </c>
      <c r="D142" s="129">
        <f t="shared" si="2"/>
        <v>1.3270750014599193</v>
      </c>
      <c r="E142">
        <v>9</v>
      </c>
      <c r="F142" s="129">
        <f t="shared" si="3"/>
        <v>1.3270750014599193</v>
      </c>
      <c r="G142">
        <v>2</v>
      </c>
    </row>
    <row r="143" spans="1:7" hidden="1" x14ac:dyDescent="0.3">
      <c r="A143" s="130">
        <v>46038</v>
      </c>
      <c r="B143" s="131">
        <v>3.82</v>
      </c>
      <c r="C143">
        <v>74</v>
      </c>
      <c r="D143" s="129">
        <f t="shared" si="2"/>
        <v>1.3402504226184837</v>
      </c>
      <c r="E143">
        <v>10</v>
      </c>
      <c r="F143" s="129">
        <f t="shared" si="3"/>
        <v>1.3402504226184837</v>
      </c>
      <c r="G143">
        <v>2</v>
      </c>
    </row>
    <row r="144" spans="1:7" hidden="1" x14ac:dyDescent="0.3">
      <c r="A144" s="130">
        <v>46054</v>
      </c>
      <c r="B144" s="131">
        <v>3.92</v>
      </c>
      <c r="C144">
        <v>75</v>
      </c>
      <c r="D144" s="129">
        <f t="shared" si="2"/>
        <v>1.3660916538023711</v>
      </c>
      <c r="E144">
        <v>11</v>
      </c>
      <c r="F144" s="129">
        <f t="shared" si="3"/>
        <v>1.3660916538023711</v>
      </c>
      <c r="G144">
        <v>2</v>
      </c>
    </row>
    <row r="145" spans="1:7" hidden="1" x14ac:dyDescent="0.3">
      <c r="A145" s="130">
        <v>46069</v>
      </c>
      <c r="B145" s="131">
        <v>4.13</v>
      </c>
      <c r="C145">
        <v>76</v>
      </c>
      <c r="D145" s="129">
        <f t="shared" si="2"/>
        <v>1.4182774069729414</v>
      </c>
      <c r="E145">
        <v>12</v>
      </c>
      <c r="F145" s="129">
        <f t="shared" si="3"/>
        <v>1.4182774069729414</v>
      </c>
      <c r="G145">
        <v>2</v>
      </c>
    </row>
    <row r="146" spans="1:7" hidden="1" x14ac:dyDescent="0.3">
      <c r="A146" s="130">
        <v>46082</v>
      </c>
      <c r="B146" s="131">
        <v>4.63</v>
      </c>
      <c r="C146">
        <v>77</v>
      </c>
      <c r="D146" s="129">
        <f t="shared" si="2"/>
        <v>1.5325568680981427</v>
      </c>
      <c r="E146">
        <v>13</v>
      </c>
      <c r="F146" s="129">
        <f t="shared" si="3"/>
        <v>1.5325568680981427</v>
      </c>
      <c r="G146">
        <v>3</v>
      </c>
    </row>
    <row r="147" spans="1:7" hidden="1" x14ac:dyDescent="0.3">
      <c r="A147" s="130">
        <v>46097</v>
      </c>
      <c r="B147" s="131">
        <v>4.55</v>
      </c>
      <c r="C147">
        <v>78</v>
      </c>
      <c r="D147" s="129">
        <f t="shared" si="2"/>
        <v>1.5151272329628591</v>
      </c>
      <c r="E147">
        <v>14</v>
      </c>
      <c r="F147" s="129">
        <f t="shared" si="3"/>
        <v>1.5151272329628591</v>
      </c>
      <c r="G147">
        <v>3</v>
      </c>
    </row>
    <row r="148" spans="1:7" hidden="1" x14ac:dyDescent="0.3">
      <c r="A148" s="130">
        <v>46113</v>
      </c>
      <c r="B148" s="131">
        <v>4.53</v>
      </c>
      <c r="C148">
        <v>79</v>
      </c>
      <c r="D148" s="129">
        <f t="shared" si="2"/>
        <v>1.5107219394949427</v>
      </c>
      <c r="E148">
        <v>15</v>
      </c>
      <c r="F148" s="129">
        <f t="shared" si="3"/>
        <v>1.5107219394949427</v>
      </c>
      <c r="G148">
        <v>3</v>
      </c>
    </row>
    <row r="149" spans="1:7" hidden="1" x14ac:dyDescent="0.3">
      <c r="A149" s="130">
        <v>46128</v>
      </c>
      <c r="B149" s="131">
        <v>4.37</v>
      </c>
      <c r="C149">
        <v>80</v>
      </c>
      <c r="D149" s="129">
        <f t="shared" si="2"/>
        <v>1.4747630091074988</v>
      </c>
      <c r="E149">
        <v>16</v>
      </c>
      <c r="F149" s="129">
        <f t="shared" si="3"/>
        <v>1.4747630091074988</v>
      </c>
      <c r="G149">
        <v>3</v>
      </c>
    </row>
    <row r="150" spans="1:7" hidden="1" x14ac:dyDescent="0.3">
      <c r="A150" s="130">
        <v>46143</v>
      </c>
      <c r="B150" s="131">
        <v>4.1100000000000003</v>
      </c>
      <c r="C150">
        <v>81</v>
      </c>
      <c r="D150" s="129">
        <f t="shared" si="2"/>
        <v>1.4134230285081433</v>
      </c>
      <c r="E150">
        <v>17</v>
      </c>
      <c r="F150" s="129">
        <f t="shared" si="3"/>
        <v>1.4134230285081433</v>
      </c>
      <c r="G150">
        <v>3</v>
      </c>
    </row>
    <row r="151" spans="1:7" hidden="1" x14ac:dyDescent="0.3">
      <c r="A151" s="130">
        <v>46158</v>
      </c>
      <c r="B151" s="131">
        <v>3.77</v>
      </c>
      <c r="C151">
        <v>82</v>
      </c>
      <c r="D151" s="129">
        <f t="shared" si="2"/>
        <v>1.3270750014599193</v>
      </c>
      <c r="E151">
        <v>18</v>
      </c>
      <c r="F151" s="129">
        <f t="shared" si="3"/>
        <v>1.3270750014599193</v>
      </c>
      <c r="G151">
        <v>3</v>
      </c>
    </row>
    <row r="152" spans="1:7" hidden="1" x14ac:dyDescent="0.3">
      <c r="A152" s="130">
        <v>46174</v>
      </c>
      <c r="B152" s="131">
        <v>3.55</v>
      </c>
      <c r="C152">
        <v>83</v>
      </c>
      <c r="D152" s="129">
        <f t="shared" si="2"/>
        <v>1.2669476034873244</v>
      </c>
      <c r="E152">
        <v>19</v>
      </c>
      <c r="F152" s="129">
        <f t="shared" si="3"/>
        <v>1.2669476034873244</v>
      </c>
      <c r="G152">
        <v>4</v>
      </c>
    </row>
    <row r="153" spans="1:7" hidden="1" x14ac:dyDescent="0.3">
      <c r="A153" s="130">
        <v>46189</v>
      </c>
      <c r="B153" s="131">
        <v>3.18</v>
      </c>
      <c r="C153">
        <v>84</v>
      </c>
      <c r="D153" s="129">
        <f t="shared" si="2"/>
        <v>1.1568811967920856</v>
      </c>
      <c r="E153">
        <v>20</v>
      </c>
      <c r="F153" s="129">
        <f t="shared" si="3"/>
        <v>1.1568811967920856</v>
      </c>
      <c r="G153">
        <v>4</v>
      </c>
    </row>
    <row r="154" spans="1:7" hidden="1" x14ac:dyDescent="0.3">
      <c r="A154" s="130">
        <v>46204</v>
      </c>
      <c r="B154" s="131">
        <v>3.1</v>
      </c>
      <c r="C154">
        <v>85</v>
      </c>
      <c r="D154" s="129">
        <f t="shared" si="2"/>
        <v>1.1314021114911006</v>
      </c>
      <c r="E154">
        <v>21</v>
      </c>
      <c r="F154" s="129">
        <f t="shared" si="3"/>
        <v>1.1314021114911006</v>
      </c>
      <c r="G154">
        <v>4</v>
      </c>
    </row>
    <row r="155" spans="1:7" hidden="1" x14ac:dyDescent="0.3">
      <c r="A155" s="130">
        <v>46219</v>
      </c>
      <c r="B155" s="131">
        <v>3.14</v>
      </c>
      <c r="C155">
        <v>86</v>
      </c>
      <c r="D155" s="129">
        <f t="shared" si="2"/>
        <v>1.144222799920162</v>
      </c>
      <c r="E155">
        <v>22</v>
      </c>
      <c r="F155" s="129">
        <f t="shared" si="3"/>
        <v>1.144222799920162</v>
      </c>
      <c r="G155">
        <v>4</v>
      </c>
    </row>
    <row r="156" spans="1:7" hidden="1" x14ac:dyDescent="0.3">
      <c r="A156" s="130">
        <v>46235</v>
      </c>
      <c r="B156" s="131">
        <v>3.26</v>
      </c>
      <c r="C156">
        <v>87</v>
      </c>
      <c r="D156" s="129">
        <f t="shared" si="2"/>
        <v>1.1817271953786161</v>
      </c>
      <c r="E156">
        <v>23</v>
      </c>
      <c r="F156" s="129">
        <f t="shared" si="3"/>
        <v>1.1817271953786161</v>
      </c>
      <c r="G156">
        <v>4</v>
      </c>
    </row>
    <row r="157" spans="1:7" hidden="1" x14ac:dyDescent="0.3">
      <c r="A157" s="130">
        <v>46250</v>
      </c>
      <c r="B157" s="131">
        <v>3.26</v>
      </c>
      <c r="C157">
        <v>88</v>
      </c>
      <c r="D157" s="129">
        <f t="shared" si="2"/>
        <v>1.1817271953786161</v>
      </c>
      <c r="E157">
        <v>24</v>
      </c>
      <c r="F157" s="129">
        <f t="shared" si="3"/>
        <v>1.1817271953786161</v>
      </c>
      <c r="G157">
        <v>4</v>
      </c>
    </row>
    <row r="158" spans="1:7" hidden="1" x14ac:dyDescent="0.3">
      <c r="A158" s="130">
        <v>46266</v>
      </c>
      <c r="B158" s="131">
        <v>3.42</v>
      </c>
      <c r="C158">
        <v>89</v>
      </c>
      <c r="D158" s="129">
        <f t="shared" si="2"/>
        <v>1.2296405510745139</v>
      </c>
      <c r="E158">
        <v>25</v>
      </c>
      <c r="F158" s="129">
        <f t="shared" si="3"/>
        <v>1.2296405510745139</v>
      </c>
    </row>
    <row r="159" spans="1:7" hidden="1" x14ac:dyDescent="0.3"/>
    <row r="160" spans="1:7" hidden="1" x14ac:dyDescent="0.3"/>
    <row r="161" spans="1:12" hidden="1" x14ac:dyDescent="0.3"/>
    <row r="162" spans="1:12" hidden="1" x14ac:dyDescent="0.3">
      <c r="A162" s="121" t="s">
        <v>682</v>
      </c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</row>
    <row r="163" spans="1:12" ht="55.2" hidden="1" x14ac:dyDescent="0.3">
      <c r="A163" s="124" t="s">
        <v>683</v>
      </c>
      <c r="B163" s="124" t="s">
        <v>684</v>
      </c>
      <c r="C163" s="124" t="s">
        <v>685</v>
      </c>
    </row>
    <row r="164" spans="1:12" hidden="1" x14ac:dyDescent="0.3">
      <c r="A164" s="132">
        <v>45597</v>
      </c>
      <c r="B164" s="131">
        <v>30.5</v>
      </c>
      <c r="C164" s="133">
        <v>4.55</v>
      </c>
    </row>
    <row r="165" spans="1:12" hidden="1" x14ac:dyDescent="0.3">
      <c r="A165" s="132">
        <v>45627</v>
      </c>
      <c r="B165" s="131">
        <v>29.63</v>
      </c>
      <c r="C165" s="133">
        <v>4.2149999999999999</v>
      </c>
    </row>
    <row r="166" spans="1:12" hidden="1" x14ac:dyDescent="0.3">
      <c r="A166" s="132">
        <v>45658</v>
      </c>
      <c r="B166" s="131">
        <v>29.18</v>
      </c>
      <c r="C166" s="133">
        <v>3.585</v>
      </c>
    </row>
    <row r="167" spans="1:12" hidden="1" x14ac:dyDescent="0.3">
      <c r="A167" s="132">
        <v>45689</v>
      </c>
      <c r="B167" s="131">
        <v>27.65</v>
      </c>
      <c r="C167" s="133">
        <v>3.7749999999999999</v>
      </c>
    </row>
    <row r="168" spans="1:12" hidden="1" x14ac:dyDescent="0.3">
      <c r="A168" s="132">
        <v>45717</v>
      </c>
      <c r="B168" s="131">
        <v>27.7</v>
      </c>
      <c r="C168" s="133">
        <v>3.8</v>
      </c>
    </row>
    <row r="169" spans="1:12" hidden="1" x14ac:dyDescent="0.3">
      <c r="A169" s="132">
        <v>45748</v>
      </c>
      <c r="B169" s="131">
        <v>25.98</v>
      </c>
      <c r="C169" s="133">
        <v>3.93</v>
      </c>
    </row>
    <row r="170" spans="1:12" hidden="1" x14ac:dyDescent="0.3">
      <c r="A170" s="132">
        <v>45778</v>
      </c>
      <c r="B170" s="131">
        <v>27.51</v>
      </c>
      <c r="C170" s="133">
        <v>4.42</v>
      </c>
    </row>
    <row r="171" spans="1:12" hidden="1" x14ac:dyDescent="0.3">
      <c r="A171" s="132">
        <v>45809</v>
      </c>
      <c r="B171" s="131">
        <v>27.98</v>
      </c>
      <c r="C171" s="133">
        <v>4.32</v>
      </c>
    </row>
    <row r="172" spans="1:12" hidden="1" x14ac:dyDescent="0.3">
      <c r="A172" s="132">
        <v>45839</v>
      </c>
      <c r="B172" s="131">
        <v>25.96</v>
      </c>
      <c r="C172" s="133">
        <v>3.5150000000000001</v>
      </c>
    </row>
    <row r="173" spans="1:12" hidden="1" x14ac:dyDescent="0.3">
      <c r="A173" s="132">
        <v>45870</v>
      </c>
      <c r="B173" s="131">
        <v>25.73</v>
      </c>
      <c r="C173" s="133">
        <v>3.57</v>
      </c>
    </row>
    <row r="174" spans="1:12" hidden="1" x14ac:dyDescent="0.3">
      <c r="A174" s="132">
        <v>45901</v>
      </c>
      <c r="B174" s="131">
        <v>25</v>
      </c>
      <c r="C174" s="133">
        <v>3.76</v>
      </c>
    </row>
    <row r="175" spans="1:12" hidden="1" x14ac:dyDescent="0.3">
      <c r="A175" s="132">
        <v>45931</v>
      </c>
      <c r="B175" s="131">
        <v>26.45</v>
      </c>
      <c r="C175" s="133">
        <v>3.5649999999999999</v>
      </c>
    </row>
    <row r="176" spans="1:12" hidden="1" x14ac:dyDescent="0.3">
      <c r="A176" s="132">
        <v>45962</v>
      </c>
      <c r="B176" s="131">
        <v>31.05</v>
      </c>
      <c r="C176" s="133">
        <v>3.8</v>
      </c>
    </row>
    <row r="177" spans="1:3" hidden="1" x14ac:dyDescent="0.3">
      <c r="A177" s="132">
        <v>45992</v>
      </c>
      <c r="B177" s="131">
        <v>40.93</v>
      </c>
      <c r="C177" s="133">
        <v>3.69</v>
      </c>
    </row>
    <row r="178" spans="1:3" hidden="1" x14ac:dyDescent="0.3">
      <c r="A178" s="132">
        <v>46023</v>
      </c>
      <c r="B178" s="131">
        <v>35.799999999999997</v>
      </c>
      <c r="C178" s="133">
        <v>3.7949999999999999</v>
      </c>
    </row>
    <row r="179" spans="1:3" hidden="1" x14ac:dyDescent="0.3">
      <c r="A179" s="132">
        <v>46054</v>
      </c>
      <c r="B179" s="131">
        <v>37.119999999999997</v>
      </c>
      <c r="C179" s="133">
        <v>4.0250000000000004</v>
      </c>
    </row>
    <row r="180" spans="1:3" hidden="1" x14ac:dyDescent="0.3">
      <c r="A180" s="132">
        <v>46082</v>
      </c>
      <c r="B180" s="131">
        <v>35.44</v>
      </c>
      <c r="C180" s="133">
        <v>4.59</v>
      </c>
    </row>
    <row r="181" spans="1:3" hidden="1" x14ac:dyDescent="0.3">
      <c r="A181" s="132">
        <v>46113</v>
      </c>
      <c r="B181" s="131">
        <v>33.49</v>
      </c>
      <c r="C181" s="133">
        <v>4.45</v>
      </c>
    </row>
    <row r="182" spans="1:3" hidden="1" x14ac:dyDescent="0.3">
      <c r="A182" s="132">
        <v>46143</v>
      </c>
      <c r="B182" s="131">
        <v>34.49</v>
      </c>
      <c r="C182" s="133">
        <v>3.94</v>
      </c>
    </row>
    <row r="183" spans="1:3" hidden="1" x14ac:dyDescent="0.3">
      <c r="A183" s="132">
        <v>46174</v>
      </c>
      <c r="B183" s="131">
        <v>30.25</v>
      </c>
      <c r="C183" s="133">
        <v>3.3650000000000002</v>
      </c>
    </row>
    <row r="184" spans="1:3" hidden="1" x14ac:dyDescent="0.3">
      <c r="A184" s="132">
        <v>46204</v>
      </c>
      <c r="B184" s="131">
        <v>29.59</v>
      </c>
      <c r="C184" s="133">
        <v>3.12</v>
      </c>
    </row>
    <row r="185" spans="1:3" hidden="1" x14ac:dyDescent="0.3">
      <c r="A185" s="132">
        <v>46235</v>
      </c>
      <c r="B185" s="131">
        <v>27.06</v>
      </c>
      <c r="C185" s="133">
        <v>3.26</v>
      </c>
    </row>
    <row r="186" spans="1:3" hidden="1" x14ac:dyDescent="0.3">
      <c r="A186" s="132">
        <v>46266</v>
      </c>
      <c r="B186" s="131">
        <v>35</v>
      </c>
      <c r="C186" s="133">
        <v>3.42</v>
      </c>
    </row>
    <row r="187" spans="1:3" hidden="1" x14ac:dyDescent="0.3"/>
    <row r="188" spans="1:3" hidden="1" x14ac:dyDescent="0.3">
      <c r="A188" s="124" t="s">
        <v>686</v>
      </c>
      <c r="B188" s="124" t="s">
        <v>78</v>
      </c>
      <c r="C188" s="124" t="s">
        <v>687</v>
      </c>
    </row>
    <row r="189" spans="1:3" hidden="1" x14ac:dyDescent="0.3">
      <c r="A189" t="s">
        <v>688</v>
      </c>
      <c r="B189" s="127">
        <f>CORREL(B164:B186,C164:C186)</f>
        <v>0.19017443858687402</v>
      </c>
      <c r="C189" t="str">
        <f>TEXT(A164,"mmm-yy")&amp;" a "&amp;TEXT(A186,"mmm-yy")</f>
        <v>nov-yy a sep-yy</v>
      </c>
    </row>
    <row r="190" spans="1:3" hidden="1" x14ac:dyDescent="0.3">
      <c r="A190" t="s">
        <v>689</v>
      </c>
      <c r="B190" s="127">
        <f>CORREL(B178:B186,C178:C186)</f>
        <v>0.66003908488380891</v>
      </c>
      <c r="C190" t="str">
        <f>TEXT(A178,"mmm-yy")&amp;" a "&amp;TEXT(A186,"mmm-yy")</f>
        <v>ene-yy a sep-yy</v>
      </c>
    </row>
    <row r="191" spans="1:3" hidden="1" x14ac:dyDescent="0.3">
      <c r="A191" t="s">
        <v>690</v>
      </c>
      <c r="B191" s="127">
        <f>CORREL(B181:B186,C181:C186)</f>
        <v>0.60296681048374545</v>
      </c>
      <c r="C191" t="str">
        <f>TEXT(A181,"mmm-yy")&amp;" a "&amp;TEXT(A186,"mmm-yy")</f>
        <v>abr-yy a sep-yy</v>
      </c>
    </row>
    <row r="192" spans="1:3" hidden="1" x14ac:dyDescent="0.3">
      <c r="A192" t="s">
        <v>691</v>
      </c>
      <c r="B192" s="127">
        <f>CORREL(B184:B186,C184:C186)</f>
        <v>0.69505995534377407</v>
      </c>
      <c r="C192" t="str">
        <f>TEXT(A184,"mmm-yy")&amp;" a "&amp;TEXT(A186,"mmm-yy")</f>
        <v>jul-yy a sep-yy</v>
      </c>
    </row>
    <row r="193" spans="1:3" hidden="1" x14ac:dyDescent="0.3">
      <c r="A193" s="120" t="s">
        <v>692</v>
      </c>
    </row>
    <row r="194" spans="1:3" hidden="1" x14ac:dyDescent="0.3"/>
    <row r="195" spans="1:3" ht="27.6" hidden="1" x14ac:dyDescent="0.3">
      <c r="A195" s="124" t="s">
        <v>60</v>
      </c>
      <c r="B195" s="124" t="s">
        <v>693</v>
      </c>
      <c r="C195" s="124" t="s">
        <v>694</v>
      </c>
    </row>
    <row r="196" spans="1:3" hidden="1" x14ac:dyDescent="0.3">
      <c r="A196" s="130">
        <v>46204</v>
      </c>
      <c r="B196" s="128">
        <v>3.0000000000000001E-3</v>
      </c>
      <c r="C196" s="128">
        <v>4.1999999999999997E-3</v>
      </c>
    </row>
    <row r="197" spans="1:3" hidden="1" x14ac:dyDescent="0.3">
      <c r="A197" s="130">
        <v>46205</v>
      </c>
      <c r="B197" s="128">
        <v>1.1900000000000001E-2</v>
      </c>
      <c r="C197" s="128">
        <v>-2.5999999999999999E-3</v>
      </c>
    </row>
    <row r="198" spans="1:3" hidden="1" x14ac:dyDescent="0.3">
      <c r="A198" s="130">
        <v>46206</v>
      </c>
      <c r="B198" s="128">
        <v>-2.5700000000000001E-2</v>
      </c>
      <c r="C198" s="128">
        <v>-2.0000000000000001E-4</v>
      </c>
    </row>
    <row r="199" spans="1:3" hidden="1" x14ac:dyDescent="0.3">
      <c r="A199" s="130">
        <v>46209</v>
      </c>
      <c r="B199" s="128">
        <v>-1.04E-2</v>
      </c>
      <c r="C199" s="128">
        <v>6.1000000000000004E-3</v>
      </c>
    </row>
    <row r="200" spans="1:3" hidden="1" x14ac:dyDescent="0.3">
      <c r="A200" s="130">
        <v>46210</v>
      </c>
      <c r="B200" s="128">
        <v>2.3300000000000001E-2</v>
      </c>
      <c r="C200" s="128">
        <v>-1.17E-2</v>
      </c>
    </row>
    <row r="201" spans="1:3" hidden="1" x14ac:dyDescent="0.3">
      <c r="A201" s="130">
        <v>46211</v>
      </c>
      <c r="B201" s="128">
        <v>-9.5999999999999992E-3</v>
      </c>
      <c r="C201" s="128">
        <v>-1E-3</v>
      </c>
    </row>
    <row r="202" spans="1:3" hidden="1" x14ac:dyDescent="0.3">
      <c r="A202" s="130">
        <v>46212</v>
      </c>
      <c r="B202" s="128">
        <v>2.53E-2</v>
      </c>
      <c r="C202" s="128">
        <v>-7.4999999999999997E-3</v>
      </c>
    </row>
    <row r="203" spans="1:3" hidden="1" x14ac:dyDescent="0.3">
      <c r="A203" s="130">
        <v>46213</v>
      </c>
      <c r="B203" s="128">
        <v>-5.1999999999999998E-3</v>
      </c>
      <c r="C203" s="128">
        <v>5.8999999999999999E-3</v>
      </c>
    </row>
    <row r="204" spans="1:3" hidden="1" x14ac:dyDescent="0.3">
      <c r="A204" s="130">
        <v>46216</v>
      </c>
      <c r="B204" s="128">
        <v>-1.9599999999999999E-2</v>
      </c>
      <c r="C204" s="128">
        <v>-7.9000000000000008E-3</v>
      </c>
    </row>
    <row r="205" spans="1:3" hidden="1" x14ac:dyDescent="0.3">
      <c r="A205" s="130">
        <v>46218</v>
      </c>
      <c r="B205" s="128">
        <v>1.2999999999999999E-3</v>
      </c>
      <c r="C205" s="128">
        <v>-1.6999999999999999E-3</v>
      </c>
    </row>
    <row r="206" spans="1:3" hidden="1" x14ac:dyDescent="0.3">
      <c r="A206" s="130">
        <v>46219</v>
      </c>
      <c r="B206" s="128">
        <v>-2.7000000000000001E-3</v>
      </c>
      <c r="C206" s="128">
        <v>-6.9999999999999999E-4</v>
      </c>
    </row>
    <row r="207" spans="1:3" hidden="1" x14ac:dyDescent="0.3">
      <c r="A207" s="130">
        <v>46220</v>
      </c>
      <c r="B207" s="128">
        <v>1.03E-2</v>
      </c>
      <c r="C207" s="128">
        <v>4.1999999999999997E-3</v>
      </c>
    </row>
    <row r="208" spans="1:3" hidden="1" x14ac:dyDescent="0.3">
      <c r="A208" s="130">
        <v>46224</v>
      </c>
      <c r="B208" s="128">
        <v>-1.55E-2</v>
      </c>
      <c r="C208" s="128">
        <v>8.8999999999999999E-3</v>
      </c>
    </row>
    <row r="209" spans="1:3" hidden="1" x14ac:dyDescent="0.3">
      <c r="A209" s="130">
        <v>46225</v>
      </c>
      <c r="B209" s="128">
        <v>-1.6799999999999999E-2</v>
      </c>
      <c r="C209" s="128">
        <v>8.8000000000000005E-3</v>
      </c>
    </row>
    <row r="210" spans="1:3" hidden="1" x14ac:dyDescent="0.3">
      <c r="A210" s="130">
        <v>46227</v>
      </c>
      <c r="B210" s="128">
        <v>3.8E-3</v>
      </c>
      <c r="C210" s="128">
        <v>1.8E-3</v>
      </c>
    </row>
    <row r="211" spans="1:3" hidden="1" x14ac:dyDescent="0.3">
      <c r="A211" s="130">
        <v>46230</v>
      </c>
      <c r="B211" s="128">
        <v>-1.29E-2</v>
      </c>
      <c r="C211" s="128">
        <v>1.17E-2</v>
      </c>
    </row>
    <row r="212" spans="1:3" hidden="1" x14ac:dyDescent="0.3">
      <c r="A212" s="130">
        <v>46231</v>
      </c>
      <c r="B212" s="128">
        <v>1.6199999999999999E-2</v>
      </c>
      <c r="C212" s="128">
        <v>2.2000000000000001E-3</v>
      </c>
    </row>
    <row r="213" spans="1:3" hidden="1" x14ac:dyDescent="0.3">
      <c r="A213" s="130">
        <v>46232</v>
      </c>
      <c r="B213" s="128">
        <v>3.3999999999999998E-3</v>
      </c>
      <c r="C213" s="128">
        <v>-1.23E-2</v>
      </c>
    </row>
    <row r="214" spans="1:3" hidden="1" x14ac:dyDescent="0.3">
      <c r="A214" s="130">
        <v>46234</v>
      </c>
      <c r="B214" s="128">
        <v>-2.9999999999999997E-4</v>
      </c>
      <c r="C214" s="128">
        <v>-5.3E-3</v>
      </c>
    </row>
    <row r="215" spans="1:3" hidden="1" x14ac:dyDescent="0.3">
      <c r="A215" s="130">
        <v>46237</v>
      </c>
      <c r="B215" s="128">
        <v>7.1000000000000004E-3</v>
      </c>
      <c r="C215" s="128">
        <v>-3.5999999999999999E-3</v>
      </c>
    </row>
    <row r="216" spans="1:3" hidden="1" x14ac:dyDescent="0.3">
      <c r="A216" s="130">
        <v>46239</v>
      </c>
      <c r="B216" s="128">
        <v>-2.6800000000000001E-2</v>
      </c>
      <c r="C216" s="128">
        <v>-4.5999999999999999E-3</v>
      </c>
    </row>
    <row r="217" spans="1:3" hidden="1" x14ac:dyDescent="0.3">
      <c r="A217" s="130">
        <v>46240</v>
      </c>
      <c r="B217" s="128">
        <v>0</v>
      </c>
      <c r="C217" s="128">
        <v>-1.9E-3</v>
      </c>
    </row>
    <row r="218" spans="1:3" hidden="1" x14ac:dyDescent="0.3">
      <c r="A218" s="130">
        <v>46241</v>
      </c>
      <c r="B218" s="128">
        <v>1.6199999999999999E-2</v>
      </c>
      <c r="C218" s="128">
        <v>8.2000000000000007E-3</v>
      </c>
    </row>
    <row r="219" spans="1:3" hidden="1" x14ac:dyDescent="0.3">
      <c r="A219" s="130">
        <v>46244</v>
      </c>
      <c r="B219" s="128">
        <v>-3.7000000000000002E-3</v>
      </c>
      <c r="C219" s="128">
        <v>-7.4999999999999997E-3</v>
      </c>
    </row>
    <row r="220" spans="1:3" hidden="1" x14ac:dyDescent="0.3">
      <c r="A220" s="130">
        <v>46245</v>
      </c>
      <c r="B220" s="128">
        <v>-2.0799999999999999E-2</v>
      </c>
      <c r="C220" s="128">
        <v>-1.32E-2</v>
      </c>
    </row>
    <row r="221" spans="1:3" hidden="1" x14ac:dyDescent="0.3">
      <c r="A221" s="130">
        <v>46246</v>
      </c>
      <c r="B221" s="128">
        <v>0</v>
      </c>
      <c r="C221" s="128">
        <v>2.8999999999999998E-3</v>
      </c>
    </row>
    <row r="222" spans="1:3" hidden="1" x14ac:dyDescent="0.3">
      <c r="A222" s="130">
        <v>46247</v>
      </c>
      <c r="B222" s="128">
        <v>-2.7799999999999998E-2</v>
      </c>
      <c r="C222" s="128">
        <v>-1.41E-2</v>
      </c>
    </row>
    <row r="223" spans="1:3" hidden="1" x14ac:dyDescent="0.3">
      <c r="A223" s="130">
        <v>46248</v>
      </c>
      <c r="B223" s="128">
        <v>-1.61E-2</v>
      </c>
      <c r="C223" s="128">
        <v>-6.6E-3</v>
      </c>
    </row>
    <row r="224" spans="1:3" hidden="1" x14ac:dyDescent="0.3">
      <c r="A224" s="130">
        <v>46251</v>
      </c>
      <c r="B224" s="128">
        <v>0</v>
      </c>
      <c r="C224" s="128">
        <v>-2.2000000000000001E-3</v>
      </c>
    </row>
    <row r="225" spans="1:3" hidden="1" x14ac:dyDescent="0.3">
      <c r="A225" s="130">
        <v>46252</v>
      </c>
      <c r="B225" s="128">
        <v>0</v>
      </c>
      <c r="C225" s="128">
        <v>-5.0000000000000001E-3</v>
      </c>
    </row>
    <row r="226" spans="1:3" hidden="1" x14ac:dyDescent="0.3">
      <c r="A226" s="130">
        <v>46253</v>
      </c>
      <c r="B226" s="128">
        <v>-4.0000000000000002E-4</v>
      </c>
      <c r="C226" s="128">
        <v>1E-3</v>
      </c>
    </row>
    <row r="227" spans="1:3" hidden="1" x14ac:dyDescent="0.3">
      <c r="A227" s="130">
        <v>46254</v>
      </c>
      <c r="B227" s="128">
        <v>0</v>
      </c>
      <c r="C227" s="128">
        <v>5.4999999999999997E-3</v>
      </c>
    </row>
    <row r="228" spans="1:3" hidden="1" x14ac:dyDescent="0.3">
      <c r="A228" s="130">
        <v>46255</v>
      </c>
      <c r="B228" s="128">
        <v>-1.49E-2</v>
      </c>
      <c r="C228" s="128">
        <v>2.1399999999999999E-2</v>
      </c>
    </row>
    <row r="229" spans="1:3" hidden="1" x14ac:dyDescent="0.3">
      <c r="A229" s="130">
        <v>46258</v>
      </c>
      <c r="B229" s="128">
        <v>0</v>
      </c>
      <c r="C229" s="128">
        <v>5.9999999999999995E-4</v>
      </c>
    </row>
    <row r="230" spans="1:3" hidden="1" x14ac:dyDescent="0.3">
      <c r="A230" s="130">
        <v>46259</v>
      </c>
      <c r="B230" s="128">
        <v>7.7999999999999996E-3</v>
      </c>
      <c r="C230" s="128">
        <v>7.9000000000000008E-3</v>
      </c>
    </row>
    <row r="231" spans="1:3" hidden="1" x14ac:dyDescent="0.3">
      <c r="A231" s="130">
        <v>46260</v>
      </c>
      <c r="B231" s="128">
        <v>0</v>
      </c>
      <c r="C231" s="128">
        <v>-1.5E-3</v>
      </c>
    </row>
    <row r="232" spans="1:3" hidden="1" x14ac:dyDescent="0.3">
      <c r="A232" s="130">
        <v>46261</v>
      </c>
      <c r="B232" s="128">
        <v>-8.0999999999999996E-3</v>
      </c>
      <c r="C232" s="128">
        <v>-5.4999999999999997E-3</v>
      </c>
    </row>
    <row r="233" spans="1:3" hidden="1" x14ac:dyDescent="0.3">
      <c r="A233" s="130">
        <v>46262</v>
      </c>
      <c r="B233" s="128">
        <v>0</v>
      </c>
      <c r="C233" s="128">
        <v>-5.3E-3</v>
      </c>
    </row>
    <row r="234" spans="1:3" hidden="1" x14ac:dyDescent="0.3">
      <c r="A234" s="130">
        <v>46265</v>
      </c>
      <c r="B234" s="128">
        <v>-4.0000000000000002E-4</v>
      </c>
      <c r="C234" s="128">
        <v>-8.0000000000000004E-4</v>
      </c>
    </row>
    <row r="235" spans="1:3" hidden="1" x14ac:dyDescent="0.3">
      <c r="A235" s="130">
        <v>46266</v>
      </c>
      <c r="B235" s="128">
        <v>-5.1999999999999998E-3</v>
      </c>
      <c r="C235" s="128">
        <v>-1.4E-2</v>
      </c>
    </row>
    <row r="236" spans="1:3" hidden="1" x14ac:dyDescent="0.3">
      <c r="A236" s="130">
        <v>46267</v>
      </c>
      <c r="B236" s="128">
        <v>-6.3E-3</v>
      </c>
      <c r="C236" s="128">
        <v>5.7000000000000002E-3</v>
      </c>
    </row>
    <row r="237" spans="1:3" hidden="1" x14ac:dyDescent="0.3">
      <c r="A237" s="130">
        <v>46268</v>
      </c>
      <c r="B237" s="128">
        <v>0</v>
      </c>
      <c r="C237" s="128">
        <v>8.5000000000000006E-3</v>
      </c>
    </row>
    <row r="238" spans="1:3" hidden="1" x14ac:dyDescent="0.3">
      <c r="A238" s="130">
        <v>46269</v>
      </c>
      <c r="B238" s="128">
        <v>-2.8000000000000001E-2</v>
      </c>
      <c r="C238" s="128">
        <v>-8.6999999999999994E-3</v>
      </c>
    </row>
    <row r="239" spans="1:3" hidden="1" x14ac:dyDescent="0.3">
      <c r="A239" s="130">
        <v>46273</v>
      </c>
      <c r="B239" s="128">
        <v>9.5999999999999992E-3</v>
      </c>
      <c r="C239" s="128">
        <v>5.1999999999999998E-3</v>
      </c>
    </row>
    <row r="240" spans="1:3" hidden="1" x14ac:dyDescent="0.3">
      <c r="A240" s="130">
        <v>46274</v>
      </c>
      <c r="B240" s="128">
        <v>9.4999999999999998E-3</v>
      </c>
      <c r="C240" s="128">
        <v>-3.8999999999999998E-3</v>
      </c>
    </row>
    <row r="241" spans="1:3" hidden="1" x14ac:dyDescent="0.3">
      <c r="A241" s="130">
        <v>46275</v>
      </c>
      <c r="B241" s="128">
        <v>-3.5499999999999997E-2</v>
      </c>
      <c r="C241" s="128">
        <v>-1.09E-2</v>
      </c>
    </row>
    <row r="242" spans="1:3" hidden="1" x14ac:dyDescent="0.3">
      <c r="A242" s="130">
        <v>46276</v>
      </c>
      <c r="B242" s="128">
        <v>1.72E-2</v>
      </c>
      <c r="C242" s="128">
        <v>-2.8E-3</v>
      </c>
    </row>
    <row r="243" spans="1:3" hidden="1" x14ac:dyDescent="0.3">
      <c r="A243" s="130">
        <v>46279</v>
      </c>
      <c r="B243" s="128">
        <v>0.06</v>
      </c>
      <c r="C243" s="128">
        <v>4.5999999999999999E-3</v>
      </c>
    </row>
    <row r="244" spans="1:3" hidden="1" x14ac:dyDescent="0.3">
      <c r="A244" s="130">
        <v>46280</v>
      </c>
      <c r="B244" s="128">
        <v>7.6200000000000004E-2</v>
      </c>
      <c r="C244" s="128">
        <v>-1.11E-2</v>
      </c>
    </row>
    <row r="245" spans="1:3" hidden="1" x14ac:dyDescent="0.3">
      <c r="A245" s="130">
        <v>46282</v>
      </c>
      <c r="B245" s="128">
        <v>1.21E-2</v>
      </c>
      <c r="C245" s="128">
        <v>5.7999999999999996E-3</v>
      </c>
    </row>
    <row r="246" spans="1:3" hidden="1" x14ac:dyDescent="0.3">
      <c r="A246" s="130">
        <v>46283</v>
      </c>
      <c r="B246" s="128">
        <v>7.3000000000000001E-3</v>
      </c>
      <c r="C246" s="128">
        <v>-7.7999999999999996E-3</v>
      </c>
    </row>
    <row r="247" spans="1:3" hidden="1" x14ac:dyDescent="0.3">
      <c r="A247" s="130">
        <v>46286</v>
      </c>
      <c r="B247" s="128">
        <v>-4.5999999999999999E-3</v>
      </c>
      <c r="C247" s="128">
        <v>2.5000000000000001E-3</v>
      </c>
    </row>
    <row r="248" spans="1:3" hidden="1" x14ac:dyDescent="0.3">
      <c r="A248" s="130">
        <v>46288</v>
      </c>
      <c r="B248" s="128">
        <v>2.3300000000000001E-2</v>
      </c>
      <c r="C248" s="128">
        <v>-2.8E-3</v>
      </c>
    </row>
    <row r="249" spans="1:3" hidden="1" x14ac:dyDescent="0.3">
      <c r="A249" s="130">
        <v>46289</v>
      </c>
      <c r="B249" s="128">
        <v>6.8199999999999997E-2</v>
      </c>
      <c r="C249" s="128">
        <v>-2.0000000000000001E-4</v>
      </c>
    </row>
    <row r="250" spans="1:3" hidden="1" x14ac:dyDescent="0.3">
      <c r="A250" s="130">
        <v>46290</v>
      </c>
      <c r="B250" s="128">
        <v>1.7600000000000001E-2</v>
      </c>
      <c r="C250" s="128">
        <v>1.1299999999999999E-2</v>
      </c>
    </row>
    <row r="251" spans="1:3" hidden="1" x14ac:dyDescent="0.3">
      <c r="A251" s="130">
        <v>46293</v>
      </c>
      <c r="B251" s="128">
        <v>1.11E-2</v>
      </c>
      <c r="C251" s="128">
        <v>-6.9999999999999999E-4</v>
      </c>
    </row>
    <row r="252" spans="1:3" hidden="1" x14ac:dyDescent="0.3">
      <c r="A252" s="130">
        <v>46294</v>
      </c>
      <c r="B252" s="128">
        <v>1.9199999999999998E-2</v>
      </c>
      <c r="C252" s="128">
        <v>2.5999999999999999E-3</v>
      </c>
    </row>
    <row r="253" spans="1:3" hidden="1" x14ac:dyDescent="0.3">
      <c r="A253" s="130">
        <v>46295</v>
      </c>
      <c r="B253" s="128">
        <v>1.4500000000000001E-2</v>
      </c>
      <c r="C253" s="128">
        <v>-1.38E-2</v>
      </c>
    </row>
    <row r="254" spans="1:3" hidden="1" x14ac:dyDescent="0.3">
      <c r="A254" s="130">
        <v>46296</v>
      </c>
      <c r="B254" s="128">
        <v>-2.86E-2</v>
      </c>
      <c r="C254" s="128">
        <v>-6.0000000000000001E-3</v>
      </c>
    </row>
    <row r="255" spans="1:3" hidden="1" x14ac:dyDescent="0.3">
      <c r="A255" s="130">
        <v>46297</v>
      </c>
      <c r="B255" s="128">
        <v>2.8999999999999998E-3</v>
      </c>
      <c r="C255" s="128">
        <v>1.0999999999999999E-2</v>
      </c>
    </row>
    <row r="256" spans="1:3" hidden="1" x14ac:dyDescent="0.3">
      <c r="A256" s="130">
        <v>46300</v>
      </c>
      <c r="B256" s="128">
        <v>-9.1000000000000004E-3</v>
      </c>
      <c r="C256" s="128">
        <v>6.8999999999999999E-3</v>
      </c>
    </row>
    <row r="257" spans="1:3" hidden="1" x14ac:dyDescent="0.3">
      <c r="A257" s="130">
        <v>46301</v>
      </c>
      <c r="B257" s="128">
        <v>-2.01E-2</v>
      </c>
      <c r="C257" s="128">
        <v>5.1999999999999998E-3</v>
      </c>
    </row>
    <row r="258" spans="1:3" hidden="1" x14ac:dyDescent="0.3"/>
    <row r="259" spans="1:3" hidden="1" x14ac:dyDescent="0.3">
      <c r="A259" s="123" t="s">
        <v>695</v>
      </c>
    </row>
    <row r="260" spans="1:3" hidden="1" x14ac:dyDescent="0.3">
      <c r="A260" t="s">
        <v>696</v>
      </c>
      <c r="B260" s="134">
        <f>SLOPE(B196:B257,C196:C257)</f>
        <v>4.1461956610931459E-2</v>
      </c>
    </row>
    <row r="261" spans="1:3" hidden="1" x14ac:dyDescent="0.3">
      <c r="A261" t="s">
        <v>649</v>
      </c>
      <c r="B261" s="125">
        <f>RSQ(B196:B257,C196:C257)</f>
        <v>2.2509402690015711E-4</v>
      </c>
    </row>
    <row r="262" spans="1:3" hidden="1" x14ac:dyDescent="0.3">
      <c r="A262" t="s">
        <v>697</v>
      </c>
      <c r="B262">
        <f>COUNT(B196:B257)</f>
        <v>62</v>
      </c>
    </row>
    <row r="263" spans="1:3" hidden="1" x14ac:dyDescent="0.3">
      <c r="A263" t="s">
        <v>698</v>
      </c>
      <c r="B263" s="128">
        <v>0.414619566109315</v>
      </c>
      <c r="C263" s="120" t="s">
        <v>699</v>
      </c>
    </row>
    <row r="264" spans="1:3" hidden="1" x14ac:dyDescent="0.3"/>
    <row r="265" spans="1:3" hidden="1" x14ac:dyDescent="0.3">
      <c r="A265" s="123" t="s">
        <v>700</v>
      </c>
    </row>
    <row r="266" spans="1:3" hidden="1" x14ac:dyDescent="0.3">
      <c r="A266" t="s">
        <v>701</v>
      </c>
      <c r="B266" s="131">
        <f>WACC!B9</f>
        <v>0.69</v>
      </c>
      <c r="C266" s="120" t="s">
        <v>702</v>
      </c>
    </row>
    <row r="267" spans="1:3" hidden="1" x14ac:dyDescent="0.3">
      <c r="A267" t="s">
        <v>703</v>
      </c>
      <c r="C267" s="120" t="s">
        <v>704</v>
      </c>
    </row>
    <row r="268" spans="1:3" hidden="1" x14ac:dyDescent="0.3"/>
    <row r="269" spans="1:3" hidden="1" x14ac:dyDescent="0.3"/>
  </sheetData>
  <mergeCells count="5">
    <mergeCell ref="A5:C5"/>
    <mergeCell ref="A6:D6"/>
    <mergeCell ref="C33:G33"/>
    <mergeCell ref="C35:G35"/>
    <mergeCell ref="C34:G34"/>
  </mergeCells>
  <dataValidations count="1">
    <dataValidation type="list" sqref="E6" xr:uid="{00000000-0002-0000-0A00-000000000000}">
      <formula1>"1,2,3,0"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2"/>
  <sheetViews>
    <sheetView zoomScaleNormal="100" workbookViewId="0">
      <selection sqref="A1:XFD4"/>
    </sheetView>
  </sheetViews>
  <sheetFormatPr baseColWidth="10" defaultColWidth="8.6640625" defaultRowHeight="14.4" x14ac:dyDescent="0.3"/>
  <cols>
    <col min="1" max="1" width="58" customWidth="1"/>
    <col min="2" max="2" width="43.88671875" bestFit="1" customWidth="1"/>
    <col min="3" max="3" width="22.44140625" customWidth="1"/>
    <col min="4" max="4" width="16" customWidth="1"/>
    <col min="5" max="5" width="70" customWidth="1"/>
  </cols>
  <sheetData>
    <row r="1" spans="1:5" x14ac:dyDescent="0.3">
      <c r="A1" s="262" t="s">
        <v>705</v>
      </c>
      <c r="B1" s="262"/>
    </row>
    <row r="2" spans="1:5" x14ac:dyDescent="0.3">
      <c r="A2" s="181" t="s">
        <v>46</v>
      </c>
      <c r="B2" s="182" t="s">
        <v>78</v>
      </c>
      <c r="C2" s="159"/>
      <c r="D2" s="159"/>
      <c r="E2" s="159"/>
    </row>
    <row r="3" spans="1:5" x14ac:dyDescent="0.3">
      <c r="A3" s="175" t="s">
        <v>706</v>
      </c>
      <c r="B3" s="176" t="s">
        <v>707</v>
      </c>
      <c r="E3" s="1"/>
    </row>
    <row r="4" spans="1:5" x14ac:dyDescent="0.3">
      <c r="A4" s="175" t="s">
        <v>708</v>
      </c>
      <c r="B4" s="176" t="s">
        <v>709</v>
      </c>
      <c r="E4" s="1"/>
    </row>
    <row r="5" spans="1:5" x14ac:dyDescent="0.3">
      <c r="A5" s="175" t="s">
        <v>710</v>
      </c>
      <c r="B5" s="176" t="s">
        <v>711</v>
      </c>
      <c r="E5" s="1"/>
    </row>
    <row r="6" spans="1:5" x14ac:dyDescent="0.3">
      <c r="A6" s="175" t="s">
        <v>712</v>
      </c>
      <c r="B6" s="176">
        <v>215</v>
      </c>
      <c r="E6" s="1"/>
    </row>
    <row r="7" spans="1:5" x14ac:dyDescent="0.3">
      <c r="A7" s="175" t="s">
        <v>713</v>
      </c>
      <c r="B7" s="177">
        <v>0.87</v>
      </c>
      <c r="E7" s="1"/>
    </row>
    <row r="8" spans="1:5" x14ac:dyDescent="0.3">
      <c r="A8" s="175" t="s">
        <v>714</v>
      </c>
      <c r="B8" s="178">
        <v>0.45960000000000001</v>
      </c>
      <c r="E8" s="1"/>
    </row>
    <row r="9" spans="1:5" x14ac:dyDescent="0.3">
      <c r="A9" s="175" t="s">
        <v>715</v>
      </c>
      <c r="B9" s="178">
        <v>0.20810000000000001</v>
      </c>
      <c r="E9" s="1"/>
    </row>
    <row r="10" spans="1:5" x14ac:dyDescent="0.3">
      <c r="A10" s="175" t="s">
        <v>716</v>
      </c>
      <c r="B10" s="178">
        <v>0.25369999999999998</v>
      </c>
      <c r="E10" s="1"/>
    </row>
    <row r="11" spans="1:5" x14ac:dyDescent="0.3">
      <c r="A11" s="175" t="s">
        <v>717</v>
      </c>
      <c r="B11" s="177">
        <v>0.65</v>
      </c>
      <c r="E11" s="1"/>
    </row>
    <row r="12" spans="1:5" x14ac:dyDescent="0.3">
      <c r="A12" s="175" t="s">
        <v>718</v>
      </c>
      <c r="B12" s="178">
        <v>5.8099999999999999E-2</v>
      </c>
      <c r="E12" s="1"/>
    </row>
    <row r="13" spans="1:5" x14ac:dyDescent="0.3">
      <c r="A13" s="175" t="s">
        <v>719</v>
      </c>
      <c r="B13" s="177">
        <v>0.69</v>
      </c>
      <c r="E13" s="1"/>
    </row>
    <row r="14" spans="1:5" x14ac:dyDescent="0.3">
      <c r="A14" s="174" t="s">
        <v>720</v>
      </c>
      <c r="B14" s="180">
        <f>B7/(1+(1-B10)*B8)</f>
        <v>0.64780367599248811</v>
      </c>
      <c r="C14" s="179">
        <f>B14-B11</f>
        <v>-2.1963240075119073E-3</v>
      </c>
    </row>
    <row r="15" spans="1:5" x14ac:dyDescent="0.3">
      <c r="A15" s="1"/>
    </row>
    <row r="16" spans="1:5" x14ac:dyDescent="0.3">
      <c r="A16" s="1"/>
    </row>
    <row r="17" spans="1:5" ht="28.8" x14ac:dyDescent="0.3">
      <c r="A17" s="173" t="s">
        <v>721</v>
      </c>
      <c r="B17" s="177">
        <v>0.8</v>
      </c>
    </row>
    <row r="18" spans="1:5" ht="27.6" x14ac:dyDescent="0.3">
      <c r="A18" s="172" t="s">
        <v>722</v>
      </c>
      <c r="B18" s="171">
        <v>1</v>
      </c>
    </row>
    <row r="19" spans="1:5" ht="27.6" x14ac:dyDescent="0.3">
      <c r="A19" s="172" t="s">
        <v>1135</v>
      </c>
      <c r="B19" s="183">
        <f>CHOOSE(B18+1,B17,B13)</f>
        <v>0.69</v>
      </c>
    </row>
    <row r="20" spans="1:5" x14ac:dyDescent="0.3">
      <c r="A20" s="1"/>
    </row>
    <row r="21" spans="1:5" x14ac:dyDescent="0.3">
      <c r="A21" s="258" t="s">
        <v>723</v>
      </c>
      <c r="B21" s="258"/>
      <c r="C21" s="258"/>
    </row>
    <row r="22" spans="1:5" x14ac:dyDescent="0.3">
      <c r="A22" s="172" t="s">
        <v>195</v>
      </c>
      <c r="B22" s="172" t="s">
        <v>724</v>
      </c>
      <c r="C22" s="172" t="s">
        <v>725</v>
      </c>
      <c r="D22" s="159"/>
      <c r="E22" s="159"/>
    </row>
    <row r="23" spans="1:5" x14ac:dyDescent="0.3">
      <c r="A23" s="173" t="s">
        <v>726</v>
      </c>
      <c r="B23" s="179">
        <f>B19</f>
        <v>0.69</v>
      </c>
      <c r="C23" s="179">
        <f>B19</f>
        <v>0.69</v>
      </c>
      <c r="E23" s="1"/>
    </row>
    <row r="24" spans="1:5" x14ac:dyDescent="0.3">
      <c r="A24" s="173" t="s">
        <v>727</v>
      </c>
      <c r="B24" s="179">
        <f>WACC!B23</f>
        <v>0.39190893402362942</v>
      </c>
      <c r="C24" s="179">
        <f>'Proyección Final Soriana'!D219</f>
        <v>0.44945383790522159</v>
      </c>
      <c r="E24" s="1"/>
    </row>
    <row r="25" spans="1:5" x14ac:dyDescent="0.3">
      <c r="A25" s="173" t="s">
        <v>728</v>
      </c>
      <c r="B25" s="179">
        <f>WACC!B10</f>
        <v>0.3</v>
      </c>
      <c r="C25" s="179">
        <f>'Proyección Final Soriana'!B207</f>
        <v>0.3</v>
      </c>
      <c r="E25" s="1"/>
    </row>
    <row r="26" spans="1:5" x14ac:dyDescent="0.3">
      <c r="A26" s="172" t="s">
        <v>729</v>
      </c>
      <c r="B26" s="179">
        <f>B23*(1+(1-B25)*B24)</f>
        <v>0.87929201513341293</v>
      </c>
      <c r="C26" s="179">
        <f>C23*(1+(1-C25)*C24)</f>
        <v>0.90708620370822191</v>
      </c>
      <c r="E26" s="1"/>
    </row>
    <row r="27" spans="1:5" x14ac:dyDescent="0.3">
      <c r="A27" s="173" t="s">
        <v>730</v>
      </c>
      <c r="B27" s="184">
        <f>WACC!B5</f>
        <v>9.5170000000000005E-2</v>
      </c>
      <c r="C27" s="184">
        <f>'Proyección Final Soriana'!B210</f>
        <v>9.5170000000000005E-2</v>
      </c>
      <c r="E27" s="1"/>
    </row>
    <row r="28" spans="1:5" x14ac:dyDescent="0.3">
      <c r="A28" s="173" t="s">
        <v>731</v>
      </c>
      <c r="B28" s="184">
        <f>WACC!B8</f>
        <v>4.2299999999999997E-2</v>
      </c>
      <c r="C28" s="184">
        <f>'Proyección Final Soriana'!B211</f>
        <v>4.2299999999999997E-2</v>
      </c>
      <c r="E28" s="1"/>
    </row>
    <row r="29" spans="1:5" x14ac:dyDescent="0.3">
      <c r="A29" s="172" t="s">
        <v>732</v>
      </c>
      <c r="B29" s="184">
        <f>B27+B26*B28</f>
        <v>0.13236405224014336</v>
      </c>
      <c r="C29" s="184">
        <f>C27+C26*C28</f>
        <v>0.13353974641685779</v>
      </c>
      <c r="E29" s="1"/>
    </row>
    <row r="30" spans="1:5" x14ac:dyDescent="0.3">
      <c r="A30" s="173" t="s">
        <v>733</v>
      </c>
      <c r="B30" s="184">
        <f>WACC!B33</f>
        <v>0.12074804182303711</v>
      </c>
      <c r="C30" s="184">
        <f>'Proyección Final Soriana'!B126</f>
        <v>0.11383702657870544</v>
      </c>
      <c r="E30" s="1"/>
    </row>
    <row r="31" spans="1:5" x14ac:dyDescent="0.3">
      <c r="A31" s="173" t="s">
        <v>734</v>
      </c>
      <c r="B31" s="179">
        <f>B26-WACC!B28</f>
        <v>0</v>
      </c>
      <c r="C31" s="179">
        <f>C26-'Proyección Final Soriana'!E219</f>
        <v>0</v>
      </c>
      <c r="E31" s="1"/>
    </row>
    <row r="32" spans="1:5" ht="28.8" x14ac:dyDescent="0.3">
      <c r="A32" s="173" t="s">
        <v>735</v>
      </c>
      <c r="B32" s="184">
        <f>WACC!B5+B7*WACC!B8</f>
        <v>0.131971</v>
      </c>
      <c r="C32" s="176"/>
    </row>
    <row r="33" spans="1:5" x14ac:dyDescent="0.3">
      <c r="A33" s="1"/>
    </row>
    <row r="34" spans="1:5" x14ac:dyDescent="0.3">
      <c r="A34" s="258" t="s">
        <v>736</v>
      </c>
      <c r="B34" s="258"/>
      <c r="C34" s="258"/>
      <c r="D34" s="258"/>
      <c r="E34" s="258"/>
    </row>
    <row r="35" spans="1:5" ht="27.6" x14ac:dyDescent="0.3">
      <c r="A35" s="172" t="s">
        <v>195</v>
      </c>
      <c r="B35" s="172" t="s">
        <v>737</v>
      </c>
      <c r="C35" s="172" t="s">
        <v>1136</v>
      </c>
      <c r="D35" s="172" t="s">
        <v>738</v>
      </c>
      <c r="E35" s="172" t="s">
        <v>652</v>
      </c>
    </row>
    <row r="36" spans="1:5" x14ac:dyDescent="0.3">
      <c r="A36" s="173" t="s">
        <v>739</v>
      </c>
      <c r="B36" s="179">
        <f>Validación!H8</f>
        <v>0.8</v>
      </c>
      <c r="C36" s="179">
        <f>Validación!F8</f>
        <v>0.69</v>
      </c>
      <c r="D36" s="179">
        <f t="shared" ref="D36:D45" si="0">C36-B36</f>
        <v>-0.1100000000000001</v>
      </c>
      <c r="E36" s="176" t="s">
        <v>740</v>
      </c>
    </row>
    <row r="37" spans="1:5" x14ac:dyDescent="0.3">
      <c r="A37" s="173" t="s">
        <v>741</v>
      </c>
      <c r="B37" s="179">
        <f>Validación!H14</f>
        <v>1.0667170888413899</v>
      </c>
      <c r="C37" s="179">
        <f>Validación!F14</f>
        <v>0.90708620370822202</v>
      </c>
      <c r="D37" s="179">
        <f t="shared" si="0"/>
        <v>-0.15963088513316792</v>
      </c>
      <c r="E37" s="176"/>
    </row>
    <row r="38" spans="1:5" x14ac:dyDescent="0.3">
      <c r="A38" s="173" t="s">
        <v>742</v>
      </c>
      <c r="B38" s="184">
        <f>Validación!H13</f>
        <v>0.140292132857991</v>
      </c>
      <c r="C38" s="184">
        <f>Validación!F13</f>
        <v>0.13353974641685801</v>
      </c>
      <c r="D38" s="184">
        <f t="shared" si="0"/>
        <v>-6.7523864411329904E-3</v>
      </c>
      <c r="E38" s="176"/>
    </row>
    <row r="39" spans="1:5" x14ac:dyDescent="0.3">
      <c r="A39" s="173" t="s">
        <v>743</v>
      </c>
      <c r="B39" s="184">
        <f>Validación!H12</f>
        <v>0.11761434707445199</v>
      </c>
      <c r="C39" s="184">
        <f>Validación!F12</f>
        <v>0.11383702657870499</v>
      </c>
      <c r="D39" s="184">
        <f t="shared" si="0"/>
        <v>-3.7773204957469997E-3</v>
      </c>
      <c r="E39" s="176"/>
    </row>
    <row r="40" spans="1:5" x14ac:dyDescent="0.3">
      <c r="A40" s="173" t="s">
        <v>744</v>
      </c>
      <c r="B40" s="184">
        <f>Validación!H15</f>
        <v>0.125008009155719</v>
      </c>
      <c r="C40" s="184">
        <f>Validación!F15</f>
        <v>0.120748041823037</v>
      </c>
      <c r="D40" s="184">
        <f t="shared" si="0"/>
        <v>-4.2599673326819965E-3</v>
      </c>
      <c r="E40" s="176"/>
    </row>
    <row r="41" spans="1:5" x14ac:dyDescent="0.3">
      <c r="A41" s="173" t="s">
        <v>745</v>
      </c>
      <c r="B41" s="184">
        <f>Validación!H16</f>
        <v>0.13829353882915199</v>
      </c>
      <c r="C41" s="184">
        <f>Validación!F16</f>
        <v>0.132364052240143</v>
      </c>
      <c r="D41" s="184">
        <f t="shared" si="0"/>
        <v>-5.9294865890089921E-3</v>
      </c>
      <c r="E41" s="176"/>
    </row>
    <row r="42" spans="1:5" x14ac:dyDescent="0.3">
      <c r="A42" s="173" t="s">
        <v>746</v>
      </c>
      <c r="B42" s="185">
        <f>Validación!H11</f>
        <v>65231.572638484002</v>
      </c>
      <c r="C42" s="185">
        <f>Validación!F11</f>
        <v>67198.428975148796</v>
      </c>
      <c r="D42" s="185">
        <f t="shared" si="0"/>
        <v>1966.8563366647941</v>
      </c>
      <c r="E42" s="176"/>
    </row>
    <row r="43" spans="1:5" x14ac:dyDescent="0.3">
      <c r="A43" s="173" t="s">
        <v>747</v>
      </c>
      <c r="B43" s="185">
        <f>Validación!H10</f>
        <v>54970.645298339601</v>
      </c>
      <c r="C43" s="185">
        <f>Validación!F10</f>
        <v>56910.402260138901</v>
      </c>
      <c r="D43" s="185">
        <f t="shared" si="0"/>
        <v>1939.7569617992995</v>
      </c>
      <c r="E43" s="176"/>
    </row>
    <row r="44" spans="1:5" x14ac:dyDescent="0.3">
      <c r="A44" s="172" t="s">
        <v>748</v>
      </c>
      <c r="B44" s="186">
        <f>Validación!H9</f>
        <v>30.539247387966402</v>
      </c>
      <c r="C44" s="186">
        <f>Validación!F9</f>
        <v>31.616890144521602</v>
      </c>
      <c r="D44" s="186">
        <f t="shared" si="0"/>
        <v>1.0776427565551998</v>
      </c>
      <c r="E44" s="176"/>
    </row>
    <row r="45" spans="1:5" x14ac:dyDescent="0.3">
      <c r="A45" s="172" t="s">
        <v>749</v>
      </c>
      <c r="B45" s="186">
        <f>Validación!H19</f>
        <v>32.0160441212319</v>
      </c>
      <c r="C45" s="186">
        <f>Validación!F19</f>
        <v>32.554865499509503</v>
      </c>
      <c r="D45" s="186">
        <f t="shared" si="0"/>
        <v>0.53882137827760346</v>
      </c>
      <c r="E45" s="176"/>
    </row>
    <row r="46" spans="1:5" x14ac:dyDescent="0.3">
      <c r="A46" s="1"/>
    </row>
    <row r="47" spans="1:5" x14ac:dyDescent="0.3">
      <c r="A47" s="259" t="s">
        <v>750</v>
      </c>
      <c r="B47" s="260"/>
      <c r="C47" s="260"/>
      <c r="D47" s="260"/>
      <c r="E47" s="261"/>
    </row>
    <row r="48" spans="1:5" ht="30" customHeight="1" x14ac:dyDescent="0.3">
      <c r="A48" s="172" t="s">
        <v>751</v>
      </c>
      <c r="B48" s="178">
        <f>'Proyección Final Soriana'!C61</f>
        <v>0.1</v>
      </c>
      <c r="C48" s="176"/>
      <c r="D48" s="176"/>
      <c r="E48" s="173" t="s">
        <v>752</v>
      </c>
    </row>
    <row r="49" spans="1:5" ht="30" customHeight="1" x14ac:dyDescent="0.3">
      <c r="A49" s="173" t="s">
        <v>753</v>
      </c>
      <c r="B49" s="178">
        <f>(Datos!E10+Datos!F10)*2/Datos!F29</f>
        <v>9.8648482069668753E-2</v>
      </c>
      <c r="C49" s="176"/>
      <c r="D49" s="176"/>
      <c r="E49" s="173" t="s">
        <v>754</v>
      </c>
    </row>
    <row r="50" spans="1:5" ht="30" customHeight="1" x14ac:dyDescent="0.3">
      <c r="A50" s="173" t="s">
        <v>755</v>
      </c>
      <c r="B50" s="178">
        <f>B48-B49</f>
        <v>1.351517930331253E-3</v>
      </c>
      <c r="C50" s="176"/>
      <c r="D50" s="176"/>
      <c r="E50" s="173" t="s">
        <v>756</v>
      </c>
    </row>
    <row r="51" spans="1:5" ht="30" customHeight="1" x14ac:dyDescent="0.3">
      <c r="A51" s="173" t="s">
        <v>757</v>
      </c>
      <c r="B51" s="178">
        <f>WACC!B31</f>
        <v>0.13015496655093572</v>
      </c>
      <c r="C51" s="176"/>
      <c r="D51" s="176"/>
      <c r="E51" s="173" t="s">
        <v>758</v>
      </c>
    </row>
    <row r="52" spans="1:5" x14ac:dyDescent="0.3">
      <c r="A52" s="1"/>
    </row>
  </sheetData>
  <mergeCells count="4">
    <mergeCell ref="A21:C21"/>
    <mergeCell ref="A34:E34"/>
    <mergeCell ref="A47:E47"/>
    <mergeCell ref="A1:B1"/>
  </mergeCells>
  <dataValidations count="1">
    <dataValidation type="list" sqref="B18" xr:uid="{00000000-0002-0000-0B00-000000000000}">
      <formula1>"1,0"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79"/>
  <sheetViews>
    <sheetView zoomScale="125" zoomScaleNormal="100" workbookViewId="0">
      <selection activeCell="D70" sqref="D70"/>
    </sheetView>
  </sheetViews>
  <sheetFormatPr baseColWidth="10" defaultColWidth="8.6640625" defaultRowHeight="14.4" x14ac:dyDescent="0.3"/>
  <cols>
    <col min="1" max="1" width="98.6640625" style="140" bestFit="1" customWidth="1"/>
    <col min="2" max="2" width="11" style="140" customWidth="1"/>
    <col min="3" max="3" width="22" style="140" customWidth="1"/>
    <col min="4" max="4" width="73.44140625" style="140" bestFit="1" customWidth="1"/>
    <col min="5" max="5" width="22.44140625" style="140" bestFit="1" customWidth="1"/>
    <col min="6" max="6" width="19.109375" style="140" bestFit="1" customWidth="1"/>
    <col min="7" max="7" width="10.5546875" style="140" bestFit="1" customWidth="1"/>
    <col min="8" max="8" width="11.44140625" style="140" bestFit="1" customWidth="1"/>
    <col min="9" max="9" width="14.44140625" style="140" bestFit="1" customWidth="1"/>
    <col min="10" max="10" width="17.6640625" style="140" bestFit="1" customWidth="1"/>
    <col min="11" max="11" width="11.109375" style="140" bestFit="1" customWidth="1"/>
    <col min="12" max="12" width="48" style="140" hidden="1" customWidth="1"/>
    <col min="13" max="13" width="14" style="140" bestFit="1" customWidth="1"/>
    <col min="14" max="14" width="14.44140625" style="140" bestFit="1" customWidth="1"/>
    <col min="15" max="15" width="11.88671875" style="140" bestFit="1" customWidth="1"/>
    <col min="16" max="16" width="8.33203125" style="140" bestFit="1" customWidth="1"/>
    <col min="17" max="17" width="12.5546875" style="140" bestFit="1" customWidth="1"/>
    <col min="18" max="18" width="15.109375" style="140" bestFit="1" customWidth="1"/>
    <col min="19" max="19" width="8.88671875" style="140" bestFit="1" customWidth="1"/>
    <col min="20" max="16384" width="8.6640625" style="140"/>
  </cols>
  <sheetData>
    <row r="1" spans="1:19" ht="15.6" x14ac:dyDescent="0.3">
      <c r="A1" s="166" t="s">
        <v>759</v>
      </c>
    </row>
    <row r="2" spans="1:19" x14ac:dyDescent="0.3">
      <c r="A2" s="145"/>
    </row>
    <row r="3" spans="1:19" s="147" customFormat="1" x14ac:dyDescent="0.3">
      <c r="A3" s="144" t="s">
        <v>760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</row>
    <row r="4" spans="1:19" ht="15" customHeight="1" x14ac:dyDescent="0.3">
      <c r="A4" s="187" t="s">
        <v>761</v>
      </c>
      <c r="B4" s="187" t="s">
        <v>762</v>
      </c>
      <c r="C4" s="187" t="s">
        <v>763</v>
      </c>
      <c r="D4" s="187" t="s">
        <v>764</v>
      </c>
      <c r="E4" s="187" t="s">
        <v>765</v>
      </c>
      <c r="F4" s="187" t="s">
        <v>766</v>
      </c>
      <c r="G4" s="187" t="s">
        <v>767</v>
      </c>
      <c r="H4" s="187" t="s">
        <v>768</v>
      </c>
      <c r="I4" s="187" t="s">
        <v>769</v>
      </c>
      <c r="J4" s="187" t="s">
        <v>770</v>
      </c>
      <c r="K4" s="187" t="s">
        <v>771</v>
      </c>
      <c r="L4" s="187" t="s">
        <v>772</v>
      </c>
      <c r="M4" s="187" t="s">
        <v>773</v>
      </c>
      <c r="N4" s="187" t="s">
        <v>774</v>
      </c>
      <c r="O4" s="187" t="s">
        <v>775</v>
      </c>
      <c r="P4" s="187" t="s">
        <v>776</v>
      </c>
      <c r="Q4" s="187" t="s">
        <v>777</v>
      </c>
      <c r="R4" s="187" t="s">
        <v>778</v>
      </c>
      <c r="S4" s="187" t="s">
        <v>779</v>
      </c>
    </row>
    <row r="5" spans="1:19" ht="15" customHeight="1" x14ac:dyDescent="0.3">
      <c r="A5" s="188" t="s">
        <v>780</v>
      </c>
      <c r="B5" s="188" t="s">
        <v>781</v>
      </c>
      <c r="C5" s="188" t="s">
        <v>782</v>
      </c>
      <c r="D5" s="189" t="s">
        <v>783</v>
      </c>
      <c r="E5" s="190">
        <v>7428.7</v>
      </c>
      <c r="F5" s="190">
        <v>16018.2</v>
      </c>
      <c r="G5" s="191">
        <v>6.4000000000000001E-2</v>
      </c>
      <c r="H5" s="191">
        <v>-3.3500000000000002E-2</v>
      </c>
      <c r="I5" s="192">
        <v>2.5</v>
      </c>
      <c r="J5" s="193" t="s">
        <v>784</v>
      </c>
      <c r="K5" s="193">
        <v>1</v>
      </c>
      <c r="L5" s="189" t="s">
        <v>785</v>
      </c>
      <c r="M5" s="194">
        <v>0.5</v>
      </c>
      <c r="N5" s="194">
        <v>5.7</v>
      </c>
      <c r="O5" s="194">
        <v>8.8000000000000007</v>
      </c>
      <c r="P5" s="194">
        <v>13.1</v>
      </c>
      <c r="Q5" s="194">
        <v>2</v>
      </c>
      <c r="R5" s="194">
        <v>5.17</v>
      </c>
      <c r="S5" s="194">
        <v>11.18</v>
      </c>
    </row>
    <row r="6" spans="1:19" ht="15" customHeight="1" x14ac:dyDescent="0.3">
      <c r="A6" s="188" t="s">
        <v>786</v>
      </c>
      <c r="B6" s="188" t="s">
        <v>787</v>
      </c>
      <c r="C6" s="188" t="s">
        <v>788</v>
      </c>
      <c r="D6" s="189" t="s">
        <v>789</v>
      </c>
      <c r="E6" s="190">
        <v>2853.8</v>
      </c>
      <c r="F6" s="190">
        <v>8146.6</v>
      </c>
      <c r="G6" s="191">
        <v>5.8999999999999997E-2</v>
      </c>
      <c r="H6" s="191">
        <v>0.18709999999999999</v>
      </c>
      <c r="I6" s="192">
        <v>2.6</v>
      </c>
      <c r="J6" s="193" t="s">
        <v>790</v>
      </c>
      <c r="K6" s="193">
        <v>1</v>
      </c>
      <c r="L6" s="189" t="s">
        <v>791</v>
      </c>
      <c r="M6" s="194">
        <v>0.4</v>
      </c>
      <c r="N6" s="194">
        <v>5.3</v>
      </c>
      <c r="O6" s="194">
        <v>6.6</v>
      </c>
      <c r="P6" s="194">
        <v>4.7</v>
      </c>
      <c r="Q6" s="194">
        <v>0.8</v>
      </c>
      <c r="R6" s="194">
        <v>5.04</v>
      </c>
      <c r="S6" s="194">
        <v>6.32</v>
      </c>
    </row>
    <row r="7" spans="1:19" ht="15" customHeight="1" x14ac:dyDescent="0.3">
      <c r="A7" s="188" t="s">
        <v>792</v>
      </c>
      <c r="B7" s="188" t="s">
        <v>781</v>
      </c>
      <c r="C7" s="188" t="s">
        <v>793</v>
      </c>
      <c r="D7" s="189" t="s">
        <v>794</v>
      </c>
      <c r="E7" s="190">
        <v>9571.4</v>
      </c>
      <c r="F7" s="190">
        <v>12791.2</v>
      </c>
      <c r="G7" s="191">
        <v>0.14199999999999999</v>
      </c>
      <c r="H7" s="191">
        <v>3.04E-2</v>
      </c>
      <c r="I7" s="192">
        <v>1.6</v>
      </c>
      <c r="J7" s="193" t="s">
        <v>795</v>
      </c>
      <c r="K7" s="193">
        <v>0</v>
      </c>
      <c r="L7" s="189" t="s">
        <v>796</v>
      </c>
      <c r="M7" s="194">
        <v>0.8</v>
      </c>
      <c r="N7" s="194">
        <v>4.9000000000000004</v>
      </c>
      <c r="O7" s="194">
        <v>5.9</v>
      </c>
      <c r="P7" s="194">
        <v>8.1999999999999993</v>
      </c>
      <c r="Q7" s="194">
        <v>0.8</v>
      </c>
      <c r="R7" s="194">
        <v>4.6900000000000004</v>
      </c>
      <c r="S7" s="194">
        <v>6.29</v>
      </c>
    </row>
    <row r="8" spans="1:19" ht="15" customHeight="1" x14ac:dyDescent="0.3">
      <c r="A8" s="188" t="s">
        <v>797</v>
      </c>
      <c r="B8" s="188" t="s">
        <v>781</v>
      </c>
      <c r="C8" s="188" t="s">
        <v>788</v>
      </c>
      <c r="D8" s="189" t="s">
        <v>798</v>
      </c>
      <c r="E8" s="190">
        <v>52191.3</v>
      </c>
      <c r="F8" s="190">
        <v>56741.1</v>
      </c>
      <c r="G8" s="191">
        <v>9.6000000000000002E-2</v>
      </c>
      <c r="H8" s="191">
        <v>2.87E-2</v>
      </c>
      <c r="I8" s="192">
        <v>0.8</v>
      </c>
      <c r="J8" s="193" t="s">
        <v>790</v>
      </c>
      <c r="K8" s="193">
        <v>1</v>
      </c>
      <c r="L8" s="189" t="s">
        <v>799</v>
      </c>
      <c r="M8" s="194">
        <v>0.9</v>
      </c>
      <c r="N8" s="194">
        <v>9.1</v>
      </c>
      <c r="O8" s="194">
        <v>12</v>
      </c>
      <c r="P8" s="194">
        <v>17.8</v>
      </c>
      <c r="Q8" s="194">
        <v>4.3</v>
      </c>
      <c r="R8" s="194">
        <v>8.52</v>
      </c>
      <c r="S8" s="194">
        <v>16.13</v>
      </c>
    </row>
    <row r="9" spans="1:19" ht="15" customHeight="1" x14ac:dyDescent="0.3">
      <c r="A9" s="188" t="s">
        <v>800</v>
      </c>
      <c r="B9" s="188" t="s">
        <v>781</v>
      </c>
      <c r="C9" s="188" t="s">
        <v>782</v>
      </c>
      <c r="D9" s="189" t="s">
        <v>801</v>
      </c>
      <c r="E9" s="190">
        <v>2140.3000000000002</v>
      </c>
      <c r="F9" s="190">
        <v>2735.8</v>
      </c>
      <c r="G9" s="191">
        <v>0.1</v>
      </c>
      <c r="H9" s="191">
        <v>8.5999999999999993E-2</v>
      </c>
      <c r="I9" s="192">
        <v>0.5</v>
      </c>
      <c r="J9" s="193" t="s">
        <v>790</v>
      </c>
      <c r="K9" s="193">
        <v>1</v>
      </c>
      <c r="L9" s="189" t="s">
        <v>802</v>
      </c>
      <c r="M9" s="194">
        <v>0.8</v>
      </c>
      <c r="N9" s="194">
        <v>7.4</v>
      </c>
      <c r="O9" s="194">
        <v>10.7</v>
      </c>
      <c r="P9" s="194">
        <v>14.6</v>
      </c>
      <c r="Q9" s="194">
        <v>1.4</v>
      </c>
      <c r="R9" s="194">
        <v>7.07</v>
      </c>
      <c r="S9" s="194">
        <v>13.9</v>
      </c>
    </row>
    <row r="10" spans="1:19" ht="15" customHeight="1" x14ac:dyDescent="0.3">
      <c r="A10" s="188" t="s">
        <v>803</v>
      </c>
      <c r="B10" s="188" t="s">
        <v>787</v>
      </c>
      <c r="C10" s="188" t="s">
        <v>788</v>
      </c>
      <c r="D10" s="189" t="s">
        <v>804</v>
      </c>
      <c r="E10" s="190">
        <v>6909.1</v>
      </c>
      <c r="F10" s="190">
        <v>15576.1</v>
      </c>
      <c r="G10" s="191">
        <v>7.8E-2</v>
      </c>
      <c r="H10" s="191">
        <v>1.6899999999999998E-2</v>
      </c>
      <c r="I10" s="192">
        <v>4</v>
      </c>
      <c r="J10" s="193" t="s">
        <v>790</v>
      </c>
      <c r="K10" s="193">
        <v>1</v>
      </c>
      <c r="L10" s="189" t="s">
        <v>805</v>
      </c>
      <c r="M10" s="194">
        <v>0.4</v>
      </c>
      <c r="N10" s="194">
        <v>5.5</v>
      </c>
      <c r="O10" s="194">
        <v>7.6</v>
      </c>
      <c r="P10" s="194">
        <v>16.8</v>
      </c>
      <c r="Q10" s="194">
        <v>17.100000000000001</v>
      </c>
      <c r="R10" s="194">
        <v>4.7699999999999996</v>
      </c>
      <c r="S10" s="194">
        <v>11.68</v>
      </c>
    </row>
    <row r="11" spans="1:19" ht="15" customHeight="1" x14ac:dyDescent="0.3">
      <c r="A11" s="188" t="s">
        <v>806</v>
      </c>
      <c r="B11" s="188" t="s">
        <v>807</v>
      </c>
      <c r="C11" s="188" t="s">
        <v>788</v>
      </c>
      <c r="D11" s="189" t="s">
        <v>808</v>
      </c>
      <c r="E11" s="190">
        <v>11831.7</v>
      </c>
      <c r="F11" s="190">
        <v>17028</v>
      </c>
      <c r="G11" s="191">
        <v>5.6000000000000001E-2</v>
      </c>
      <c r="H11" s="191">
        <v>-1.6E-2</v>
      </c>
      <c r="I11" s="192">
        <v>5.0999999999999996</v>
      </c>
      <c r="J11" s="193" t="s">
        <v>790</v>
      </c>
      <c r="K11" s="193">
        <v>1</v>
      </c>
      <c r="L11" s="189" t="s">
        <v>809</v>
      </c>
      <c r="M11" s="194">
        <v>0.7</v>
      </c>
      <c r="N11" s="194">
        <v>9.3000000000000007</v>
      </c>
      <c r="O11" s="194">
        <v>14</v>
      </c>
      <c r="P11" s="194">
        <v>21</v>
      </c>
      <c r="Q11" s="194">
        <v>2.7</v>
      </c>
      <c r="R11" s="194">
        <v>6.88</v>
      </c>
      <c r="S11" s="194">
        <v>15.27</v>
      </c>
    </row>
    <row r="12" spans="1:19" ht="15" customHeight="1" x14ac:dyDescent="0.3">
      <c r="A12" s="188" t="s">
        <v>810</v>
      </c>
      <c r="B12" s="188" t="s">
        <v>811</v>
      </c>
      <c r="C12" s="188" t="s">
        <v>788</v>
      </c>
      <c r="D12" s="189" t="s">
        <v>812</v>
      </c>
      <c r="E12" s="190">
        <v>6092.8</v>
      </c>
      <c r="F12" s="190">
        <v>6992.8</v>
      </c>
      <c r="G12" s="191">
        <v>0.11</v>
      </c>
      <c r="H12" s="191">
        <v>7.85E-2</v>
      </c>
      <c r="I12" s="192">
        <v>3.2</v>
      </c>
      <c r="J12" s="193" t="s">
        <v>790</v>
      </c>
      <c r="K12" s="193">
        <v>1</v>
      </c>
      <c r="L12" s="189" t="s">
        <v>813</v>
      </c>
      <c r="M12" s="194">
        <v>0.9</v>
      </c>
      <c r="N12" s="194">
        <v>7</v>
      </c>
      <c r="O12" s="194">
        <v>10</v>
      </c>
      <c r="P12" s="194">
        <v>13.6</v>
      </c>
      <c r="Q12" s="194">
        <v>4.2</v>
      </c>
      <c r="R12" s="194">
        <v>6.49</v>
      </c>
      <c r="S12" s="194">
        <v>13.1</v>
      </c>
    </row>
    <row r="13" spans="1:19" ht="15" customHeight="1" x14ac:dyDescent="0.3">
      <c r="A13" s="188" t="s">
        <v>814</v>
      </c>
      <c r="B13" s="188" t="s">
        <v>781</v>
      </c>
      <c r="C13" s="188" t="s">
        <v>815</v>
      </c>
      <c r="D13" s="189" t="s">
        <v>816</v>
      </c>
      <c r="E13" s="190">
        <v>49954.9</v>
      </c>
      <c r="F13" s="190">
        <v>48576.5</v>
      </c>
      <c r="G13" s="191">
        <v>0.11799999999999999</v>
      </c>
      <c r="H13" s="191">
        <v>7.4499999999999997E-2</v>
      </c>
      <c r="I13" s="192">
        <v>2.1</v>
      </c>
      <c r="J13" s="193" t="s">
        <v>795</v>
      </c>
      <c r="K13" s="193">
        <v>0</v>
      </c>
      <c r="L13" s="189" t="s">
        <v>817</v>
      </c>
      <c r="M13" s="194">
        <v>1.1000000000000001</v>
      </c>
      <c r="N13" s="194">
        <v>7.5</v>
      </c>
      <c r="O13" s="194">
        <v>11.1</v>
      </c>
      <c r="P13" s="194">
        <v>25.9</v>
      </c>
      <c r="Q13" s="194">
        <v>11.6</v>
      </c>
      <c r="R13" s="194">
        <v>6.58</v>
      </c>
      <c r="S13" s="194">
        <v>20.88</v>
      </c>
    </row>
    <row r="14" spans="1:19" ht="15" customHeight="1" x14ac:dyDescent="0.3">
      <c r="A14" s="188" t="s">
        <v>818</v>
      </c>
      <c r="B14" s="188" t="s">
        <v>807</v>
      </c>
      <c r="C14" s="188" t="s">
        <v>793</v>
      </c>
      <c r="D14" s="189" t="s">
        <v>819</v>
      </c>
      <c r="E14" s="190">
        <v>20976.5</v>
      </c>
      <c r="F14" s="190">
        <v>14289.2</v>
      </c>
      <c r="G14" s="191">
        <v>0.127</v>
      </c>
      <c r="H14" s="191">
        <v>8.9399999999999993E-2</v>
      </c>
      <c r="I14" s="192">
        <v>3</v>
      </c>
      <c r="J14" s="193" t="s">
        <v>795</v>
      </c>
      <c r="K14" s="193">
        <v>0</v>
      </c>
      <c r="L14" s="189" t="s">
        <v>820</v>
      </c>
      <c r="M14" s="194">
        <v>1.5</v>
      </c>
      <c r="N14" s="194">
        <v>10.4</v>
      </c>
      <c r="O14" s="194">
        <v>12.8</v>
      </c>
      <c r="P14" s="194">
        <v>10.4</v>
      </c>
      <c r="Q14" s="194">
        <v>2</v>
      </c>
      <c r="R14" s="194">
        <v>9.77</v>
      </c>
      <c r="S14" s="194">
        <v>18.329999999999998</v>
      </c>
    </row>
    <row r="15" spans="1:19" x14ac:dyDescent="0.3">
      <c r="A15" s="193" t="s">
        <v>821</v>
      </c>
      <c r="B15" s="188"/>
      <c r="C15" s="188"/>
      <c r="D15" s="188"/>
      <c r="E15" s="190">
        <v>4103.2</v>
      </c>
      <c r="F15" s="190">
        <v>9502.5</v>
      </c>
      <c r="G15" s="191">
        <v>6.4000000000000001E-2</v>
      </c>
      <c r="H15" s="191">
        <v>-2.93E-2</v>
      </c>
      <c r="I15" s="192">
        <v>2</v>
      </c>
      <c r="J15" s="188"/>
      <c r="K15" s="188"/>
      <c r="L15" s="188"/>
      <c r="M15" s="194">
        <v>0.4</v>
      </c>
      <c r="N15" s="194">
        <v>6.3</v>
      </c>
      <c r="O15" s="194">
        <v>9.9</v>
      </c>
      <c r="P15" s="194">
        <v>15.7</v>
      </c>
      <c r="Q15" s="194">
        <v>0.8</v>
      </c>
      <c r="R15" s="194">
        <v>6.53</v>
      </c>
      <c r="S15" s="194">
        <v>15.08</v>
      </c>
    </row>
    <row r="16" spans="1:19" x14ac:dyDescent="0.3">
      <c r="A16" s="145"/>
    </row>
    <row r="17" spans="1:19" s="147" customFormat="1" x14ac:dyDescent="0.3">
      <c r="A17" s="267" t="s">
        <v>822</v>
      </c>
      <c r="B17" s="267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</row>
    <row r="18" spans="1:19" x14ac:dyDescent="0.3">
      <c r="A18" s="196" t="s">
        <v>823</v>
      </c>
      <c r="B18" s="197">
        <f>SUM(Datos!C6:F6)</f>
        <v>174278</v>
      </c>
      <c r="C18" s="145"/>
    </row>
    <row r="19" spans="1:19" x14ac:dyDescent="0.3">
      <c r="A19" s="196" t="s">
        <v>824</v>
      </c>
      <c r="B19" s="197">
        <f>SUM(Datos!C9:F9)</f>
        <v>7631</v>
      </c>
      <c r="C19" s="145"/>
    </row>
    <row r="20" spans="1:19" x14ac:dyDescent="0.3">
      <c r="A20" s="196" t="s">
        <v>825</v>
      </c>
      <c r="B20" s="197">
        <f>SUM(Datos!C14:F14)</f>
        <v>4179.8710000000001</v>
      </c>
      <c r="C20" s="145"/>
    </row>
    <row r="21" spans="1:19" x14ac:dyDescent="0.3">
      <c r="A21" s="198" t="s">
        <v>826</v>
      </c>
      <c r="B21" s="197">
        <f>B19+B20</f>
        <v>11810.870999999999</v>
      </c>
      <c r="C21" s="145"/>
    </row>
    <row r="22" spans="1:19" x14ac:dyDescent="0.3">
      <c r="A22" s="196" t="s">
        <v>827</v>
      </c>
      <c r="B22" s="197">
        <f>SUM(Datos!C13:F13)</f>
        <v>3816</v>
      </c>
      <c r="C22" s="145"/>
    </row>
    <row r="23" spans="1:19" x14ac:dyDescent="0.3">
      <c r="A23" s="196" t="s">
        <v>57</v>
      </c>
      <c r="B23" s="197">
        <f>WACC!B17</f>
        <v>1800</v>
      </c>
      <c r="C23" s="145"/>
    </row>
    <row r="24" spans="1:19" x14ac:dyDescent="0.3">
      <c r="A24" s="196" t="s">
        <v>828</v>
      </c>
      <c r="B24" s="199">
        <f>B22/B23</f>
        <v>2.12</v>
      </c>
      <c r="C24" s="145"/>
    </row>
    <row r="25" spans="1:19" x14ac:dyDescent="0.3">
      <c r="A25" s="196" t="s">
        <v>625</v>
      </c>
      <c r="B25" s="197">
        <f>Datos!F17</f>
        <v>6875.384</v>
      </c>
      <c r="C25" s="145"/>
    </row>
    <row r="26" spans="1:19" x14ac:dyDescent="0.3">
      <c r="A26" s="196" t="s">
        <v>623</v>
      </c>
      <c r="B26" s="197">
        <f>-(Datos!F25+Datos!F26)</f>
        <v>-11500</v>
      </c>
      <c r="C26" s="145"/>
    </row>
    <row r="27" spans="1:19" x14ac:dyDescent="0.3">
      <c r="A27" s="196" t="s">
        <v>624</v>
      </c>
      <c r="B27" s="197">
        <f>-(Datos!F27+Datos!F28)</f>
        <v>-12220.588000000002</v>
      </c>
      <c r="C27" s="145"/>
    </row>
    <row r="28" spans="1:19" x14ac:dyDescent="0.3">
      <c r="A28" s="196" t="s">
        <v>829</v>
      </c>
      <c r="B28" s="197">
        <v>0</v>
      </c>
      <c r="C28" s="145"/>
    </row>
    <row r="29" spans="1:19" x14ac:dyDescent="0.3">
      <c r="A29" s="196" t="s">
        <v>830</v>
      </c>
      <c r="B29" s="197">
        <v>0</v>
      </c>
      <c r="C29" s="145"/>
    </row>
    <row r="30" spans="1:19" x14ac:dyDescent="0.3">
      <c r="A30" s="198" t="s">
        <v>831</v>
      </c>
      <c r="B30" s="197">
        <f>SUM(B25:B29)</f>
        <v>-16845.204000000002</v>
      </c>
      <c r="C30" s="145"/>
    </row>
    <row r="32" spans="1:19" s="147" customFormat="1" ht="14.1" customHeight="1" x14ac:dyDescent="0.3">
      <c r="A32" s="268" t="s">
        <v>832</v>
      </c>
      <c r="B32" s="268"/>
      <c r="C32" s="268"/>
      <c r="D32" s="268"/>
      <c r="E32" s="268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</row>
    <row r="33" spans="1:19" ht="14.1" customHeight="1" x14ac:dyDescent="0.3">
      <c r="A33" s="200" t="s">
        <v>833</v>
      </c>
      <c r="B33" s="200" t="s">
        <v>834</v>
      </c>
      <c r="C33" s="200" t="s">
        <v>835</v>
      </c>
      <c r="D33" s="200" t="s">
        <v>836</v>
      </c>
      <c r="E33" s="200" t="s">
        <v>837</v>
      </c>
      <c r="F33" s="148"/>
    </row>
    <row r="34" spans="1:19" ht="14.1" customHeight="1" x14ac:dyDescent="0.3">
      <c r="A34" s="198" t="s">
        <v>774</v>
      </c>
      <c r="B34" s="196" t="s">
        <v>838</v>
      </c>
      <c r="C34" s="201">
        <f>$B$21</f>
        <v>11810.870999999999</v>
      </c>
      <c r="D34" s="198">
        <v>1</v>
      </c>
      <c r="E34" s="198" t="s">
        <v>839</v>
      </c>
      <c r="F34" s="141"/>
      <c r="G34" s="141"/>
      <c r="H34" s="141"/>
      <c r="I34" s="141"/>
      <c r="J34" s="141"/>
      <c r="K34" s="141"/>
      <c r="L34" s="141"/>
    </row>
    <row r="35" spans="1:19" ht="14.1" customHeight="1" x14ac:dyDescent="0.3">
      <c r="A35" s="198" t="s">
        <v>775</v>
      </c>
      <c r="B35" s="196" t="s">
        <v>838</v>
      </c>
      <c r="C35" s="201">
        <f>$B$19</f>
        <v>7631</v>
      </c>
      <c r="D35" s="198">
        <v>1</v>
      </c>
      <c r="E35" s="198" t="s">
        <v>839</v>
      </c>
      <c r="F35" s="141"/>
      <c r="G35" s="141"/>
      <c r="H35" s="141"/>
      <c r="I35" s="141"/>
      <c r="J35" s="141"/>
      <c r="K35" s="141"/>
      <c r="L35" s="141"/>
    </row>
    <row r="36" spans="1:19" ht="14.1" customHeight="1" x14ac:dyDescent="0.3">
      <c r="A36" s="198" t="s">
        <v>776</v>
      </c>
      <c r="B36" s="196" t="s">
        <v>840</v>
      </c>
      <c r="C36" s="201">
        <f>$B$24</f>
        <v>2.12</v>
      </c>
      <c r="D36" s="198">
        <v>1</v>
      </c>
      <c r="E36" s="198" t="s">
        <v>839</v>
      </c>
      <c r="F36" s="141"/>
      <c r="G36" s="141"/>
      <c r="H36" s="141"/>
      <c r="I36" s="141"/>
      <c r="J36" s="141"/>
      <c r="K36" s="141"/>
      <c r="L36" s="141"/>
    </row>
    <row r="37" spans="1:19" ht="14.1" customHeight="1" x14ac:dyDescent="0.3">
      <c r="A37" s="198" t="s">
        <v>773</v>
      </c>
      <c r="B37" s="196" t="s">
        <v>838</v>
      </c>
      <c r="C37" s="201">
        <f>$B$18</f>
        <v>174278</v>
      </c>
      <c r="D37" s="198">
        <v>0</v>
      </c>
      <c r="E37" s="198" t="s">
        <v>841</v>
      </c>
      <c r="F37" s="141"/>
      <c r="G37" s="141"/>
      <c r="H37" s="141"/>
      <c r="I37" s="141"/>
      <c r="J37" s="141"/>
      <c r="K37" s="141"/>
      <c r="L37" s="141"/>
    </row>
    <row r="38" spans="1:19" ht="14.1" customHeight="1" x14ac:dyDescent="0.3">
      <c r="A38" s="198" t="s">
        <v>777</v>
      </c>
      <c r="B38" s="196" t="s">
        <v>840</v>
      </c>
      <c r="C38" s="201" t="s">
        <v>842</v>
      </c>
      <c r="D38" s="198">
        <v>0</v>
      </c>
      <c r="E38" s="198" t="s">
        <v>842</v>
      </c>
      <c r="F38" s="141"/>
      <c r="G38" s="141"/>
      <c r="H38" s="141"/>
      <c r="I38" s="141"/>
      <c r="J38" s="141"/>
      <c r="K38" s="141"/>
      <c r="L38" s="141"/>
    </row>
    <row r="39" spans="1:19" ht="14.1" customHeight="1" x14ac:dyDescent="0.3">
      <c r="A39" s="198" t="s">
        <v>778</v>
      </c>
      <c r="B39" s="196" t="s">
        <v>838</v>
      </c>
      <c r="C39" s="201" t="s">
        <v>842</v>
      </c>
      <c r="D39" s="198">
        <v>0</v>
      </c>
      <c r="E39" s="198" t="s">
        <v>842</v>
      </c>
      <c r="F39" s="141"/>
      <c r="G39" s="141"/>
      <c r="H39" s="141"/>
      <c r="I39" s="141"/>
      <c r="J39" s="141"/>
      <c r="K39" s="141"/>
      <c r="L39" s="141"/>
    </row>
    <row r="40" spans="1:19" ht="14.1" customHeight="1" x14ac:dyDescent="0.3">
      <c r="A40" s="198" t="s">
        <v>779</v>
      </c>
      <c r="B40" s="196" t="s">
        <v>840</v>
      </c>
      <c r="C40" s="201" t="s">
        <v>842</v>
      </c>
      <c r="D40" s="198">
        <v>0</v>
      </c>
      <c r="E40" s="198" t="s">
        <v>842</v>
      </c>
      <c r="F40" s="141"/>
      <c r="G40" s="141"/>
      <c r="H40" s="141"/>
      <c r="I40" s="141"/>
      <c r="J40" s="141"/>
      <c r="K40" s="141"/>
      <c r="L40" s="141"/>
    </row>
    <row r="43" spans="1:19" s="147" customFormat="1" x14ac:dyDescent="0.3">
      <c r="A43" s="269" t="s">
        <v>843</v>
      </c>
      <c r="B43" s="269"/>
      <c r="C43" s="269"/>
      <c r="D43" s="269"/>
      <c r="E43" s="269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</row>
    <row r="44" spans="1:19" x14ac:dyDescent="0.3">
      <c r="A44" s="187" t="s">
        <v>844</v>
      </c>
      <c r="B44" s="202" t="s">
        <v>845</v>
      </c>
      <c r="C44" s="202" t="s">
        <v>846</v>
      </c>
      <c r="D44" s="202" t="s">
        <v>847</v>
      </c>
      <c r="E44" s="202" t="s">
        <v>134</v>
      </c>
    </row>
    <row r="45" spans="1:19" x14ac:dyDescent="0.3">
      <c r="A45" s="188" t="str">
        <f t="shared" ref="A45:A54" si="0">A5</f>
        <v>Grupo Comercial Chedraui, S.A.B. de C.V. (BMV:CHDRAUI B)</v>
      </c>
      <c r="B45" s="203">
        <f>IF(AND($K$5=1,ISNUMBER(M5)),M5,"")</f>
        <v>0.5</v>
      </c>
      <c r="C45" s="203">
        <f>IF(AND($K$5=1,ISNUMBER(N5)),N5,"")</f>
        <v>5.7</v>
      </c>
      <c r="D45" s="203">
        <f>IF(AND($K$5=1,ISNUMBER(O5)),O5,"")</f>
        <v>8.8000000000000007</v>
      </c>
      <c r="E45" s="203">
        <f>IF(AND($K$5=1,ISNUMBER(P5)),P5,"")</f>
        <v>13.1</v>
      </c>
    </row>
    <row r="46" spans="1:19" x14ac:dyDescent="0.3">
      <c r="A46" s="188" t="str">
        <f t="shared" si="0"/>
        <v>Grupo Mateus S.A. (BOVESPA:GMAT3)</v>
      </c>
      <c r="B46" s="203">
        <f>IF(AND($K$6=1,ISNUMBER(M6)),M6,"")</f>
        <v>0.4</v>
      </c>
      <c r="C46" s="203">
        <f>IF(AND($K$6=1,ISNUMBER(N6)),N6,"")</f>
        <v>5.3</v>
      </c>
      <c r="D46" s="203">
        <f>IF(AND($K$6=1,ISNUMBER(O6)),O6,"")</f>
        <v>6.6</v>
      </c>
      <c r="E46" s="203">
        <f>IF(AND($K$6=1,ISNUMBER(P6)),P6,"")</f>
        <v>4.7</v>
      </c>
    </row>
    <row r="47" spans="1:19" x14ac:dyDescent="0.3">
      <c r="A47" s="188" t="str">
        <f t="shared" si="0"/>
        <v>El Puerto de Liverpool, S.A.B. de C.V. (BMV:LIVEPOL C-1)</v>
      </c>
      <c r="B47" s="203" t="str">
        <f>IF(AND($K$7=1,ISNUMBER(M7)),M7,"")</f>
        <v/>
      </c>
      <c r="C47" s="203" t="str">
        <f>IF(AND($K$7=1,ISNUMBER(N7)),N7,"")</f>
        <v/>
      </c>
      <c r="D47" s="203" t="str">
        <f>IF(AND($K$7=1,ISNUMBER(O7)),O7,"")</f>
        <v/>
      </c>
      <c r="E47" s="203" t="str">
        <f>IF(AND($K$7=1,ISNUMBER(P7)),P7,"")</f>
        <v/>
      </c>
    </row>
    <row r="48" spans="1:19" x14ac:dyDescent="0.3">
      <c r="A48" s="188" t="str">
        <f t="shared" si="0"/>
        <v>Wal-Mart de México, S.A.B. de C.V. (BMV:WALMEX *)</v>
      </c>
      <c r="B48" s="203">
        <f>IF(AND($K$8=1,ISNUMBER(M8)),M8,"")</f>
        <v>0.9</v>
      </c>
      <c r="C48" s="203">
        <f>IF(AND($K$8=1,ISNUMBER(N8)),N8,"")</f>
        <v>9.1</v>
      </c>
      <c r="D48" s="203">
        <f>IF(AND($K$8=1,ISNUMBER(O8)),O8,"")</f>
        <v>12</v>
      </c>
      <c r="E48" s="203">
        <f>IF(AND($K$8=1,ISNUMBER(P8)),P8,"")</f>
        <v>17.8</v>
      </c>
    </row>
    <row r="49" spans="1:10" x14ac:dyDescent="0.3">
      <c r="A49" s="188" t="str">
        <f t="shared" si="0"/>
        <v>La Comer, S.A.B. de C.V. (BMV:LACOMER UBC)</v>
      </c>
      <c r="B49" s="203">
        <f>IF(AND($K$9=1,ISNUMBER(M9)),M9,"")</f>
        <v>0.8</v>
      </c>
      <c r="C49" s="203">
        <f>IF(AND($K$9=1,ISNUMBER(N9)),N9,"")</f>
        <v>7.4</v>
      </c>
      <c r="D49" s="203">
        <f>IF(AND($K$9=1,ISNUMBER(O9)),O9,"")</f>
        <v>10.7</v>
      </c>
      <c r="E49" s="203">
        <f>IF(AND($K$9=1,ISNUMBER(P9)),P9,"")</f>
        <v>14.6</v>
      </c>
    </row>
    <row r="50" spans="1:10" x14ac:dyDescent="0.3">
      <c r="A50" s="188" t="str">
        <f t="shared" si="0"/>
        <v>Sendas Distribuidora S.A. (BOVESPA:ASAI3)</v>
      </c>
      <c r="B50" s="203">
        <f>IF(AND($K$10=1,ISNUMBER(M10)),M10,"")</f>
        <v>0.4</v>
      </c>
      <c r="C50" s="203">
        <f>IF(AND($K$10=1,ISNUMBER(N10)),N10,"")</f>
        <v>5.5</v>
      </c>
      <c r="D50" s="203">
        <f>IF(AND($K$10=1,ISNUMBER(O10)),O10,"")</f>
        <v>7.6</v>
      </c>
      <c r="E50" s="203">
        <f>IF(AND($K$10=1,ISNUMBER(P10)),P10,"")</f>
        <v>16.8</v>
      </c>
    </row>
    <row r="51" spans="1:10" x14ac:dyDescent="0.3">
      <c r="A51" s="188" t="str">
        <f t="shared" si="0"/>
        <v>Cencosud S.A. (SNSE:CENCOSUD)</v>
      </c>
      <c r="B51" s="203">
        <f>IF(AND($K$11=1,ISNUMBER(M11)),M11,"")</f>
        <v>0.7</v>
      </c>
      <c r="C51" s="203">
        <f>IF(AND($K$11=1,ISNUMBER(N11)),N11,"")</f>
        <v>9.3000000000000007</v>
      </c>
      <c r="D51" s="203">
        <f>IF(AND($K$11=1,ISNUMBER(O11)),O11,"")</f>
        <v>14</v>
      </c>
      <c r="E51" s="203">
        <f>IF(AND($K$11=1,ISNUMBER(P11)),P11,"")</f>
        <v>21</v>
      </c>
    </row>
    <row r="52" spans="1:10" x14ac:dyDescent="0.3">
      <c r="A52" s="188" t="str">
        <f t="shared" si="0"/>
        <v>InRetail Perú Corp. (BVL:INRETC1)</v>
      </c>
      <c r="B52" s="203">
        <f>IF(AND($K$12=1,ISNUMBER(M12)),M12,"")</f>
        <v>0.9</v>
      </c>
      <c r="C52" s="203">
        <f>IF(AND($K$12=1,ISNUMBER(N12)),N12,"")</f>
        <v>7</v>
      </c>
      <c r="D52" s="203">
        <f>IF(AND($K$12=1,ISNUMBER(O12)),O12,"")</f>
        <v>10</v>
      </c>
      <c r="E52" s="203">
        <f>IF(AND($K$12=1,ISNUMBER(P12)),P12,"")</f>
        <v>13.6</v>
      </c>
    </row>
    <row r="53" spans="1:10" x14ac:dyDescent="0.3">
      <c r="A53" s="188" t="str">
        <f t="shared" si="0"/>
        <v>Fomento Económico Mexicano, S.A.B. de C.V. (BMV:FEMSA UBD)</v>
      </c>
      <c r="B53" s="203" t="str">
        <f>IF(AND($K$13=1,ISNUMBER(M13)),M13,"")</f>
        <v/>
      </c>
      <c r="C53" s="203" t="str">
        <f>IF(AND($K$13=1,ISNUMBER(N13)),N13,"")</f>
        <v/>
      </c>
      <c r="D53" s="203" t="str">
        <f>IF(AND($K$13=1,ISNUMBER(O13)),O13,"")</f>
        <v/>
      </c>
      <c r="E53" s="203" t="str">
        <f>IF(AND($K$13=1,ISNUMBER(P13)),P13,"")</f>
        <v/>
      </c>
    </row>
    <row r="54" spans="1:10" x14ac:dyDescent="0.3">
      <c r="A54" s="188" t="str">
        <f t="shared" si="0"/>
        <v>Falabella S.A. (SNSE:FALABELLA)</v>
      </c>
      <c r="B54" s="194" t="str">
        <f>IF(AND($K$14=1,ISNUMBER(M14)),M14,"")</f>
        <v/>
      </c>
      <c r="C54" s="194" t="str">
        <f>IF(AND($K$14=1,ISNUMBER(N14)),N14,"")</f>
        <v/>
      </c>
      <c r="D54" s="194" t="str">
        <f>IF(AND($K$14=1,ISNUMBER(O14)),O14,"")</f>
        <v/>
      </c>
      <c r="E54" s="194" t="str">
        <f>IF(AND($K$14=1,ISNUMBER(P14)),P14,"")</f>
        <v/>
      </c>
    </row>
    <row r="55" spans="1:10" x14ac:dyDescent="0.3">
      <c r="A55" s="149"/>
      <c r="B55" s="150"/>
      <c r="C55" s="150"/>
      <c r="D55" s="150"/>
      <c r="E55" s="150"/>
    </row>
    <row r="56" spans="1:10" x14ac:dyDescent="0.3">
      <c r="A56" s="263" t="s">
        <v>848</v>
      </c>
      <c r="B56" s="263"/>
      <c r="C56" s="263"/>
      <c r="D56" s="263"/>
      <c r="E56" s="263"/>
      <c r="F56" s="263"/>
      <c r="G56" s="263"/>
      <c r="H56" s="263"/>
      <c r="I56" s="263"/>
      <c r="J56" s="263"/>
    </row>
    <row r="57" spans="1:10" ht="28.8" x14ac:dyDescent="0.3">
      <c r="A57" s="200" t="s">
        <v>849</v>
      </c>
      <c r="B57" s="200" t="s">
        <v>845</v>
      </c>
      <c r="C57" s="200" t="s">
        <v>846</v>
      </c>
      <c r="D57" s="200" t="s">
        <v>847</v>
      </c>
      <c r="E57" s="200" t="s">
        <v>134</v>
      </c>
      <c r="F57" s="200"/>
      <c r="G57" s="200" t="s">
        <v>850</v>
      </c>
      <c r="H57" s="200" t="s">
        <v>851</v>
      </c>
      <c r="I57" s="200" t="s">
        <v>852</v>
      </c>
      <c r="J57" s="200" t="s">
        <v>853</v>
      </c>
    </row>
    <row r="58" spans="1:10" x14ac:dyDescent="0.3">
      <c r="A58" s="196" t="s">
        <v>854</v>
      </c>
      <c r="B58" s="204">
        <f>MIN(B45:B54)</f>
        <v>0.4</v>
      </c>
      <c r="C58" s="204">
        <f>MIN(C45:C54)</f>
        <v>5.3</v>
      </c>
      <c r="D58" s="204">
        <f>MIN(D45:D54)</f>
        <v>6.6</v>
      </c>
      <c r="E58" s="204">
        <f>MIN(E45:E54)</f>
        <v>4.7</v>
      </c>
      <c r="F58" s="196"/>
      <c r="G58" s="205">
        <f t="shared" ref="G58:G63" si="1">IF(B58*$B$18+$B$30&gt;0,(B58*$B$18+$B$30)/$B$23,"NM")</f>
        <v>29.369997777777776</v>
      </c>
      <c r="H58" s="205">
        <f t="shared" ref="H58:H63" si="2">IF(C58*$B$21+$B$30&gt;0,(C58*$B$21+$B$30)/$B$23,"NM")</f>
        <v>25.41800683333333</v>
      </c>
      <c r="I58" s="205">
        <f t="shared" ref="I58:I63" si="3">IF(D58*$B$19+$B$30&gt;0,(D58*$B$19+$B$30)/$B$23,"NM")</f>
        <v>18.621886666666661</v>
      </c>
      <c r="J58" s="205">
        <f t="shared" ref="J58:J63" si="4">IF(E58*$B$24&gt;0,E58*$B$24,"NM")</f>
        <v>9.9640000000000004</v>
      </c>
    </row>
    <row r="59" spans="1:10" x14ac:dyDescent="0.3">
      <c r="A59" s="196" t="s">
        <v>855</v>
      </c>
      <c r="B59" s="204">
        <f>PERCENTILE(B45:B54,0.25)</f>
        <v>0.45</v>
      </c>
      <c r="C59" s="204">
        <f>PERCENTILE(C45:C54,0.25)</f>
        <v>5.6</v>
      </c>
      <c r="D59" s="204">
        <f>PERCENTILE(D45:D54,0.25)</f>
        <v>8.1999999999999993</v>
      </c>
      <c r="E59" s="204">
        <f>PERCENTILE(E45:E54,0.25)</f>
        <v>13.35</v>
      </c>
      <c r="F59" s="196"/>
      <c r="G59" s="205">
        <f t="shared" si="1"/>
        <v>34.211053333333339</v>
      </c>
      <c r="H59" s="205">
        <f t="shared" si="2"/>
        <v>27.386485333333329</v>
      </c>
      <c r="I59" s="205">
        <f t="shared" si="3"/>
        <v>25.404997777777776</v>
      </c>
      <c r="J59" s="205">
        <f t="shared" si="4"/>
        <v>28.302</v>
      </c>
    </row>
    <row r="60" spans="1:10" x14ac:dyDescent="0.3">
      <c r="A60" s="198" t="s">
        <v>534</v>
      </c>
      <c r="B60" s="204">
        <f>AVERAGE(B45:B54)</f>
        <v>0.65714285714285725</v>
      </c>
      <c r="C60" s="204">
        <f>AVERAGE(C45:C54)</f>
        <v>7.0428571428571427</v>
      </c>
      <c r="D60" s="204">
        <f>AVERAGE(D45:D54)</f>
        <v>9.9571428571428555</v>
      </c>
      <c r="E60" s="204">
        <f>AVERAGE(E45:E54)</f>
        <v>14.514285714285714</v>
      </c>
      <c r="F60" s="196"/>
      <c r="G60" s="205">
        <f t="shared" si="1"/>
        <v>54.266854920634934</v>
      </c>
      <c r="H60" s="205">
        <f t="shared" si="2"/>
        <v>36.853929547619046</v>
      </c>
      <c r="I60" s="205">
        <f t="shared" si="3"/>
        <v>32.854307301587298</v>
      </c>
      <c r="J60" s="205">
        <f t="shared" si="4"/>
        <v>30.770285714285716</v>
      </c>
    </row>
    <row r="61" spans="1:10" x14ac:dyDescent="0.3">
      <c r="A61" s="196" t="s">
        <v>856</v>
      </c>
      <c r="B61" s="204">
        <f>MEDIAN(B45:B54)</f>
        <v>0.7</v>
      </c>
      <c r="C61" s="204">
        <f>MEDIAN(C45:C54)</f>
        <v>7</v>
      </c>
      <c r="D61" s="204">
        <f>MEDIAN(D45:D54)</f>
        <v>10</v>
      </c>
      <c r="E61" s="204">
        <f>MEDIAN(E45:E54)</f>
        <v>14.6</v>
      </c>
      <c r="F61" s="196"/>
      <c r="G61" s="205">
        <f t="shared" si="1"/>
        <v>58.416331111111106</v>
      </c>
      <c r="H61" s="205">
        <f t="shared" si="2"/>
        <v>36.572718333333334</v>
      </c>
      <c r="I61" s="205">
        <f t="shared" si="3"/>
        <v>33.03599777777778</v>
      </c>
      <c r="J61" s="205">
        <f t="shared" si="4"/>
        <v>30.952000000000002</v>
      </c>
    </row>
    <row r="62" spans="1:10" x14ac:dyDescent="0.3">
      <c r="A62" s="196" t="s">
        <v>857</v>
      </c>
      <c r="B62" s="204">
        <f>PERCENTILE(B45:B54,0.75)</f>
        <v>0.85000000000000009</v>
      </c>
      <c r="C62" s="204">
        <f>PERCENTILE(C45:C54,0.75)</f>
        <v>8.25</v>
      </c>
      <c r="D62" s="204">
        <f>PERCENTILE(D45:D54,0.75)</f>
        <v>11.35</v>
      </c>
      <c r="E62" s="204">
        <f>PERCENTILE(E45:E54,0.75)</f>
        <v>17.3</v>
      </c>
      <c r="F62" s="196"/>
      <c r="G62" s="205">
        <f t="shared" si="1"/>
        <v>72.939497777777788</v>
      </c>
      <c r="H62" s="205">
        <f t="shared" si="2"/>
        <v>44.774712083333327</v>
      </c>
      <c r="I62" s="205">
        <f t="shared" si="3"/>
        <v>38.759247777777773</v>
      </c>
      <c r="J62" s="205">
        <f t="shared" si="4"/>
        <v>36.676000000000002</v>
      </c>
    </row>
    <row r="63" spans="1:10" x14ac:dyDescent="0.3">
      <c r="A63" s="196" t="s">
        <v>858</v>
      </c>
      <c r="B63" s="204">
        <f>MAX(B45:B54)</f>
        <v>0.9</v>
      </c>
      <c r="C63" s="204">
        <f>MAX(C45:C54)</f>
        <v>9.3000000000000007</v>
      </c>
      <c r="D63" s="204">
        <f>MAX(D45:D54)</f>
        <v>14</v>
      </c>
      <c r="E63" s="204">
        <f>MAX(E45:E54)</f>
        <v>21</v>
      </c>
      <c r="F63" s="196"/>
      <c r="G63" s="205">
        <f t="shared" si="1"/>
        <v>77.780553333333344</v>
      </c>
      <c r="H63" s="205">
        <f t="shared" si="2"/>
        <v>51.664386833333339</v>
      </c>
      <c r="I63" s="205">
        <f t="shared" si="3"/>
        <v>49.993775555555558</v>
      </c>
      <c r="J63" s="205">
        <f t="shared" si="4"/>
        <v>44.52</v>
      </c>
    </row>
    <row r="64" spans="1:10" x14ac:dyDescent="0.3">
      <c r="A64" s="196" t="s">
        <v>332</v>
      </c>
      <c r="B64" s="206">
        <f>COUNT(B45:B54)</f>
        <v>7</v>
      </c>
      <c r="C64" s="206">
        <f>COUNT(C45:C54)</f>
        <v>7</v>
      </c>
      <c r="D64" s="206">
        <f>COUNT(D45:D54)</f>
        <v>7</v>
      </c>
      <c r="E64" s="206">
        <f>COUNT(E45:E54)</f>
        <v>7</v>
      </c>
      <c r="F64" s="196"/>
      <c r="G64" s="196"/>
      <c r="H64" s="196"/>
      <c r="I64" s="196"/>
      <c r="J64" s="196"/>
    </row>
    <row r="65" spans="1:19" x14ac:dyDescent="0.3">
      <c r="A65" s="145"/>
    </row>
    <row r="66" spans="1:19" x14ac:dyDescent="0.3">
      <c r="A66" s="202" t="s">
        <v>859</v>
      </c>
      <c r="B66" s="202" t="s">
        <v>845</v>
      </c>
      <c r="C66" s="202" t="s">
        <v>846</v>
      </c>
      <c r="D66" s="202" t="s">
        <v>847</v>
      </c>
      <c r="E66" s="202" t="s">
        <v>134</v>
      </c>
    </row>
    <row r="67" spans="1:19" x14ac:dyDescent="0.3">
      <c r="A67" s="207" t="s">
        <v>860</v>
      </c>
      <c r="B67" s="208">
        <f>$B$18</f>
        <v>174278</v>
      </c>
      <c r="C67" s="208">
        <f>$B$21</f>
        <v>11810.870999999999</v>
      </c>
      <c r="D67" s="208">
        <f>$B$19</f>
        <v>7631</v>
      </c>
      <c r="E67" s="208">
        <f>$B$24</f>
        <v>2.12</v>
      </c>
    </row>
    <row r="68" spans="1:19" x14ac:dyDescent="0.3">
      <c r="A68" s="207" t="s">
        <v>861</v>
      </c>
      <c r="B68" s="209">
        <f>B60*$B$18</f>
        <v>114525.54285714288</v>
      </c>
      <c r="C68" s="209">
        <f>C60*$B$21</f>
        <v>83182.27718571428</v>
      </c>
      <c r="D68" s="209">
        <f>D60*$B$19</f>
        <v>75982.957142857136</v>
      </c>
      <c r="E68" s="207" t="s">
        <v>862</v>
      </c>
    </row>
    <row r="69" spans="1:19" x14ac:dyDescent="0.3">
      <c r="A69" s="207" t="s">
        <v>863</v>
      </c>
      <c r="B69" s="209">
        <f>B68+$B$30</f>
        <v>97680.33885714288</v>
      </c>
      <c r="C69" s="209">
        <f>C68+$B$30</f>
        <v>66337.073185714282</v>
      </c>
      <c r="D69" s="209">
        <f>D68+$B$30</f>
        <v>59137.753142857138</v>
      </c>
      <c r="E69" s="209">
        <f>E60*$B$24*$B$23</f>
        <v>55386.514285714293</v>
      </c>
    </row>
    <row r="70" spans="1:19" x14ac:dyDescent="0.3">
      <c r="A70" s="207" t="s">
        <v>864</v>
      </c>
      <c r="B70" s="210">
        <f>G60</f>
        <v>54.266854920634934</v>
      </c>
      <c r="C70" s="210">
        <f>H60</f>
        <v>36.853929547619046</v>
      </c>
      <c r="D70" s="210">
        <f>I60</f>
        <v>32.854307301587298</v>
      </c>
      <c r="E70" s="210">
        <f>J60</f>
        <v>30.770285714285716</v>
      </c>
    </row>
    <row r="72" spans="1:19" s="147" customFormat="1" x14ac:dyDescent="0.3">
      <c r="A72" s="267" t="s">
        <v>865</v>
      </c>
      <c r="B72" s="267"/>
      <c r="C72" s="267"/>
      <c r="D72" s="267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</row>
    <row r="73" spans="1:19" x14ac:dyDescent="0.3">
      <c r="A73" s="267" t="s">
        <v>866</v>
      </c>
      <c r="B73" s="267"/>
      <c r="C73" s="267"/>
      <c r="D73" s="211">
        <f>IF((IF(AND($D$37=1,ISNUMBER(G60)),1,0)+IF(AND($D$34=1,ISNUMBER(H60)),1,0)+IF(AND($D$35=1,ISNUMBER(I60)),1,0)+IF(AND($D$36=1,ISNUMBER(J60)),1,0))=0,"NA",(IF(AND($D$37=1,ISNUMBER(G60)),G60,0)+IF(AND($D$34=1,ISNUMBER(H60)),H60,0)+IF(AND($D$35=1,ISNUMBER(I60)),I60,0)+IF(AND($D$36=1,ISNUMBER(J60)),J60,0))/(IF(AND($D$37=1,ISNUMBER(G60)),1,0)+IF(AND($D$34=1,ISNUMBER(H60)),1,0)+IF(AND($D$35=1,ISNUMBER(I60)),1,0)+IF(AND($D$36=1,ISNUMBER(J60)),1,0)))</f>
        <v>33.492840854497352</v>
      </c>
    </row>
    <row r="74" spans="1:19" x14ac:dyDescent="0.3">
      <c r="A74" s="263" t="s">
        <v>867</v>
      </c>
      <c r="B74" s="263"/>
      <c r="C74" s="263"/>
      <c r="D74" s="205">
        <f>IF((IF(AND($D$37=1,ISNUMBER(G59)),1,0)+IF(AND($D$34=1,ISNUMBER(H59)),1,0)+IF(AND($D$35=1,ISNUMBER(I59)),1,0)+IF(AND($D$36=1,ISNUMBER(J59)),1,0))=0,"NA",(IF(AND($D$37=1,ISNUMBER(G59)),G59,0)+IF(AND($D$34=1,ISNUMBER(H59)),H59,0)+IF(AND($D$35=1,ISNUMBER(I59)),I59,0)+IF(AND($D$36=1,ISNUMBER(J59)),J59,0))/(IF(AND($D$37=1,ISNUMBER(G59)),1,0)+IF(AND($D$34=1,ISNUMBER(H59)),1,0)+IF(AND($D$35=1,ISNUMBER(I59)),1,0)+IF(AND($D$36=1,ISNUMBER(J59)),1,0)))</f>
        <v>27.031161037037037</v>
      </c>
    </row>
    <row r="75" spans="1:19" x14ac:dyDescent="0.3">
      <c r="A75" s="263" t="s">
        <v>868</v>
      </c>
      <c r="B75" s="263"/>
      <c r="C75" s="263"/>
      <c r="D75" s="205">
        <f>IF((IF(AND($D$37=1,ISNUMBER(G62)),1,0)+IF(AND($D$34=1,ISNUMBER(H62)),1,0)+IF(AND($D$35=1,ISNUMBER(I62)),1,0)+IF(AND($D$36=1,ISNUMBER(J62)),1,0))=0,"NA",(IF(AND($D$37=1,ISNUMBER(G62)),G62,0)+IF(AND($D$34=1,ISNUMBER(H62)),H62,0)+IF(AND($D$35=1,ISNUMBER(I62)),I62,0)+IF(AND($D$36=1,ISNUMBER(J62)),J62,0))/(IF(AND($D$37=1,ISNUMBER(G62)),1,0)+IF(AND($D$34=1,ISNUMBER(H62)),1,0)+IF(AND($D$35=1,ISNUMBER(I62)),1,0)+IF(AND($D$36=1,ISNUMBER(J62)),1,0)))</f>
        <v>40.069986620370365</v>
      </c>
    </row>
    <row r="76" spans="1:19" x14ac:dyDescent="0.3">
      <c r="A76" s="263" t="s">
        <v>869</v>
      </c>
      <c r="B76" s="263"/>
      <c r="C76" s="263"/>
      <c r="D76" s="205">
        <f>Valuación!B42</f>
        <v>33.479999999999997</v>
      </c>
    </row>
    <row r="77" spans="1:19" x14ac:dyDescent="0.3">
      <c r="A77" s="264" t="s">
        <v>870</v>
      </c>
      <c r="B77" s="265"/>
      <c r="C77" s="266"/>
      <c r="D77" s="212">
        <f>D73/D76-1</f>
        <v>3.835380674239719E-4</v>
      </c>
    </row>
    <row r="78" spans="1:19" x14ac:dyDescent="0.3">
      <c r="A78" s="264" t="s">
        <v>871</v>
      </c>
      <c r="B78" s="265"/>
      <c r="C78" s="266"/>
      <c r="D78" s="196">
        <f>SUM(D34:D37)</f>
        <v>3</v>
      </c>
    </row>
    <row r="79" spans="1:19" x14ac:dyDescent="0.3">
      <c r="A79" s="145"/>
    </row>
  </sheetData>
  <mergeCells count="11">
    <mergeCell ref="A73:C73"/>
    <mergeCell ref="A17:B17"/>
    <mergeCell ref="A32:E32"/>
    <mergeCell ref="A43:E43"/>
    <mergeCell ref="A56:J56"/>
    <mergeCell ref="A72:D72"/>
    <mergeCell ref="A76:C76"/>
    <mergeCell ref="A74:C74"/>
    <mergeCell ref="A75:C75"/>
    <mergeCell ref="A77:C77"/>
    <mergeCell ref="A78:C7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52"/>
  <sheetViews>
    <sheetView zoomScaleNormal="100" workbookViewId="0">
      <selection activeCell="A53" sqref="A53"/>
    </sheetView>
  </sheetViews>
  <sheetFormatPr baseColWidth="10" defaultColWidth="8.6640625" defaultRowHeight="14.4" x14ac:dyDescent="0.3"/>
  <cols>
    <col min="1" max="1" width="46.44140625" style="140" customWidth="1"/>
    <col min="2" max="2" width="17" style="140" customWidth="1"/>
    <col min="3" max="3" width="31.44140625" style="140" customWidth="1"/>
    <col min="4" max="4" width="26" style="140" customWidth="1"/>
    <col min="5" max="5" width="16.6640625" style="140" customWidth="1"/>
    <col min="6" max="7" width="12" style="140" customWidth="1"/>
    <col min="8" max="9" width="10" style="140" customWidth="1"/>
    <col min="10" max="10" width="12" style="140" customWidth="1"/>
    <col min="11" max="11" width="14" style="140" customWidth="1"/>
    <col min="12" max="12" width="11" style="140" customWidth="1"/>
    <col min="13" max="15" width="12" style="140" customWidth="1"/>
    <col min="16" max="16" width="50" style="140" customWidth="1"/>
    <col min="17" max="17" width="19.33203125" style="140" customWidth="1"/>
    <col min="18" max="16384" width="8.6640625" style="140"/>
  </cols>
  <sheetData>
    <row r="1" spans="1:17" x14ac:dyDescent="0.3">
      <c r="A1" s="144" t="s">
        <v>872</v>
      </c>
      <c r="C1" s="167"/>
    </row>
    <row r="3" spans="1:17" x14ac:dyDescent="0.3">
      <c r="A3" s="215" t="s">
        <v>873</v>
      </c>
      <c r="B3" s="216"/>
      <c r="C3" s="216"/>
    </row>
    <row r="4" spans="1:17" x14ac:dyDescent="0.3">
      <c r="A4" s="216" t="s">
        <v>616</v>
      </c>
      <c r="B4" s="216"/>
      <c r="C4" s="217">
        <f>'Proyección Final Soriana'!B252</f>
        <v>46296</v>
      </c>
    </row>
    <row r="5" spans="1:17" x14ac:dyDescent="0.3">
      <c r="A5" s="216" t="s">
        <v>874</v>
      </c>
      <c r="B5" s="216"/>
      <c r="C5" s="216">
        <v>3</v>
      </c>
    </row>
    <row r="6" spans="1:17" x14ac:dyDescent="0.3">
      <c r="A6" s="216" t="s">
        <v>875</v>
      </c>
      <c r="B6" s="216"/>
      <c r="C6" s="217">
        <f>EDATE(C4,-12*C5)</f>
        <v>45200</v>
      </c>
    </row>
    <row r="7" spans="1:17" x14ac:dyDescent="0.3">
      <c r="A7" s="216" t="s">
        <v>876</v>
      </c>
      <c r="B7" s="216"/>
      <c r="C7" s="216" t="s">
        <v>877</v>
      </c>
    </row>
    <row r="8" spans="1:17" x14ac:dyDescent="0.3">
      <c r="A8" s="216" t="s">
        <v>878</v>
      </c>
      <c r="B8" s="216"/>
      <c r="C8" s="216">
        <v>2</v>
      </c>
    </row>
    <row r="10" spans="1:17" x14ac:dyDescent="0.3">
      <c r="A10" s="213" t="s">
        <v>879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</row>
    <row r="11" spans="1:17" ht="17.100000000000001" customHeight="1" x14ac:dyDescent="0.3">
      <c r="A11" s="221" t="s">
        <v>880</v>
      </c>
      <c r="B11" s="221" t="s">
        <v>881</v>
      </c>
      <c r="C11" s="221" t="s">
        <v>882</v>
      </c>
      <c r="D11" s="221" t="s">
        <v>883</v>
      </c>
      <c r="E11" s="221" t="s">
        <v>884</v>
      </c>
      <c r="F11" s="221" t="s">
        <v>885</v>
      </c>
      <c r="G11" s="221" t="s">
        <v>886</v>
      </c>
      <c r="H11" s="221" t="s">
        <v>845</v>
      </c>
      <c r="I11" s="221" t="s">
        <v>846</v>
      </c>
      <c r="J11" s="221" t="s">
        <v>887</v>
      </c>
      <c r="K11" s="221" t="s">
        <v>888</v>
      </c>
      <c r="L11" s="221" t="s">
        <v>889</v>
      </c>
      <c r="M11" s="221" t="s">
        <v>890</v>
      </c>
      <c r="N11" s="221" t="s">
        <v>891</v>
      </c>
      <c r="O11" s="221" t="s">
        <v>771</v>
      </c>
      <c r="P11" s="221" t="s">
        <v>697</v>
      </c>
      <c r="Q11" s="221" t="s">
        <v>892</v>
      </c>
    </row>
    <row r="12" spans="1:17" ht="17.100000000000001" customHeight="1" x14ac:dyDescent="0.3">
      <c r="A12" s="222">
        <v>45215</v>
      </c>
      <c r="B12" s="223" t="s">
        <v>893</v>
      </c>
      <c r="C12" s="223" t="s">
        <v>894</v>
      </c>
      <c r="D12" s="223" t="s">
        <v>895</v>
      </c>
      <c r="E12" s="223" t="s">
        <v>896</v>
      </c>
      <c r="F12" s="224">
        <v>56675.3</v>
      </c>
      <c r="G12" s="224">
        <v>35348.1</v>
      </c>
      <c r="H12" s="225">
        <v>0.3</v>
      </c>
      <c r="I12" s="225">
        <v>5.2</v>
      </c>
      <c r="J12" s="226" t="s">
        <v>897</v>
      </c>
      <c r="K12" s="226" t="str">
        <f>IF(A12&gt;=$C$6,"Sí","No")</f>
        <v>Sí</v>
      </c>
      <c r="L12" s="226" t="str">
        <f>IF(J12=$C$7,"Sí","No")</f>
        <v>No</v>
      </c>
      <c r="M12" s="226" t="str">
        <f>IF(COUNT(H12:I12)&gt;=$C$8,"Sí","No")</f>
        <v>Sí</v>
      </c>
      <c r="N12" s="226" t="s">
        <v>898</v>
      </c>
      <c r="O12" s="227">
        <v>1</v>
      </c>
      <c r="P12" s="223" t="s">
        <v>899</v>
      </c>
      <c r="Q12" s="223" t="s">
        <v>900</v>
      </c>
    </row>
    <row r="13" spans="1:17" ht="17.100000000000001" customHeight="1" x14ac:dyDescent="0.3">
      <c r="A13" s="222">
        <v>43657</v>
      </c>
      <c r="B13" s="223" t="s">
        <v>901</v>
      </c>
      <c r="C13" s="223" t="s">
        <v>902</v>
      </c>
      <c r="D13" s="223" t="s">
        <v>903</v>
      </c>
      <c r="E13" s="223" t="s">
        <v>904</v>
      </c>
      <c r="F13" s="224">
        <v>116983.8</v>
      </c>
      <c r="G13" s="224">
        <v>4590.5</v>
      </c>
      <c r="H13" s="225">
        <v>1.5</v>
      </c>
      <c r="I13" s="225">
        <v>11.4</v>
      </c>
      <c r="J13" s="226" t="s">
        <v>905</v>
      </c>
      <c r="K13" s="226" t="str">
        <f>IF(A13&gt;=$C$6,"Sí","No")</f>
        <v>No</v>
      </c>
      <c r="L13" s="226" t="str">
        <f>IF(J13=$C$7,"Sí","No")</f>
        <v>No</v>
      </c>
      <c r="M13" s="226" t="str">
        <f>IF(COUNT(H13:I13)&gt;=$C$8,"Sí","No")</f>
        <v>Sí</v>
      </c>
      <c r="N13" s="226" t="s">
        <v>906</v>
      </c>
      <c r="O13" s="227">
        <v>1</v>
      </c>
      <c r="P13" s="223" t="s">
        <v>907</v>
      </c>
      <c r="Q13" s="223" t="s">
        <v>908</v>
      </c>
    </row>
    <row r="14" spans="1:17" ht="17.100000000000001" customHeight="1" x14ac:dyDescent="0.3">
      <c r="A14" s="222">
        <v>43642</v>
      </c>
      <c r="B14" s="223" t="s">
        <v>909</v>
      </c>
      <c r="C14" s="223" t="s">
        <v>894</v>
      </c>
      <c r="D14" s="223" t="s">
        <v>910</v>
      </c>
      <c r="E14" s="223" t="s">
        <v>911</v>
      </c>
      <c r="F14" s="224">
        <v>56675.3</v>
      </c>
      <c r="G14" s="224">
        <v>130645</v>
      </c>
      <c r="H14" s="225">
        <v>0.4</v>
      </c>
      <c r="I14" s="225">
        <v>6.3</v>
      </c>
      <c r="J14" s="226" t="s">
        <v>897</v>
      </c>
      <c r="K14" s="226" t="str">
        <f>IF(A14&gt;=$C$6,"Sí","No")</f>
        <v>No</v>
      </c>
      <c r="L14" s="226" t="str">
        <f>IF(J14=$C$7,"Sí","No")</f>
        <v>No</v>
      </c>
      <c r="M14" s="226" t="str">
        <f>IF(COUNT(H14:I14)&gt;=$C$8,"Sí","No")</f>
        <v>Sí</v>
      </c>
      <c r="N14" s="226" t="s">
        <v>906</v>
      </c>
      <c r="O14" s="227">
        <v>1</v>
      </c>
      <c r="P14" s="223" t="s">
        <v>912</v>
      </c>
      <c r="Q14" s="223" t="s">
        <v>900</v>
      </c>
    </row>
    <row r="15" spans="1:17" x14ac:dyDescent="0.3">
      <c r="A15" s="144"/>
      <c r="H15" s="195">
        <v>0.7</v>
      </c>
      <c r="I15" s="195">
        <v>7.6</v>
      </c>
      <c r="J15" s="145"/>
    </row>
    <row r="16" spans="1:17" x14ac:dyDescent="0.3">
      <c r="A16" s="214" t="s">
        <v>913</v>
      </c>
      <c r="B16" s="214"/>
      <c r="C16" s="214" t="str">
        <f>COUNTIF(K12:K14,"Sí")&amp;" de "&amp;COUNTA(B12:B14)</f>
        <v>1 de 3</v>
      </c>
    </row>
    <row r="17" spans="1:7" x14ac:dyDescent="0.3">
      <c r="A17" s="214" t="s">
        <v>914</v>
      </c>
      <c r="B17" s="214"/>
      <c r="C17" s="214" t="str">
        <f>COUNTIF(L12:L14,"Sí")&amp;" de "&amp;COUNTA(B12:B14)</f>
        <v>0 de 3</v>
      </c>
    </row>
    <row r="18" spans="1:7" x14ac:dyDescent="0.3">
      <c r="A18" s="214" t="s">
        <v>915</v>
      </c>
      <c r="B18" s="214"/>
      <c r="C18" s="214" t="str">
        <f>COUNTIF(N12:N14,"Sí")&amp;" de "&amp;COUNTA(B12:B14)</f>
        <v>1 de 3</v>
      </c>
    </row>
    <row r="19" spans="1:7" x14ac:dyDescent="0.3">
      <c r="A19" s="214" t="s">
        <v>916</v>
      </c>
      <c r="B19" s="214"/>
      <c r="C19" s="229">
        <f>H12/I12</f>
        <v>5.7692307692307689E-2</v>
      </c>
      <c r="D19" s="228">
        <f>H13/I13</f>
        <v>0.13157894736842105</v>
      </c>
      <c r="E19" s="228">
        <f>H14/I14</f>
        <v>6.3492063492063502E-2</v>
      </c>
    </row>
    <row r="21" spans="1:7" x14ac:dyDescent="0.3">
      <c r="A21" s="213" t="s">
        <v>917</v>
      </c>
      <c r="B21" s="214"/>
      <c r="C21" s="214"/>
    </row>
    <row r="22" spans="1:7" x14ac:dyDescent="0.3">
      <c r="A22" s="213" t="s">
        <v>918</v>
      </c>
      <c r="B22" s="214"/>
      <c r="C22" s="214"/>
    </row>
    <row r="23" spans="1:7" x14ac:dyDescent="0.3">
      <c r="A23" s="214" t="str">
        <f>C12</f>
        <v>Almacenes Éxito S.A.</v>
      </c>
      <c r="B23" s="220">
        <f>IF($O$12=1,H12,"")</f>
        <v>0.3</v>
      </c>
      <c r="C23" s="220">
        <f>IF($O$12=1,I12,"")</f>
        <v>5.2</v>
      </c>
    </row>
    <row r="24" spans="1:7" x14ac:dyDescent="0.3">
      <c r="A24" s="214" t="str">
        <f>C13</f>
        <v>InRetail Perú Corp.</v>
      </c>
      <c r="B24" s="220">
        <f>IF($O$13=1,H13,"")</f>
        <v>1.5</v>
      </c>
      <c r="C24" s="220">
        <f>IF($O$13=1,I13,"")</f>
        <v>11.4</v>
      </c>
    </row>
    <row r="25" spans="1:7" x14ac:dyDescent="0.3">
      <c r="A25" s="214" t="str">
        <f>C14</f>
        <v>Almacenes Éxito S.A.</v>
      </c>
      <c r="B25" s="220">
        <f>IF($O$14=1,H14,"")</f>
        <v>0.4</v>
      </c>
      <c r="C25" s="220">
        <f>IF($O$14=1,I14,"")</f>
        <v>6.3</v>
      </c>
    </row>
    <row r="27" spans="1:7" x14ac:dyDescent="0.3">
      <c r="A27" s="218" t="s">
        <v>919</v>
      </c>
      <c r="B27" s="218" t="s">
        <v>845</v>
      </c>
      <c r="C27" s="218" t="s">
        <v>846</v>
      </c>
      <c r="D27" s="218" t="s">
        <v>920</v>
      </c>
      <c r="E27" s="218" t="s">
        <v>921</v>
      </c>
      <c r="F27" s="148"/>
      <c r="G27" s="148"/>
    </row>
    <row r="28" spans="1:7" x14ac:dyDescent="0.3">
      <c r="A28" s="214" t="s">
        <v>854</v>
      </c>
      <c r="B28" s="220">
        <f>MIN(B23:B25)</f>
        <v>0.3</v>
      </c>
      <c r="C28" s="220">
        <f>MIN(C23:C25)</f>
        <v>5.2</v>
      </c>
      <c r="D28" s="230">
        <f>IF(B28*Multiplos!$B$18+Multiplos!$B$30&gt;0,(B28*Multiplos!$B$18+Multiplos!$B$30)/Multiplos!$B$23,"NM")</f>
        <v>19.687886666666664</v>
      </c>
      <c r="E28" s="230">
        <f>IF(C28*Multiplos!$B$21+Multiplos!$B$30&gt;0,(C28*Multiplos!$B$21+Multiplos!$B$30)/Multiplos!$B$23,"NM")</f>
        <v>24.761847333333328</v>
      </c>
    </row>
    <row r="29" spans="1:7" x14ac:dyDescent="0.3">
      <c r="A29" s="214" t="s">
        <v>855</v>
      </c>
      <c r="B29" s="220">
        <f>PERCENTILE(B23:B25,0.25)</f>
        <v>0.35</v>
      </c>
      <c r="C29" s="220">
        <f>PERCENTILE(C23:C25,0.25)</f>
        <v>5.75</v>
      </c>
      <c r="D29" s="230">
        <f>IF(B29*Multiplos!$B$18+Multiplos!$B$30&gt;0,(B29*Multiplos!$B$18+Multiplos!$B$30)/Multiplos!$B$23,"NM")</f>
        <v>24.528942222222216</v>
      </c>
      <c r="E29" s="230">
        <f>IF(C29*Multiplos!$B$21+Multiplos!$B$30&gt;0,(C29*Multiplos!$B$21+Multiplos!$B$30)/Multiplos!$B$23,"NM")</f>
        <v>28.370724583333335</v>
      </c>
    </row>
    <row r="30" spans="1:7" x14ac:dyDescent="0.3">
      <c r="A30" s="213" t="s">
        <v>534</v>
      </c>
      <c r="B30" s="220">
        <f>AVERAGE(B23:B25)</f>
        <v>0.73333333333333339</v>
      </c>
      <c r="C30" s="220">
        <f>AVERAGE(C23:C25)</f>
        <v>7.6333333333333337</v>
      </c>
      <c r="D30" s="230">
        <f>IF(B30*Multiplos!$B$18+Multiplos!$B$30&gt;0,(B30*Multiplos!$B$18+Multiplos!$B$30)/Multiplos!$B$23,"NM")</f>
        <v>61.643701481481493</v>
      </c>
      <c r="E30" s="230">
        <f>IF(C30*Multiplos!$B$21+Multiplos!$B$30&gt;0,(C30*Multiplos!$B$21+Multiplos!$B$30)/Multiplos!$B$23,"NM")</f>
        <v>40.728395166666672</v>
      </c>
    </row>
    <row r="31" spans="1:7" x14ac:dyDescent="0.3">
      <c r="A31" s="214" t="s">
        <v>856</v>
      </c>
      <c r="B31" s="220">
        <f>MEDIAN(B23:B25)</f>
        <v>0.4</v>
      </c>
      <c r="C31" s="220">
        <f>MEDIAN(C23:C25)</f>
        <v>6.3</v>
      </c>
      <c r="D31" s="230">
        <f>IF(B31*Multiplos!$B$18+Multiplos!$B$30&gt;0,(B31*Multiplos!$B$18+Multiplos!$B$30)/Multiplos!$B$23,"NM")</f>
        <v>29.369997777777776</v>
      </c>
      <c r="E31" s="230">
        <f>IF(C31*Multiplos!$B$21+Multiplos!$B$30&gt;0,(C31*Multiplos!$B$21+Multiplos!$B$30)/Multiplos!$B$23,"NM")</f>
        <v>31.97960183333333</v>
      </c>
    </row>
    <row r="32" spans="1:7" x14ac:dyDescent="0.3">
      <c r="A32" s="214" t="s">
        <v>857</v>
      </c>
      <c r="B32" s="220">
        <f>PERCENTILE(B23:B25,0.75)</f>
        <v>0.95000000000000007</v>
      </c>
      <c r="C32" s="220">
        <f>PERCENTILE(C23:C25,0.75)</f>
        <v>8.85</v>
      </c>
      <c r="D32" s="230">
        <f>IF(B32*Multiplos!$B$18+Multiplos!$B$30&gt;0,(B32*Multiplos!$B$18+Multiplos!$B$30)/Multiplos!$B$23,"NM")</f>
        <v>82.621608888888886</v>
      </c>
      <c r="E32" s="230">
        <f>IF(C32*Multiplos!$B$21+Multiplos!$B$30&gt;0,(C32*Multiplos!$B$21+Multiplos!$B$30)/Multiplos!$B$23,"NM")</f>
        <v>48.711669083333327</v>
      </c>
    </row>
    <row r="33" spans="1:7" x14ac:dyDescent="0.3">
      <c r="A33" s="214" t="s">
        <v>858</v>
      </c>
      <c r="B33" s="220">
        <f>MAX(B23:B25)</f>
        <v>1.5</v>
      </c>
      <c r="C33" s="220">
        <f>MAX(C23:C25)</f>
        <v>11.4</v>
      </c>
      <c r="D33" s="230">
        <f>IF(B33*Multiplos!$B$18+Multiplos!$B$30&gt;0,(B33*Multiplos!$B$18+Multiplos!$B$30)/Multiplos!$B$23,"NM")</f>
        <v>135.87322</v>
      </c>
      <c r="E33" s="230">
        <f>IF(C33*Multiplos!$B$21+Multiplos!$B$30&gt;0,(C33*Multiplos!$B$21+Multiplos!$B$30)/Multiplos!$B$23,"NM")</f>
        <v>65.443736333333334</v>
      </c>
    </row>
    <row r="34" spans="1:7" x14ac:dyDescent="0.3">
      <c r="A34" s="140" t="s">
        <v>332</v>
      </c>
      <c r="B34" s="143">
        <f>COUNT(B23:B25)</f>
        <v>3</v>
      </c>
      <c r="C34" s="143">
        <f>COUNT(C23:C25)</f>
        <v>3</v>
      </c>
    </row>
    <row r="36" spans="1:7" x14ac:dyDescent="0.3">
      <c r="A36" s="218" t="s">
        <v>859</v>
      </c>
      <c r="B36" s="218" t="s">
        <v>845</v>
      </c>
      <c r="C36" s="218" t="s">
        <v>846</v>
      </c>
      <c r="D36" s="148"/>
      <c r="E36" s="148"/>
      <c r="F36" s="148"/>
      <c r="G36" s="148"/>
    </row>
    <row r="37" spans="1:7" x14ac:dyDescent="0.3">
      <c r="A37" s="214" t="s">
        <v>922</v>
      </c>
      <c r="B37" s="220">
        <f>B30</f>
        <v>0.73333333333333339</v>
      </c>
      <c r="C37" s="220">
        <f>C30</f>
        <v>7.6333333333333337</v>
      </c>
    </row>
    <row r="38" spans="1:7" x14ac:dyDescent="0.3">
      <c r="A38" s="214" t="s">
        <v>923</v>
      </c>
      <c r="B38" s="219">
        <f>Multiplos!$B$18</f>
        <v>174278</v>
      </c>
      <c r="C38" s="219">
        <f>Multiplos!$B$21</f>
        <v>11810.870999999999</v>
      </c>
    </row>
    <row r="39" spans="1:7" x14ac:dyDescent="0.3">
      <c r="A39" s="214" t="s">
        <v>861</v>
      </c>
      <c r="B39" s="219">
        <f>B37*B38</f>
        <v>127803.86666666668</v>
      </c>
      <c r="C39" s="219">
        <f>C37*C38</f>
        <v>90156.315300000002</v>
      </c>
    </row>
    <row r="40" spans="1:7" x14ac:dyDescent="0.3">
      <c r="A40" s="214" t="s">
        <v>924</v>
      </c>
      <c r="B40" s="219">
        <f>Multiplos!$B$30</f>
        <v>-16845.204000000002</v>
      </c>
      <c r="C40" s="219">
        <f>Multiplos!$B$30</f>
        <v>-16845.204000000002</v>
      </c>
    </row>
    <row r="41" spans="1:7" x14ac:dyDescent="0.3">
      <c r="A41" s="213" t="s">
        <v>863</v>
      </c>
      <c r="B41" s="219">
        <f>B39+B40</f>
        <v>110958.66266666669</v>
      </c>
      <c r="C41" s="219">
        <f>C39+C40</f>
        <v>73311.111300000004</v>
      </c>
    </row>
    <row r="42" spans="1:7" x14ac:dyDescent="0.3">
      <c r="A42" s="213" t="s">
        <v>864</v>
      </c>
      <c r="B42" s="230">
        <f>D30</f>
        <v>61.643701481481493</v>
      </c>
      <c r="C42" s="230">
        <f>E30</f>
        <v>40.728395166666672</v>
      </c>
    </row>
    <row r="44" spans="1:7" x14ac:dyDescent="0.3">
      <c r="A44" s="213" t="s">
        <v>925</v>
      </c>
    </row>
    <row r="45" spans="1:7" x14ac:dyDescent="0.3">
      <c r="A45" s="232" t="s">
        <v>833</v>
      </c>
      <c r="B45" s="218"/>
      <c r="C45" s="218" t="s">
        <v>836</v>
      </c>
      <c r="D45" s="218" t="s">
        <v>837</v>
      </c>
      <c r="E45" s="218" t="s">
        <v>926</v>
      </c>
    </row>
    <row r="46" spans="1:7" x14ac:dyDescent="0.3">
      <c r="A46" s="233" t="s">
        <v>846</v>
      </c>
      <c r="B46" s="214"/>
      <c r="C46" s="213">
        <v>1</v>
      </c>
      <c r="D46" s="214" t="s">
        <v>839</v>
      </c>
      <c r="E46" s="214" t="s">
        <v>927</v>
      </c>
    </row>
    <row r="47" spans="1:7" x14ac:dyDescent="0.3">
      <c r="A47" s="233" t="s">
        <v>845</v>
      </c>
      <c r="B47" s="214"/>
      <c r="C47" s="213">
        <v>0</v>
      </c>
      <c r="D47" s="214" t="s">
        <v>841</v>
      </c>
      <c r="E47" s="214" t="s">
        <v>928</v>
      </c>
    </row>
    <row r="49" spans="1:6" x14ac:dyDescent="0.3">
      <c r="A49" s="213" t="s">
        <v>929</v>
      </c>
      <c r="B49" s="214"/>
      <c r="C49" s="214"/>
      <c r="D49" s="214"/>
      <c r="E49" s="231">
        <f>IF((C46+C47)=0,"NA",(IF(C46=1,E30,0)+IF(C47=1,D30,0))/(C46+C47))</f>
        <v>40.728395166666672</v>
      </c>
    </row>
    <row r="50" spans="1:6" x14ac:dyDescent="0.3">
      <c r="A50" s="214" t="s">
        <v>930</v>
      </c>
      <c r="B50" s="214"/>
      <c r="C50" s="214"/>
      <c r="D50" s="214"/>
      <c r="E50" s="230">
        <f>E28</f>
        <v>24.761847333333328</v>
      </c>
      <c r="F50" s="142">
        <f>E33</f>
        <v>65.443736333333334</v>
      </c>
    </row>
    <row r="52" spans="1:6" x14ac:dyDescent="0.3">
      <c r="A52" s="158" t="s">
        <v>931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zoomScale="91" zoomScaleNormal="100" workbookViewId="0">
      <selection activeCell="D20" sqref="D20"/>
    </sheetView>
  </sheetViews>
  <sheetFormatPr baseColWidth="10" defaultColWidth="8.6640625" defaultRowHeight="14.4" x14ac:dyDescent="0.3"/>
  <cols>
    <col min="1" max="1" width="59.44140625" customWidth="1"/>
    <col min="2" max="2" width="16" customWidth="1"/>
    <col min="3" max="5" width="14" customWidth="1"/>
    <col min="6" max="6" width="70" customWidth="1"/>
    <col min="7" max="7" width="16" customWidth="1"/>
  </cols>
  <sheetData>
    <row r="1" spans="1:9" x14ac:dyDescent="0.3">
      <c r="A1" s="234" t="s">
        <v>932</v>
      </c>
      <c r="B1" s="36"/>
      <c r="C1" s="36"/>
      <c r="D1" s="36"/>
      <c r="E1" s="36"/>
      <c r="F1" s="36"/>
      <c r="G1" s="36"/>
      <c r="H1" s="36"/>
      <c r="I1" s="36"/>
    </row>
    <row r="2" spans="1:9" x14ac:dyDescent="0.3">
      <c r="A2" s="235"/>
      <c r="B2" s="36"/>
      <c r="C2" s="36"/>
      <c r="D2" s="36"/>
      <c r="E2" s="36"/>
      <c r="F2" s="36"/>
      <c r="G2" s="36"/>
      <c r="H2" s="36"/>
      <c r="I2" s="36"/>
    </row>
    <row r="3" spans="1:9" ht="27.6" x14ac:dyDescent="0.3">
      <c r="A3" s="239" t="s">
        <v>933</v>
      </c>
      <c r="B3" s="239" t="s">
        <v>303</v>
      </c>
      <c r="C3" s="239" t="s">
        <v>934</v>
      </c>
      <c r="D3" s="239" t="s">
        <v>935</v>
      </c>
      <c r="E3" s="239" t="s">
        <v>936</v>
      </c>
      <c r="F3" s="239" t="s">
        <v>937</v>
      </c>
      <c r="G3" s="239" t="s">
        <v>938</v>
      </c>
      <c r="H3" s="36"/>
      <c r="I3" s="36"/>
    </row>
    <row r="4" spans="1:9" ht="43.5" customHeight="1" x14ac:dyDescent="0.3">
      <c r="A4" s="240" t="s">
        <v>939</v>
      </c>
      <c r="B4" s="241">
        <f>'Proyección Final Soriana'!B265</f>
        <v>31.616890144521637</v>
      </c>
      <c r="C4" s="242">
        <v>0.5</v>
      </c>
      <c r="D4" s="243">
        <f>1/3</f>
        <v>0.33333333333333331</v>
      </c>
      <c r="E4" s="241">
        <f>IF(ISNUMBER(B4),B4*C4,0)</f>
        <v>15.808445072260819</v>
      </c>
      <c r="F4" s="244" t="s">
        <v>940</v>
      </c>
      <c r="G4" s="240" t="str">
        <f>IF(C4&gt;0,"Sí","No (referencia)")</f>
        <v>Sí</v>
      </c>
      <c r="H4" s="36"/>
      <c r="I4" s="36"/>
    </row>
    <row r="5" spans="1:9" ht="43.5" customHeight="1" x14ac:dyDescent="0.3">
      <c r="A5" s="240" t="s">
        <v>941</v>
      </c>
      <c r="B5" s="241">
        <f>Multiplos!D73</f>
        <v>33.492840854497352</v>
      </c>
      <c r="C5" s="242">
        <v>0.5</v>
      </c>
      <c r="D5" s="243">
        <f>1/3</f>
        <v>0.33333333333333331</v>
      </c>
      <c r="E5" s="241">
        <f>IF(ISNUMBER(B5),B5*C5,0)</f>
        <v>16.746420427248676</v>
      </c>
      <c r="F5" s="244" t="s">
        <v>942</v>
      </c>
      <c r="G5" s="240" t="str">
        <f>IF(C5&gt;0,"Sí","No (referencia)")</f>
        <v>Sí</v>
      </c>
      <c r="H5" s="36"/>
      <c r="I5" s="36"/>
    </row>
    <row r="6" spans="1:9" ht="43.5" customHeight="1" x14ac:dyDescent="0.3">
      <c r="A6" s="240" t="s">
        <v>943</v>
      </c>
      <c r="B6" s="241">
        <f>Transacciones!E49</f>
        <v>40.728395166666672</v>
      </c>
      <c r="C6" s="242">
        <v>0</v>
      </c>
      <c r="D6" s="243">
        <f>1/3</f>
        <v>0.33333333333333331</v>
      </c>
      <c r="E6" s="241">
        <f>IF(ISNUMBER(B6),B6*C6,0)</f>
        <v>0</v>
      </c>
      <c r="F6" s="244" t="s">
        <v>944</v>
      </c>
      <c r="G6" s="240" t="str">
        <f>IF(C6&gt;0,"Sí","No (referencia)")</f>
        <v>No (referencia)</v>
      </c>
      <c r="H6" s="36"/>
      <c r="I6" s="36"/>
    </row>
    <row r="7" spans="1:9" x14ac:dyDescent="0.3">
      <c r="A7" s="36" t="s">
        <v>945</v>
      </c>
      <c r="B7" s="36"/>
      <c r="C7" s="238">
        <f>SUM(C4:C6)</f>
        <v>1</v>
      </c>
      <c r="D7" s="236">
        <f>SUM(D4:D6)</f>
        <v>1</v>
      </c>
      <c r="E7" s="36"/>
      <c r="F7" s="36"/>
      <c r="G7" s="36"/>
      <c r="H7" s="36"/>
      <c r="I7" s="36"/>
    </row>
    <row r="8" spans="1:9" x14ac:dyDescent="0.3">
      <c r="A8" s="36"/>
      <c r="B8" s="36"/>
      <c r="C8" s="36"/>
      <c r="D8" s="36"/>
      <c r="E8" s="36"/>
      <c r="F8" s="36"/>
      <c r="G8" s="36"/>
      <c r="H8" s="36"/>
      <c r="I8" s="36"/>
    </row>
    <row r="9" spans="1:9" x14ac:dyDescent="0.3">
      <c r="A9" s="240" t="s">
        <v>946</v>
      </c>
      <c r="B9" s="246">
        <f>IF(ABS(C7-1)&gt;0.000000001,"Los pesos deben sumar 100%",IF(SUMPRODUCT((C4:C6&gt;0)*(1-ISNUMBER(B4:B6)))&gt;0,"NA: método con peso sin precio",SUMPRODUCT(B4:B6,C4:C6)))</f>
        <v>32.554865499509496</v>
      </c>
      <c r="C9" s="245"/>
      <c r="D9" s="245"/>
      <c r="E9" s="245"/>
      <c r="F9" s="237"/>
      <c r="G9" s="36"/>
      <c r="H9" s="36"/>
      <c r="I9" s="36"/>
    </row>
    <row r="10" spans="1:9" x14ac:dyDescent="0.3">
      <c r="A10" s="245" t="s">
        <v>947</v>
      </c>
      <c r="B10" s="241">
        <f>Valuación!B42</f>
        <v>33.479999999999997</v>
      </c>
      <c r="C10" s="245"/>
      <c r="D10" s="245"/>
      <c r="E10" s="245"/>
      <c r="F10" s="36"/>
      <c r="G10" s="36"/>
      <c r="H10" s="36"/>
      <c r="I10" s="36"/>
    </row>
    <row r="11" spans="1:9" x14ac:dyDescent="0.3">
      <c r="A11" s="245" t="s">
        <v>948</v>
      </c>
      <c r="B11" s="241">
        <f>B9-B10</f>
        <v>-0.9251345004905005</v>
      </c>
      <c r="C11" s="245"/>
      <c r="D11" s="245"/>
      <c r="E11" s="245"/>
      <c r="F11" s="36"/>
      <c r="G11" s="36"/>
      <c r="H11" s="36"/>
      <c r="I11" s="36"/>
    </row>
    <row r="12" spans="1:9" x14ac:dyDescent="0.3">
      <c r="A12" s="245" t="s">
        <v>949</v>
      </c>
      <c r="B12" s="247">
        <f>B9/B10-1</f>
        <v>-2.7632452224925386E-2</v>
      </c>
      <c r="C12" s="245"/>
      <c r="D12" s="245"/>
      <c r="E12" s="245"/>
      <c r="F12" s="36"/>
      <c r="G12" s="36"/>
      <c r="H12" s="36"/>
      <c r="I12" s="36"/>
    </row>
    <row r="13" spans="1:9" x14ac:dyDescent="0.3">
      <c r="A13" s="36"/>
      <c r="B13" s="36"/>
      <c r="C13" s="36"/>
      <c r="D13" s="36"/>
      <c r="E13" s="36"/>
      <c r="F13" s="36"/>
      <c r="G13" s="36"/>
      <c r="H13" s="36"/>
      <c r="I13" s="36"/>
    </row>
    <row r="14" spans="1:9" x14ac:dyDescent="0.3">
      <c r="A14" s="245" t="s">
        <v>950</v>
      </c>
      <c r="B14" s="241">
        <f>SUMPRODUCT(B4:B6,D4:D6)/D7</f>
        <v>35.279375388561888</v>
      </c>
      <c r="C14" s="36"/>
      <c r="D14" s="36"/>
      <c r="E14" s="36"/>
      <c r="F14" s="36" t="s">
        <v>951</v>
      </c>
      <c r="G14" s="36"/>
      <c r="H14" s="36"/>
      <c r="I14" s="36"/>
    </row>
    <row r="15" spans="1:9" x14ac:dyDescent="0.3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3">
      <c r="A16" s="240" t="s">
        <v>952</v>
      </c>
      <c r="B16" s="245"/>
      <c r="C16" s="245"/>
      <c r="D16" s="245"/>
      <c r="E16" s="36"/>
      <c r="F16" s="36"/>
      <c r="G16" s="36"/>
    </row>
    <row r="17" spans="1:9" x14ac:dyDescent="0.3">
      <c r="A17" s="239" t="s">
        <v>933</v>
      </c>
      <c r="B17" s="239" t="s">
        <v>953</v>
      </c>
      <c r="C17" s="239" t="s">
        <v>954</v>
      </c>
      <c r="D17" s="239" t="s">
        <v>955</v>
      </c>
      <c r="E17" s="36"/>
      <c r="F17" s="36"/>
      <c r="G17" s="36"/>
    </row>
    <row r="18" spans="1:9" x14ac:dyDescent="0.3">
      <c r="A18" s="245" t="s">
        <v>956</v>
      </c>
      <c r="B18" s="241">
        <f>MIN(Validación!E9:G9)</f>
        <v>31.277349037146799</v>
      </c>
      <c r="C18" s="241">
        <f>B4</f>
        <v>31.616890144521637</v>
      </c>
      <c r="D18" s="241">
        <f>MAX(Validación!E9:G9)</f>
        <v>32.289933097456</v>
      </c>
      <c r="E18" s="36"/>
      <c r="F18" s="36"/>
      <c r="G18" s="36"/>
    </row>
    <row r="19" spans="1:9" x14ac:dyDescent="0.3">
      <c r="A19" s="245" t="s">
        <v>941</v>
      </c>
      <c r="B19" s="241">
        <f>Multiplos!D74</f>
        <v>27.031161037037037</v>
      </c>
      <c r="C19" s="241">
        <f>B5</f>
        <v>33.492840854497352</v>
      </c>
      <c r="D19" s="241">
        <f>Multiplos!D75</f>
        <v>40.069986620370365</v>
      </c>
      <c r="E19" s="36"/>
      <c r="F19" s="36"/>
      <c r="G19" s="36"/>
    </row>
    <row r="20" spans="1:9" x14ac:dyDescent="0.3">
      <c r="A20" s="245" t="s">
        <v>957</v>
      </c>
      <c r="B20" s="241">
        <f>Transacciones!E50</f>
        <v>24.761847333333328</v>
      </c>
      <c r="C20" s="241">
        <f>B6</f>
        <v>40.728395166666672</v>
      </c>
      <c r="D20" s="241">
        <f>Transacciones!F50</f>
        <v>65.443736333333334</v>
      </c>
      <c r="E20" s="36"/>
      <c r="F20" s="36"/>
      <c r="G20" s="36"/>
    </row>
    <row r="21" spans="1:9" x14ac:dyDescent="0.3">
      <c r="A21" s="36"/>
      <c r="B21" s="36"/>
      <c r="C21" s="36"/>
      <c r="D21" s="36"/>
      <c r="E21" s="36"/>
      <c r="F21" s="36"/>
      <c r="G21" s="36"/>
      <c r="H21" s="36"/>
      <c r="I21" s="3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63C8-FFFC-406D-A92F-4EB921C51A91}">
  <dimension ref="A1:N74"/>
  <sheetViews>
    <sheetView tabSelected="1" topLeftCell="A57" workbookViewId="0">
      <selection activeCell="A63" sqref="A63:C63"/>
    </sheetView>
  </sheetViews>
  <sheetFormatPr baseColWidth="10" defaultRowHeight="14.4" x14ac:dyDescent="0.3"/>
  <cols>
    <col min="1" max="1" width="13.33203125" customWidth="1"/>
    <col min="2" max="2" width="14.44140625" customWidth="1"/>
    <col min="3" max="4" width="28.88671875" customWidth="1"/>
    <col min="5" max="5" width="14.44140625" customWidth="1"/>
    <col min="6" max="6" width="12.21875" customWidth="1"/>
    <col min="7" max="7" width="11.109375" customWidth="1"/>
    <col min="8" max="8" width="10" customWidth="1"/>
    <col min="9" max="9" width="11.109375" customWidth="1"/>
    <col min="10" max="11" width="10" customWidth="1"/>
    <col min="12" max="12" width="11.109375" customWidth="1"/>
    <col min="13" max="13" width="10" customWidth="1"/>
    <col min="14" max="14" width="66.6640625" customWidth="1"/>
  </cols>
  <sheetData>
    <row r="1" spans="1:14" x14ac:dyDescent="0.3">
      <c r="A1" s="293" t="s">
        <v>1171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</row>
    <row r="2" spans="1:14" x14ac:dyDescent="0.3">
      <c r="A2" s="310" t="s">
        <v>1290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</row>
    <row r="3" spans="1:14" x14ac:dyDescent="0.3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</row>
    <row r="4" spans="1:14" x14ac:dyDescent="0.3">
      <c r="A4" s="294" t="s">
        <v>1172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</row>
    <row r="5" spans="1:14" x14ac:dyDescent="0.3">
      <c r="A5" s="296" t="s">
        <v>1173</v>
      </c>
      <c r="B5" s="297" t="s">
        <v>1174</v>
      </c>
      <c r="C5" s="297"/>
      <c r="D5" s="297"/>
      <c r="E5" s="297"/>
      <c r="F5" s="297" t="s">
        <v>1175</v>
      </c>
      <c r="G5" s="297"/>
      <c r="H5" s="297"/>
      <c r="I5" s="297"/>
      <c r="J5" s="297"/>
      <c r="K5" s="297"/>
      <c r="L5" s="297"/>
      <c r="M5" s="297"/>
      <c r="N5" s="297"/>
    </row>
    <row r="6" spans="1:14" ht="28.8" x14ac:dyDescent="0.3">
      <c r="A6" s="278" t="s">
        <v>1176</v>
      </c>
      <c r="B6" s="277" t="s">
        <v>1177</v>
      </c>
      <c r="C6" s="277"/>
      <c r="D6" s="277"/>
      <c r="E6" s="277"/>
      <c r="F6" s="277" t="s">
        <v>1178</v>
      </c>
      <c r="G6" s="277"/>
      <c r="H6" s="277"/>
      <c r="I6" s="277"/>
      <c r="J6" s="277"/>
      <c r="K6" s="277"/>
      <c r="L6" s="277"/>
      <c r="M6" s="277"/>
      <c r="N6" s="277"/>
    </row>
    <row r="7" spans="1:14" x14ac:dyDescent="0.3">
      <c r="A7" s="278" t="s">
        <v>1179</v>
      </c>
      <c r="B7" s="277" t="s">
        <v>1180</v>
      </c>
      <c r="C7" s="277"/>
      <c r="D7" s="277"/>
      <c r="E7" s="277"/>
      <c r="F7" s="277" t="s">
        <v>1181</v>
      </c>
      <c r="G7" s="277"/>
      <c r="H7" s="277"/>
      <c r="I7" s="277"/>
      <c r="J7" s="277"/>
      <c r="K7" s="277"/>
      <c r="L7" s="277"/>
      <c r="M7" s="277"/>
      <c r="N7" s="277"/>
    </row>
    <row r="8" spans="1:14" ht="28.8" x14ac:dyDescent="0.3">
      <c r="A8" s="278" t="s">
        <v>1182</v>
      </c>
      <c r="B8" s="277" t="s">
        <v>1183</v>
      </c>
      <c r="C8" s="277"/>
      <c r="D8" s="277"/>
      <c r="E8" s="277"/>
      <c r="F8" s="277" t="s">
        <v>1184</v>
      </c>
      <c r="G8" s="277"/>
      <c r="H8" s="277"/>
      <c r="I8" s="277"/>
      <c r="J8" s="277"/>
      <c r="K8" s="277"/>
      <c r="L8" s="277"/>
      <c r="M8" s="277"/>
      <c r="N8" s="277"/>
    </row>
    <row r="9" spans="1:14" ht="28.8" x14ac:dyDescent="0.3">
      <c r="A9" s="278" t="s">
        <v>1185</v>
      </c>
      <c r="B9" s="277" t="s">
        <v>1186</v>
      </c>
      <c r="C9" s="277"/>
      <c r="D9" s="277"/>
      <c r="E9" s="277"/>
      <c r="F9" s="277" t="s">
        <v>1187</v>
      </c>
      <c r="G9" s="277"/>
      <c r="H9" s="277"/>
      <c r="I9" s="277"/>
      <c r="J9" s="277"/>
      <c r="K9" s="277"/>
      <c r="L9" s="277"/>
      <c r="M9" s="277"/>
      <c r="N9" s="277"/>
    </row>
    <row r="10" spans="1:14" ht="28.8" x14ac:dyDescent="0.3">
      <c r="A10" s="278" t="s">
        <v>1188</v>
      </c>
      <c r="B10" s="277" t="s">
        <v>1189</v>
      </c>
      <c r="C10" s="277"/>
      <c r="D10" s="277"/>
      <c r="E10" s="277"/>
      <c r="F10" s="277" t="s">
        <v>1190</v>
      </c>
      <c r="G10" s="277"/>
      <c r="H10" s="277"/>
      <c r="I10" s="277"/>
      <c r="J10" s="277"/>
      <c r="K10" s="277"/>
      <c r="L10" s="277"/>
      <c r="M10" s="277"/>
      <c r="N10" s="277"/>
    </row>
    <row r="11" spans="1:14" x14ac:dyDescent="0.3">
      <c r="A11" s="272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</row>
    <row r="12" spans="1:14" x14ac:dyDescent="0.3">
      <c r="A12" s="271" t="s">
        <v>1191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</row>
    <row r="13" spans="1:14" ht="28.8" x14ac:dyDescent="0.3">
      <c r="A13" s="299" t="s">
        <v>880</v>
      </c>
      <c r="B13" s="299" t="s">
        <v>1192</v>
      </c>
      <c r="C13" s="299" t="s">
        <v>882</v>
      </c>
      <c r="D13" s="299" t="s">
        <v>883</v>
      </c>
      <c r="E13" s="299" t="s">
        <v>1193</v>
      </c>
      <c r="F13" s="299" t="s">
        <v>1194</v>
      </c>
      <c r="G13" s="299" t="s">
        <v>846</v>
      </c>
      <c r="H13" s="299" t="s">
        <v>1195</v>
      </c>
      <c r="I13" s="299" t="s">
        <v>845</v>
      </c>
      <c r="J13" s="299" t="s">
        <v>1196</v>
      </c>
      <c r="K13" s="299" t="s">
        <v>888</v>
      </c>
      <c r="L13" s="299" t="s">
        <v>1197</v>
      </c>
      <c r="M13" s="299" t="s">
        <v>771</v>
      </c>
      <c r="N13" s="299" t="s">
        <v>697</v>
      </c>
    </row>
    <row r="14" spans="1:14" x14ac:dyDescent="0.3">
      <c r="A14" s="314">
        <f>DATE(2023,10,16)</f>
        <v>45215</v>
      </c>
      <c r="B14" s="279">
        <v>4144889040</v>
      </c>
      <c r="C14" s="280" t="s">
        <v>1198</v>
      </c>
      <c r="D14" s="280" t="s">
        <v>1199</v>
      </c>
      <c r="E14" s="280" t="s">
        <v>897</v>
      </c>
      <c r="F14" s="315">
        <v>1744.4697000000001</v>
      </c>
      <c r="G14" s="281">
        <v>4.9800000000000004</v>
      </c>
      <c r="H14" s="281" t="s">
        <v>842</v>
      </c>
      <c r="I14" s="281">
        <v>0.34</v>
      </c>
      <c r="J14" s="282">
        <f>COUNT(G14:I14)</f>
        <v>2</v>
      </c>
      <c r="K14" s="282" t="str">
        <f>IF(A14&gt;=Transacciones!$C$6,"Sí","No")</f>
        <v>Sí</v>
      </c>
      <c r="L14" s="282" t="str">
        <f>IF(J14&gt;=2,"Sí","No")</f>
        <v>Sí</v>
      </c>
      <c r="M14" s="308">
        <v>1</v>
      </c>
      <c r="N14" s="280" t="s">
        <v>1200</v>
      </c>
    </row>
    <row r="15" spans="1:14" x14ac:dyDescent="0.3">
      <c r="A15" s="314">
        <f>DATE(2023,10,30)</f>
        <v>45229</v>
      </c>
      <c r="B15" s="279">
        <v>4150545040</v>
      </c>
      <c r="C15" s="280" t="s">
        <v>1201</v>
      </c>
      <c r="D15" s="280" t="s">
        <v>1202</v>
      </c>
      <c r="E15" s="280" t="s">
        <v>1203</v>
      </c>
      <c r="F15" s="315">
        <v>1711.6876999999999</v>
      </c>
      <c r="G15" s="281">
        <v>21.31</v>
      </c>
      <c r="H15" s="281" t="s">
        <v>842</v>
      </c>
      <c r="I15" s="281">
        <v>0.69</v>
      </c>
      <c r="J15" s="282">
        <f>COUNT(G15:I15)</f>
        <v>2</v>
      </c>
      <c r="K15" s="282" t="str">
        <f>IF(A15&gt;=Transacciones!$C$6,"Sí","No")</f>
        <v>Sí</v>
      </c>
      <c r="L15" s="282" t="str">
        <f>IF(J15&gt;=2,"Sí","No")</f>
        <v>Sí</v>
      </c>
      <c r="M15" s="308">
        <v>1</v>
      </c>
      <c r="N15" s="280" t="s">
        <v>1204</v>
      </c>
    </row>
    <row r="16" spans="1:14" x14ac:dyDescent="0.3">
      <c r="A16" s="314">
        <f>DATE(2024,2,6)</f>
        <v>45328</v>
      </c>
      <c r="B16" s="279">
        <v>4191742040</v>
      </c>
      <c r="C16" s="280" t="s">
        <v>1205</v>
      </c>
      <c r="D16" s="280" t="s">
        <v>1206</v>
      </c>
      <c r="E16" s="280" t="s">
        <v>1207</v>
      </c>
      <c r="F16" s="315">
        <v>11027.052900000001</v>
      </c>
      <c r="G16" s="281">
        <v>3.24</v>
      </c>
      <c r="H16" s="281">
        <v>13.72</v>
      </c>
      <c r="I16" s="281">
        <v>0.9</v>
      </c>
      <c r="J16" s="282">
        <f>COUNT(G16:I16)</f>
        <v>3</v>
      </c>
      <c r="K16" s="282" t="str">
        <f>IF(A16&gt;=Transacciones!$C$6,"Sí","No")</f>
        <v>Sí</v>
      </c>
      <c r="L16" s="282" t="str">
        <f>IF(J16&gt;=2,"Sí","No")</f>
        <v>Sí</v>
      </c>
      <c r="M16" s="308">
        <v>1</v>
      </c>
      <c r="N16" s="280" t="s">
        <v>1208</v>
      </c>
    </row>
    <row r="17" spans="1:14" x14ac:dyDescent="0.3">
      <c r="A17" s="314">
        <f>DATE(2024,5,15)</f>
        <v>45427</v>
      </c>
      <c r="B17" s="279">
        <v>4234985040</v>
      </c>
      <c r="C17" s="280" t="s">
        <v>1209</v>
      </c>
      <c r="D17" s="280" t="s">
        <v>1210</v>
      </c>
      <c r="E17" s="280" t="s">
        <v>1207</v>
      </c>
      <c r="F17" s="315">
        <v>700.28120000000001</v>
      </c>
      <c r="G17" s="281">
        <v>7.64</v>
      </c>
      <c r="H17" s="281">
        <v>18.52</v>
      </c>
      <c r="I17" s="281">
        <v>0.28000000000000003</v>
      </c>
      <c r="J17" s="282">
        <f>COUNT(G17:I17)</f>
        <v>3</v>
      </c>
      <c r="K17" s="282" t="str">
        <f>IF(A17&gt;=Transacciones!$C$6,"Sí","No")</f>
        <v>Sí</v>
      </c>
      <c r="L17" s="282" t="str">
        <f>IF(J17&gt;=2,"Sí","No")</f>
        <v>Sí</v>
      </c>
      <c r="M17" s="308">
        <v>1</v>
      </c>
      <c r="N17" s="280" t="s">
        <v>1211</v>
      </c>
    </row>
    <row r="18" spans="1:14" x14ac:dyDescent="0.3">
      <c r="A18" s="314">
        <f>DATE(2024,9,23)</f>
        <v>45558</v>
      </c>
      <c r="B18" s="279">
        <v>4291087040</v>
      </c>
      <c r="C18" s="280" t="s">
        <v>1212</v>
      </c>
      <c r="D18" s="280" t="s">
        <v>1213</v>
      </c>
      <c r="E18" s="280" t="s">
        <v>1214</v>
      </c>
      <c r="F18" s="315">
        <v>5614.0797000000002</v>
      </c>
      <c r="G18" s="281">
        <v>12.77</v>
      </c>
      <c r="H18" s="281" t="s">
        <v>842</v>
      </c>
      <c r="I18" s="281">
        <v>0.53</v>
      </c>
      <c r="J18" s="282">
        <f>COUNT(G18:I18)</f>
        <v>2</v>
      </c>
      <c r="K18" s="282" t="str">
        <f>IF(A18&gt;=Transacciones!$C$6,"Sí","No")</f>
        <v>Sí</v>
      </c>
      <c r="L18" s="282" t="str">
        <f>IF(J18&gt;=2,"Sí","No")</f>
        <v>Sí</v>
      </c>
      <c r="M18" s="308">
        <v>1</v>
      </c>
      <c r="N18" s="280" t="s">
        <v>1215</v>
      </c>
    </row>
    <row r="19" spans="1:14" x14ac:dyDescent="0.3">
      <c r="A19" s="314">
        <f>DATE(2025,1,1)</f>
        <v>45658</v>
      </c>
      <c r="B19" s="279">
        <v>4338758040</v>
      </c>
      <c r="C19" s="280" t="s">
        <v>1216</v>
      </c>
      <c r="D19" s="280" t="s">
        <v>1217</v>
      </c>
      <c r="E19" s="280" t="s">
        <v>1218</v>
      </c>
      <c r="F19" s="315">
        <v>824.101</v>
      </c>
      <c r="G19" s="281">
        <v>2.2000000000000002</v>
      </c>
      <c r="H19" s="281" t="s">
        <v>842</v>
      </c>
      <c r="I19" s="281">
        <v>0.08</v>
      </c>
      <c r="J19" s="282">
        <f>COUNT(G19:I19)</f>
        <v>2</v>
      </c>
      <c r="K19" s="282" t="str">
        <f>IF(A19&gt;=Transacciones!$C$6,"Sí","No")</f>
        <v>Sí</v>
      </c>
      <c r="L19" s="282" t="str">
        <f>IF(J19&gt;=2,"Sí","No")</f>
        <v>Sí</v>
      </c>
      <c r="M19" s="308">
        <v>1</v>
      </c>
      <c r="N19" s="280" t="s">
        <v>1219</v>
      </c>
    </row>
    <row r="20" spans="1:14" x14ac:dyDescent="0.3">
      <c r="A20" s="314">
        <f>DATE(2025,2,5)</f>
        <v>45693</v>
      </c>
      <c r="B20" s="279">
        <v>4353024040</v>
      </c>
      <c r="C20" s="280" t="s">
        <v>1220</v>
      </c>
      <c r="D20" s="280" t="s">
        <v>1221</v>
      </c>
      <c r="E20" s="280" t="s">
        <v>1222</v>
      </c>
      <c r="F20" s="315">
        <v>5048.5762999999997</v>
      </c>
      <c r="G20" s="281">
        <v>5.1100000000000003</v>
      </c>
      <c r="H20" s="281" t="s">
        <v>842</v>
      </c>
      <c r="I20" s="281">
        <v>0.16</v>
      </c>
      <c r="J20" s="282">
        <f>COUNT(G20:I20)</f>
        <v>2</v>
      </c>
      <c r="K20" s="282" t="str">
        <f>IF(A20&gt;=Transacciones!$C$6,"Sí","No")</f>
        <v>Sí</v>
      </c>
      <c r="L20" s="282" t="str">
        <f>IF(J20&gt;=2,"Sí","No")</f>
        <v>Sí</v>
      </c>
      <c r="M20" s="308">
        <v>1</v>
      </c>
      <c r="N20" s="280" t="s">
        <v>1223</v>
      </c>
    </row>
    <row r="21" spans="1:14" x14ac:dyDescent="0.3">
      <c r="A21" s="314">
        <f>DATE(2025,3,5)</f>
        <v>45721</v>
      </c>
      <c r="B21" s="279">
        <v>4340542040</v>
      </c>
      <c r="C21" s="280" t="s">
        <v>1224</v>
      </c>
      <c r="D21" s="280" t="s">
        <v>1225</v>
      </c>
      <c r="E21" s="280" t="s">
        <v>1207</v>
      </c>
      <c r="F21" s="315">
        <v>2552.3912</v>
      </c>
      <c r="G21" s="281" t="s">
        <v>842</v>
      </c>
      <c r="H21" s="281">
        <v>3.88</v>
      </c>
      <c r="I21" s="281">
        <v>0.69</v>
      </c>
      <c r="J21" s="282">
        <f>COUNT(G21:I21)</f>
        <v>2</v>
      </c>
      <c r="K21" s="282" t="str">
        <f>IF(A21&gt;=Transacciones!$C$6,"Sí","No")</f>
        <v>Sí</v>
      </c>
      <c r="L21" s="282" t="str">
        <f>IF(J21&gt;=2,"Sí","No")</f>
        <v>Sí</v>
      </c>
      <c r="M21" s="308">
        <v>1</v>
      </c>
      <c r="N21" s="280" t="s">
        <v>1226</v>
      </c>
    </row>
    <row r="22" spans="1:14" x14ac:dyDescent="0.3">
      <c r="A22" s="314">
        <f>DATE(2023,11,30)</f>
        <v>45260</v>
      </c>
      <c r="B22" s="279">
        <v>4163818040</v>
      </c>
      <c r="C22" s="280" t="s">
        <v>1227</v>
      </c>
      <c r="D22" s="280" t="s">
        <v>1227</v>
      </c>
      <c r="E22" s="280" t="s">
        <v>1207</v>
      </c>
      <c r="F22" s="315">
        <v>23898.263599999998</v>
      </c>
      <c r="G22" s="281">
        <v>3.36</v>
      </c>
      <c r="H22" s="281">
        <v>11.07</v>
      </c>
      <c r="I22" s="281">
        <v>0.31</v>
      </c>
      <c r="J22" s="282">
        <f>COUNT(G22:I22)</f>
        <v>3</v>
      </c>
      <c r="K22" s="282" t="str">
        <f>IF(A22&gt;=Transacciones!$C$6,"Sí","No")</f>
        <v>Sí</v>
      </c>
      <c r="L22" s="282" t="str">
        <f>IF(J22&gt;=2,"Sí","No")</f>
        <v>Sí</v>
      </c>
      <c r="M22" s="308">
        <v>0</v>
      </c>
      <c r="N22" s="280" t="s">
        <v>1228</v>
      </c>
    </row>
    <row r="23" spans="1:14" x14ac:dyDescent="0.3">
      <c r="A23" s="314">
        <f>DATE(2024,3,26)</f>
        <v>45377</v>
      </c>
      <c r="B23" s="279">
        <v>4220226040</v>
      </c>
      <c r="C23" s="280" t="s">
        <v>1229</v>
      </c>
      <c r="D23" s="280" t="s">
        <v>1229</v>
      </c>
      <c r="E23" s="280" t="s">
        <v>1230</v>
      </c>
      <c r="F23" s="315">
        <v>25430.570599999999</v>
      </c>
      <c r="G23" s="281">
        <v>5.16</v>
      </c>
      <c r="H23" s="281">
        <v>11.59</v>
      </c>
      <c r="I23" s="281">
        <v>0.28000000000000003</v>
      </c>
      <c r="J23" s="282">
        <f>COUNT(G23:I23)</f>
        <v>3</v>
      </c>
      <c r="K23" s="282" t="str">
        <f>IF(A23&gt;=Transacciones!$C$6,"Sí","No")</f>
        <v>Sí</v>
      </c>
      <c r="L23" s="282" t="str">
        <f>IF(J23&gt;=2,"Sí","No")</f>
        <v>Sí</v>
      </c>
      <c r="M23" s="308">
        <v>0</v>
      </c>
      <c r="N23" s="280" t="s">
        <v>1228</v>
      </c>
    </row>
    <row r="24" spans="1:14" x14ac:dyDescent="0.3">
      <c r="A24" s="314">
        <f>DATE(2025,4,9)</f>
        <v>45756</v>
      </c>
      <c r="B24" s="279">
        <v>4382315040</v>
      </c>
      <c r="C24" s="280" t="s">
        <v>1227</v>
      </c>
      <c r="D24" s="280" t="s">
        <v>1227</v>
      </c>
      <c r="E24" s="280" t="s">
        <v>1207</v>
      </c>
      <c r="F24" s="315">
        <v>57481.830600000001</v>
      </c>
      <c r="G24" s="281">
        <v>8.74</v>
      </c>
      <c r="H24" s="281">
        <v>17.36</v>
      </c>
      <c r="I24" s="281">
        <v>0.78</v>
      </c>
      <c r="J24" s="282">
        <f>COUNT(G24:I24)</f>
        <v>3</v>
      </c>
      <c r="K24" s="282" t="str">
        <f>IF(A24&gt;=Transacciones!$C$6,"Sí","No")</f>
        <v>Sí</v>
      </c>
      <c r="L24" s="282" t="str">
        <f>IF(J24&gt;=2,"Sí","No")</f>
        <v>Sí</v>
      </c>
      <c r="M24" s="308">
        <v>0</v>
      </c>
      <c r="N24" s="280" t="s">
        <v>1228</v>
      </c>
    </row>
    <row r="25" spans="1:14" x14ac:dyDescent="0.3">
      <c r="A25" s="314">
        <f>DATE(2025,11,7)</f>
        <v>45968</v>
      </c>
      <c r="B25" s="279">
        <v>4488172040</v>
      </c>
      <c r="C25" s="280" t="s">
        <v>1231</v>
      </c>
      <c r="D25" s="280" t="s">
        <v>1231</v>
      </c>
      <c r="E25" s="280" t="s">
        <v>1232</v>
      </c>
      <c r="F25" s="315">
        <v>13917.2562</v>
      </c>
      <c r="G25" s="281">
        <v>4.71</v>
      </c>
      <c r="H25" s="281">
        <v>17.52</v>
      </c>
      <c r="I25" s="281">
        <v>0.32</v>
      </c>
      <c r="J25" s="282">
        <f>COUNT(G25:I25)</f>
        <v>3</v>
      </c>
      <c r="K25" s="282" t="str">
        <f>IF(A25&gt;=Transacciones!$C$6,"Sí","No")</f>
        <v>Sí</v>
      </c>
      <c r="L25" s="282" t="str">
        <f>IF(J25&gt;=2,"Sí","No")</f>
        <v>Sí</v>
      </c>
      <c r="M25" s="308">
        <v>0</v>
      </c>
      <c r="N25" s="280" t="s">
        <v>1228</v>
      </c>
    </row>
    <row r="26" spans="1:14" x14ac:dyDescent="0.3">
      <c r="A26" s="314">
        <f>DATE(2023,10,10)</f>
        <v>45209</v>
      </c>
      <c r="B26" s="279">
        <v>4143788040</v>
      </c>
      <c r="C26" s="280" t="s">
        <v>1233</v>
      </c>
      <c r="D26" s="280" t="s">
        <v>1233</v>
      </c>
      <c r="E26" s="280" t="s">
        <v>1234</v>
      </c>
      <c r="F26" s="315">
        <v>7977.4939999999997</v>
      </c>
      <c r="G26" s="281">
        <v>3.63</v>
      </c>
      <c r="H26" s="281">
        <v>6.67</v>
      </c>
      <c r="I26" s="281">
        <v>0.32</v>
      </c>
      <c r="J26" s="282">
        <f>COUNT(G26:I26)</f>
        <v>3</v>
      </c>
      <c r="K26" s="282" t="str">
        <f>IF(A26&gt;=Transacciones!$C$6,"Sí","No")</f>
        <v>Sí</v>
      </c>
      <c r="L26" s="282" t="str">
        <f>IF(J26&gt;=2,"Sí","No")</f>
        <v>Sí</v>
      </c>
      <c r="M26" s="308">
        <v>0</v>
      </c>
      <c r="N26" s="280" t="s">
        <v>1235</v>
      </c>
    </row>
    <row r="27" spans="1:14" x14ac:dyDescent="0.3">
      <c r="A27" s="314">
        <f>DATE(2025,4,30)</f>
        <v>45777</v>
      </c>
      <c r="B27" s="279">
        <v>4391691040</v>
      </c>
      <c r="C27" s="280" t="s">
        <v>1236</v>
      </c>
      <c r="D27" s="280" t="s">
        <v>1237</v>
      </c>
      <c r="E27" s="280" t="s">
        <v>1234</v>
      </c>
      <c r="F27" s="315">
        <v>478.10039999999998</v>
      </c>
      <c r="G27" s="281" t="s">
        <v>842</v>
      </c>
      <c r="H27" s="281">
        <v>44.78</v>
      </c>
      <c r="I27" s="281">
        <v>0.45</v>
      </c>
      <c r="J27" s="282">
        <f>COUNT(G27:I27)</f>
        <v>2</v>
      </c>
      <c r="K27" s="282" t="str">
        <f>IF(A27&gt;=Transacciones!$C$6,"Sí","No")</f>
        <v>Sí</v>
      </c>
      <c r="L27" s="282" t="str">
        <f>IF(J27&gt;=2,"Sí","No")</f>
        <v>Sí</v>
      </c>
      <c r="M27" s="308">
        <v>0</v>
      </c>
      <c r="N27" s="280" t="s">
        <v>1238</v>
      </c>
    </row>
    <row r="28" spans="1:14" x14ac:dyDescent="0.3">
      <c r="A28" s="314">
        <f>DATE(2023,12,21)</f>
        <v>45281</v>
      </c>
      <c r="B28" s="279">
        <v>4172416040</v>
      </c>
      <c r="C28" s="280" t="s">
        <v>1239</v>
      </c>
      <c r="D28" s="280" t="s">
        <v>1240</v>
      </c>
      <c r="E28" s="280" t="s">
        <v>1214</v>
      </c>
      <c r="F28" s="315">
        <v>957.3424</v>
      </c>
      <c r="G28" s="281">
        <v>4.97</v>
      </c>
      <c r="H28" s="281">
        <v>13.41</v>
      </c>
      <c r="I28" s="281">
        <v>0.67</v>
      </c>
      <c r="J28" s="282">
        <f>COUNT(G28:I28)</f>
        <v>3</v>
      </c>
      <c r="K28" s="282" t="str">
        <f>IF(A28&gt;=Transacciones!$C$6,"Sí","No")</f>
        <v>Sí</v>
      </c>
      <c r="L28" s="282" t="str">
        <f>IF(J28&gt;=2,"Sí","No")</f>
        <v>Sí</v>
      </c>
      <c r="M28" s="308">
        <v>0</v>
      </c>
      <c r="N28" s="280" t="s">
        <v>1241</v>
      </c>
    </row>
    <row r="29" spans="1:14" x14ac:dyDescent="0.3">
      <c r="A29" s="314">
        <f>DATE(2023,4,25)</f>
        <v>45041</v>
      </c>
      <c r="B29" s="279">
        <v>4069894040</v>
      </c>
      <c r="C29" s="280" t="s">
        <v>1242</v>
      </c>
      <c r="D29" s="280" t="s">
        <v>1243</v>
      </c>
      <c r="E29" s="280" t="s">
        <v>1207</v>
      </c>
      <c r="F29" s="315">
        <v>463.75650000000002</v>
      </c>
      <c r="G29" s="281">
        <v>10.27</v>
      </c>
      <c r="H29" s="281" t="s">
        <v>842</v>
      </c>
      <c r="I29" s="281">
        <v>0.24</v>
      </c>
      <c r="J29" s="282">
        <f>COUNT(G29:I29)</f>
        <v>2</v>
      </c>
      <c r="K29" s="282" t="str">
        <f>IF(A29&gt;=Transacciones!$C$6,"Sí","No")</f>
        <v>No</v>
      </c>
      <c r="L29" s="282" t="str">
        <f>IF(J29&gt;=2,"Sí","No")</f>
        <v>Sí</v>
      </c>
      <c r="M29" s="308">
        <v>0</v>
      </c>
      <c r="N29" s="280" t="s">
        <v>1244</v>
      </c>
    </row>
    <row r="30" spans="1:14" x14ac:dyDescent="0.3">
      <c r="A30" s="314">
        <f>DATE(2023,4,24)</f>
        <v>45040</v>
      </c>
      <c r="B30" s="279">
        <v>4069904040</v>
      </c>
      <c r="C30" s="280" t="s">
        <v>1245</v>
      </c>
      <c r="D30" s="280" t="s">
        <v>1246</v>
      </c>
      <c r="E30" s="280" t="s">
        <v>1230</v>
      </c>
      <c r="F30" s="315">
        <v>12843.1337</v>
      </c>
      <c r="G30" s="281">
        <v>6.38</v>
      </c>
      <c r="H30" s="281" t="s">
        <v>842</v>
      </c>
      <c r="I30" s="281">
        <v>0.4</v>
      </c>
      <c r="J30" s="282">
        <f>COUNT(G30:I30)</f>
        <v>2</v>
      </c>
      <c r="K30" s="282" t="str">
        <f>IF(A30&gt;=Transacciones!$C$6,"Sí","No")</f>
        <v>No</v>
      </c>
      <c r="L30" s="282" t="str">
        <f>IF(J30&gt;=2,"Sí","No")</f>
        <v>Sí</v>
      </c>
      <c r="M30" s="308">
        <v>0</v>
      </c>
      <c r="N30" s="280" t="s">
        <v>1247</v>
      </c>
    </row>
    <row r="31" spans="1:14" x14ac:dyDescent="0.3">
      <c r="A31" s="314">
        <f>DATE(2023,8,3)</f>
        <v>45141</v>
      </c>
      <c r="B31" s="279">
        <v>4115751040</v>
      </c>
      <c r="C31" s="280" t="s">
        <v>1248</v>
      </c>
      <c r="D31" s="280" t="s">
        <v>1249</v>
      </c>
      <c r="E31" s="280" t="s">
        <v>1250</v>
      </c>
      <c r="F31" s="315">
        <v>186.16130000000001</v>
      </c>
      <c r="G31" s="281">
        <v>46.78</v>
      </c>
      <c r="H31" s="281" t="s">
        <v>842</v>
      </c>
      <c r="I31" s="281">
        <v>0.28999999999999998</v>
      </c>
      <c r="J31" s="282">
        <f>COUNT(G31:I31)</f>
        <v>2</v>
      </c>
      <c r="K31" s="282" t="str">
        <f>IF(A31&gt;=Transacciones!$C$6,"Sí","No")</f>
        <v>No</v>
      </c>
      <c r="L31" s="282" t="str">
        <f>IF(J31&gt;=2,"Sí","No")</f>
        <v>Sí</v>
      </c>
      <c r="M31" s="308">
        <v>0</v>
      </c>
      <c r="N31" s="280" t="s">
        <v>1251</v>
      </c>
    </row>
    <row r="32" spans="1:14" x14ac:dyDescent="0.3">
      <c r="A32" s="314">
        <f>DATE(2025,3,5)</f>
        <v>45721</v>
      </c>
      <c r="B32" s="279">
        <v>4364904040</v>
      </c>
      <c r="C32" s="280" t="s">
        <v>1252</v>
      </c>
      <c r="D32" s="280" t="s">
        <v>1253</v>
      </c>
      <c r="E32" s="280" t="s">
        <v>1254</v>
      </c>
      <c r="F32" s="315" t="s">
        <v>842</v>
      </c>
      <c r="G32" s="281" t="s">
        <v>842</v>
      </c>
      <c r="H32" s="281">
        <v>27.76</v>
      </c>
      <c r="I32" s="281" t="s">
        <v>842</v>
      </c>
      <c r="J32" s="282">
        <f>COUNT(G32:I32)</f>
        <v>1</v>
      </c>
      <c r="K32" s="282" t="str">
        <f>IF(A32&gt;=Transacciones!$C$6,"Sí","No")</f>
        <v>Sí</v>
      </c>
      <c r="L32" s="282" t="str">
        <f>IF(J32&gt;=2,"Sí","No")</f>
        <v>No</v>
      </c>
      <c r="M32" s="308">
        <v>0</v>
      </c>
      <c r="N32" s="280" t="s">
        <v>1255</v>
      </c>
    </row>
    <row r="33" spans="1:14" x14ac:dyDescent="0.3">
      <c r="A33" s="272"/>
      <c r="B33" s="272"/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</row>
    <row r="34" spans="1:14" x14ac:dyDescent="0.3">
      <c r="A34" s="294" t="s">
        <v>1256</v>
      </c>
      <c r="B34" s="272"/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</row>
    <row r="35" spans="1:14" ht="30" customHeight="1" x14ac:dyDescent="0.3">
      <c r="A35" s="298" t="s">
        <v>919</v>
      </c>
      <c r="B35" s="298"/>
      <c r="C35" s="299" t="s">
        <v>846</v>
      </c>
      <c r="D35" s="299" t="s">
        <v>845</v>
      </c>
      <c r="E35" s="299" t="s">
        <v>1257</v>
      </c>
      <c r="F35" s="299" t="s">
        <v>1258</v>
      </c>
      <c r="G35" s="272"/>
      <c r="H35" s="272"/>
      <c r="I35" s="272"/>
      <c r="J35" s="272"/>
      <c r="K35" s="272"/>
      <c r="L35" s="272"/>
      <c r="M35" s="272"/>
      <c r="N35" s="272"/>
    </row>
    <row r="36" spans="1:14" x14ac:dyDescent="0.3">
      <c r="A36" s="283" t="s">
        <v>854</v>
      </c>
      <c r="B36" s="283"/>
      <c r="C36" s="284" cm="1">
        <f t="array" ref="C36">MIN(_xlfn._xlws.FILTER($G$14:$G$32,($M$14:$M$32=1)*ISNUMBER($G$14:$G$32)))</f>
        <v>2.2000000000000002</v>
      </c>
      <c r="D36" s="284" cm="1">
        <f t="array" ref="D36">MIN(_xlfn._xlws.FILTER($I$14:$I$32,($M$14:$M$32=1)*ISNUMBER($I$14:$I$32)))</f>
        <v>0.08</v>
      </c>
      <c r="E36" s="285">
        <f>IF(C36*Multiplos!$B$21+Multiplos!$B$30&gt;0,(C36*Multiplos!$B$21+Multiplos!$B$30)/Multiplos!$B$23,"NM")</f>
        <v>5.0770623333333322</v>
      </c>
      <c r="F36" s="287">
        <f>IFERROR(E36/'Valuación Combinada'!$B$10-1,"NM")</f>
        <v>-0.84835536638789333</v>
      </c>
      <c r="G36" s="272"/>
      <c r="H36" s="272"/>
      <c r="I36" s="272"/>
      <c r="J36" s="272"/>
      <c r="K36" s="272"/>
      <c r="L36" s="272"/>
      <c r="M36" s="272"/>
      <c r="N36" s="272"/>
    </row>
    <row r="37" spans="1:14" x14ac:dyDescent="0.3">
      <c r="A37" s="283" t="s">
        <v>855</v>
      </c>
      <c r="B37" s="283"/>
      <c r="C37" s="284" cm="1">
        <f t="array" ref="C37">_xlfn.PERCENTILE.INC(_xlfn._xlws.FILTER($G$14:$G$32,($M$14:$M$32=1)*ISNUMBER($G$14:$G$32)),0.25)</f>
        <v>4.1100000000000003</v>
      </c>
      <c r="D37" s="284" cm="1">
        <f t="array" ref="D37">_xlfn.PERCENTILE.INC(_xlfn._xlws.FILTER($I$14:$I$32,($M$14:$M$32=1)*ISNUMBER($I$14:$I$32)),0.25)</f>
        <v>0.25</v>
      </c>
      <c r="E37" s="285">
        <f>IF(C37*Multiplos!$B$21+Multiplos!$B$30&gt;0,(C37*Multiplos!$B$21+Multiplos!$B$30)/Multiplos!$B$23,"NM")</f>
        <v>17.609708783333332</v>
      </c>
      <c r="F37" s="287">
        <f>IFERROR(E37/'Valuación Combinada'!$B$10-1,"NM")</f>
        <v>-0.47402303514536037</v>
      </c>
      <c r="G37" s="272"/>
      <c r="H37" s="272"/>
      <c r="I37" s="272"/>
      <c r="J37" s="272"/>
      <c r="K37" s="272"/>
      <c r="L37" s="272"/>
      <c r="M37" s="272"/>
      <c r="N37" s="272"/>
    </row>
    <row r="38" spans="1:14" x14ac:dyDescent="0.3">
      <c r="A38" s="283" t="s">
        <v>534</v>
      </c>
      <c r="B38" s="283"/>
      <c r="C38" s="284" cm="1">
        <f t="array" ref="C38">AVERAGE(_xlfn._xlws.FILTER($G$14:$G$32,($M$14:$M$32=1)*ISNUMBER($G$14:$G$32)))</f>
        <v>8.1785714285714288</v>
      </c>
      <c r="D38" s="284" cm="1">
        <f t="array" ref="D38">AVERAGE(_xlfn._xlws.FILTER($I$14:$I$32,($M$14:$M$32=1)*ISNUMBER($I$14:$I$32)))</f>
        <v>0.45875000000000005</v>
      </c>
      <c r="E38" s="285">
        <f>IF(C38*Multiplos!$B$21+Multiplos!$B$30&gt;0,(C38*Multiplos!$B$21+Multiplos!$B$30)/Multiplos!$B$23,"NM")</f>
        <v>44.306026726190474</v>
      </c>
      <c r="F38" s="287">
        <f>IFERROR(E38/'Valuación Combinada'!$B$10-1,"NM")</f>
        <v>0.32335802646924972</v>
      </c>
      <c r="G38" s="272"/>
      <c r="H38" s="272"/>
      <c r="I38" s="272"/>
      <c r="J38" s="272"/>
      <c r="K38" s="272"/>
      <c r="L38" s="272"/>
      <c r="M38" s="272"/>
      <c r="N38" s="272"/>
    </row>
    <row r="39" spans="1:14" x14ac:dyDescent="0.3">
      <c r="A39" s="298" t="s">
        <v>856</v>
      </c>
      <c r="B39" s="298"/>
      <c r="C39" s="301" cm="1">
        <f t="array" ref="C39">MEDIAN(_xlfn._xlws.FILTER($G$14:$G$32,($M$14:$M$32=1)*ISNUMBER($G$14:$G$32)))</f>
        <v>5.1100000000000003</v>
      </c>
      <c r="D39" s="301" cm="1">
        <f t="array" ref="D39">MEDIAN(_xlfn._xlws.FILTER($I$14:$I$32,($M$14:$M$32=1)*ISNUMBER($I$14:$I$32)))</f>
        <v>0.43500000000000005</v>
      </c>
      <c r="E39" s="302">
        <f>IF(C39*Multiplos!$B$21+Multiplos!$B$30&gt;0,(C39*Multiplos!$B$21+Multiplos!$B$30)/Multiplos!$B$23,"NM")</f>
        <v>24.171303783333336</v>
      </c>
      <c r="F39" s="303">
        <f>IFERROR(E39/'Valuación Combinada'!$B$10-1,"NM")</f>
        <v>-0.27803752140581428</v>
      </c>
      <c r="G39" s="272"/>
      <c r="H39" s="272"/>
      <c r="I39" s="272"/>
      <c r="J39" s="272"/>
      <c r="K39" s="272"/>
      <c r="L39" s="272"/>
      <c r="M39" s="272"/>
      <c r="N39" s="272"/>
    </row>
    <row r="40" spans="1:14" x14ac:dyDescent="0.3">
      <c r="A40" s="283" t="s">
        <v>857</v>
      </c>
      <c r="B40" s="283"/>
      <c r="C40" s="284" cm="1">
        <f t="array" ref="C40">_xlfn.PERCENTILE.INC(_xlfn._xlws.FILTER($G$14:$G$32,($M$14:$M$32=1)*ISNUMBER($G$14:$G$32)),0.75)</f>
        <v>10.205</v>
      </c>
      <c r="D40" s="284" cm="1">
        <f t="array" ref="D40">_xlfn.PERCENTILE.INC(_xlfn._xlws.FILTER($I$14:$I$32,($M$14:$M$32=1)*ISNUMBER($I$14:$I$32)),0.75)</f>
        <v>0.69</v>
      </c>
      <c r="E40" s="285">
        <f>IF(C40*Multiplos!$B$21+Multiplos!$B$30&gt;0,(C40*Multiplos!$B$21+Multiplos!$B$30)/Multiplos!$B$23,"NM")</f>
        <v>57.602630308333325</v>
      </c>
      <c r="F40" s="287">
        <f>IFERROR(E40/'Valuación Combinada'!$B$10-1,"NM")</f>
        <v>0.72050867109717243</v>
      </c>
      <c r="G40" s="272"/>
      <c r="H40" s="272"/>
      <c r="I40" s="272"/>
      <c r="J40" s="272"/>
      <c r="K40" s="272"/>
      <c r="L40" s="272"/>
      <c r="M40" s="272"/>
      <c r="N40" s="272"/>
    </row>
    <row r="41" spans="1:14" x14ac:dyDescent="0.3">
      <c r="A41" s="283" t="s">
        <v>858</v>
      </c>
      <c r="B41" s="283"/>
      <c r="C41" s="284" cm="1">
        <f t="array" ref="C41">MAX(_xlfn._xlws.FILTER($G$14:$G$32,($M$14:$M$32=1)*ISNUMBER($G$14:$G$32)))</f>
        <v>21.31</v>
      </c>
      <c r="D41" s="284" cm="1">
        <f t="array" ref="D41">MAX(_xlfn._xlws.FILTER($I$14:$I$32,($M$14:$M$32=1)*ISNUMBER($I$14:$I$32)))</f>
        <v>0.9</v>
      </c>
      <c r="E41" s="285">
        <f>IF(C41*Multiplos!$B$21+Multiplos!$B$30&gt;0,(C41*Multiplos!$B$21+Multiplos!$B$30)/Multiplos!$B$23,"NM")</f>
        <v>130.46914278333333</v>
      </c>
      <c r="F41" s="287">
        <f>IFERROR(E41/'Valuación Combinada'!$B$10-1,"NM")</f>
        <v>2.8969278011748307</v>
      </c>
      <c r="G41" s="272"/>
      <c r="H41" s="272"/>
      <c r="I41" s="272"/>
      <c r="J41" s="272"/>
      <c r="K41" s="272"/>
      <c r="L41" s="272"/>
      <c r="M41" s="272"/>
      <c r="N41" s="272"/>
    </row>
    <row r="42" spans="1:14" ht="30" customHeight="1" x14ac:dyDescent="0.3">
      <c r="A42" s="283" t="s">
        <v>1259</v>
      </c>
      <c r="B42" s="283"/>
      <c r="C42" s="284">
        <f>C40+1.5*(C40-C37)</f>
        <v>19.3475</v>
      </c>
      <c r="D42" s="284">
        <f>D40+1.5*(D40-D37)</f>
        <v>1.3499999999999999</v>
      </c>
      <c r="E42" s="285"/>
      <c r="F42" s="287"/>
      <c r="G42" s="272"/>
      <c r="H42" s="272"/>
      <c r="I42" s="272"/>
      <c r="J42" s="272"/>
      <c r="K42" s="272"/>
      <c r="L42" s="272"/>
      <c r="M42" s="272"/>
      <c r="N42" s="272"/>
    </row>
    <row r="43" spans="1:14" x14ac:dyDescent="0.3">
      <c r="A43" s="283" t="s">
        <v>1260</v>
      </c>
      <c r="B43" s="283"/>
      <c r="C43" s="284" cm="1">
        <f t="array" ref="C43">AVERAGE(_xlfn._xlws.FILTER($G$14:$G$32,($M$14:$M$32=1)*ISNUMBER($G$14:$G$32)*($G$14:$G$32&lt;=C42)))</f>
        <v>5.9899999999999993</v>
      </c>
      <c r="D43" s="284" cm="1">
        <f t="array" ref="D43">AVERAGE(_xlfn._xlws.FILTER($I$14:$I$32,($M$14:$M$32=1)*ISNUMBER($I$14:$I$32)*($I$14:$I$32&lt;=D42)))</f>
        <v>0.45875000000000005</v>
      </c>
      <c r="E43" s="285">
        <f>IF(C43*Multiplos!$B$21+Multiplos!$B$30&gt;0,(C43*Multiplos!$B$21+Multiplos!$B$30)/Multiplos!$B$23,"NM")</f>
        <v>29.945507383333325</v>
      </c>
      <c r="F43" s="287">
        <f>IFERROR(E43/'Valuación Combinada'!$B$10-1,"NM")</f>
        <v>-0.10557026931501412</v>
      </c>
      <c r="G43" s="272"/>
      <c r="H43" s="272"/>
      <c r="I43" s="272"/>
      <c r="J43" s="272"/>
      <c r="K43" s="272"/>
      <c r="L43" s="272"/>
      <c r="M43" s="272"/>
      <c r="N43" s="272"/>
    </row>
    <row r="44" spans="1:14" x14ac:dyDescent="0.3">
      <c r="A44" s="283" t="s">
        <v>1261</v>
      </c>
      <c r="B44" s="283"/>
      <c r="C44" s="286" cm="1">
        <f t="array" ref="C44">COUNT(_xlfn._xlws.FILTER($G$14:$G$32,($M$14:$M$32=1)*ISNUMBER($G$14:$G$32)))</f>
        <v>7</v>
      </c>
      <c r="D44" s="286" cm="1">
        <f t="array" ref="D44">COUNT(_xlfn._xlws.FILTER($I$14:$I$32,($M$14:$M$32=1)*ISNUMBER($I$14:$I$32)))</f>
        <v>8</v>
      </c>
      <c r="E44" s="280"/>
      <c r="F44" s="280"/>
      <c r="G44" s="272"/>
      <c r="H44" s="272"/>
      <c r="I44" s="272"/>
      <c r="J44" s="272"/>
      <c r="K44" s="272"/>
      <c r="L44" s="272"/>
      <c r="M44" s="272"/>
      <c r="N44" s="272"/>
    </row>
    <row r="45" spans="1:14" x14ac:dyDescent="0.3">
      <c r="A45" s="275"/>
      <c r="B45" s="275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</row>
    <row r="46" spans="1:14" x14ac:dyDescent="0.3">
      <c r="A46" s="294" t="s">
        <v>1262</v>
      </c>
      <c r="B46" s="275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</row>
    <row r="47" spans="1:14" x14ac:dyDescent="0.3">
      <c r="A47" s="298" t="s">
        <v>1263</v>
      </c>
      <c r="B47" s="298"/>
      <c r="C47" s="300" t="s">
        <v>1264</v>
      </c>
      <c r="D47" s="300" t="s">
        <v>1258</v>
      </c>
      <c r="E47" s="311" t="s">
        <v>652</v>
      </c>
      <c r="F47" s="312"/>
      <c r="G47" s="312"/>
      <c r="H47" s="312"/>
      <c r="I47" s="312"/>
      <c r="J47" s="312"/>
      <c r="K47" s="312"/>
      <c r="L47" s="312"/>
      <c r="M47" s="312"/>
      <c r="N47" s="313"/>
    </row>
    <row r="48" spans="1:14" ht="30" customHeight="1" x14ac:dyDescent="0.3">
      <c r="A48" s="288" t="s">
        <v>1265</v>
      </c>
      <c r="B48" s="288"/>
      <c r="C48" s="289">
        <f>'Valuación Combinada'!B4</f>
        <v>31.616890144521637</v>
      </c>
      <c r="D48" s="290">
        <f>C48/$C$56-1</f>
        <v>-5.5648442517274743E-2</v>
      </c>
      <c r="E48" s="291" t="s">
        <v>1266</v>
      </c>
      <c r="F48" s="291"/>
      <c r="G48" s="291"/>
      <c r="H48" s="291"/>
      <c r="I48" s="291"/>
      <c r="J48" s="291"/>
      <c r="K48" s="291"/>
      <c r="L48" s="291"/>
      <c r="M48" s="291"/>
      <c r="N48" s="291"/>
    </row>
    <row r="49" spans="1:14" ht="30" customHeight="1" x14ac:dyDescent="0.3">
      <c r="A49" s="288" t="s">
        <v>941</v>
      </c>
      <c r="B49" s="288"/>
      <c r="C49" s="289">
        <f>'Valuación Combinada'!B5</f>
        <v>33.492840854497352</v>
      </c>
      <c r="D49" s="290">
        <f>C49/$C$56-1</f>
        <v>3.835380674239719E-4</v>
      </c>
      <c r="E49" s="291" t="s">
        <v>1267</v>
      </c>
      <c r="F49" s="291"/>
      <c r="G49" s="291"/>
      <c r="H49" s="291"/>
      <c r="I49" s="291"/>
      <c r="J49" s="291"/>
      <c r="K49" s="291"/>
      <c r="L49" s="291"/>
      <c r="M49" s="291"/>
      <c r="N49" s="291"/>
    </row>
    <row r="50" spans="1:14" ht="30" customHeight="1" x14ac:dyDescent="0.3">
      <c r="A50" s="288" t="s">
        <v>1268</v>
      </c>
      <c r="B50" s="288"/>
      <c r="C50" s="289">
        <f>'Valuación Combinada'!B6</f>
        <v>40.728395166666672</v>
      </c>
      <c r="D50" s="290">
        <f>C50/$C$56-1</f>
        <v>0.21649925826364025</v>
      </c>
      <c r="E50" s="291" t="s">
        <v>1269</v>
      </c>
      <c r="F50" s="291"/>
      <c r="G50" s="291"/>
      <c r="H50" s="291"/>
      <c r="I50" s="291"/>
      <c r="J50" s="291"/>
      <c r="K50" s="291"/>
      <c r="L50" s="291"/>
      <c r="M50" s="291"/>
      <c r="N50" s="291"/>
    </row>
    <row r="51" spans="1:14" ht="30" customHeight="1" x14ac:dyDescent="0.3">
      <c r="A51" s="288" t="s">
        <v>1270</v>
      </c>
      <c r="B51" s="288"/>
      <c r="C51" s="289">
        <f>E39</f>
        <v>24.171303783333336</v>
      </c>
      <c r="D51" s="290">
        <f>C51/$C$56-1</f>
        <v>-0.27803752140581428</v>
      </c>
      <c r="E51" s="291" t="s">
        <v>1271</v>
      </c>
      <c r="F51" s="291"/>
      <c r="G51" s="291"/>
      <c r="H51" s="291"/>
      <c r="I51" s="291"/>
      <c r="J51" s="291"/>
      <c r="K51" s="291"/>
      <c r="L51" s="291"/>
      <c r="M51" s="291"/>
      <c r="N51" s="291"/>
    </row>
    <row r="52" spans="1:14" ht="30" customHeight="1" x14ac:dyDescent="0.3">
      <c r="A52" s="288" t="s">
        <v>1272</v>
      </c>
      <c r="B52" s="288"/>
      <c r="C52" s="289">
        <f>E43</f>
        <v>29.945507383333325</v>
      </c>
      <c r="D52" s="290">
        <f>C52/$C$56-1</f>
        <v>-0.10557026931501412</v>
      </c>
      <c r="E52" s="291" t="s">
        <v>1273</v>
      </c>
      <c r="F52" s="291"/>
      <c r="G52" s="291"/>
      <c r="H52" s="291"/>
      <c r="I52" s="291"/>
      <c r="J52" s="291"/>
      <c r="K52" s="291"/>
      <c r="L52" s="291"/>
      <c r="M52" s="291"/>
      <c r="N52" s="291"/>
    </row>
    <row r="53" spans="1:14" ht="30" customHeight="1" x14ac:dyDescent="0.3">
      <c r="A53" s="288" t="s">
        <v>1274</v>
      </c>
      <c r="B53" s="288"/>
      <c r="C53" s="289">
        <f>Comparativo!B18</f>
        <v>23.356999999999999</v>
      </c>
      <c r="D53" s="290">
        <f>C53/$C$56-1</f>
        <v>-0.30235961768219832</v>
      </c>
      <c r="E53" s="291" t="str">
        <f>"Expertos: "&amp;Comparativo!B19&amp;" — sesgo claramente vendedor."</f>
        <v>Expertos: Venta (0 C / 1 M / 6 V) — sesgo claramente vendedor.</v>
      </c>
      <c r="F53" s="291"/>
      <c r="G53" s="291"/>
      <c r="H53" s="291"/>
      <c r="I53" s="291"/>
      <c r="J53" s="291"/>
      <c r="K53" s="291"/>
      <c r="L53" s="291"/>
      <c r="M53" s="291"/>
      <c r="N53" s="291"/>
    </row>
    <row r="54" spans="1:14" ht="45" customHeight="1" x14ac:dyDescent="0.3">
      <c r="A54" s="304" t="s">
        <v>1275</v>
      </c>
      <c r="B54" s="304"/>
      <c r="C54" s="305">
        <f>'Valuación Combinada'!B9</f>
        <v>32.554865499509496</v>
      </c>
      <c r="D54" s="306">
        <f>C54/$C$56-1</f>
        <v>-2.7632452224925386E-2</v>
      </c>
      <c r="E54" s="291" t="s">
        <v>1276</v>
      </c>
      <c r="F54" s="291"/>
      <c r="G54" s="291"/>
      <c r="H54" s="291"/>
      <c r="I54" s="291"/>
      <c r="J54" s="291"/>
      <c r="K54" s="291"/>
      <c r="L54" s="291"/>
      <c r="M54" s="291"/>
      <c r="N54" s="291"/>
    </row>
    <row r="55" spans="1:14" ht="30" customHeight="1" x14ac:dyDescent="0.3">
      <c r="A55" s="288" t="s">
        <v>1277</v>
      </c>
      <c r="B55" s="288"/>
      <c r="C55" s="289">
        <f>AVERAGE(C48,C49,C51)</f>
        <v>29.760344927450774</v>
      </c>
      <c r="D55" s="290">
        <f>C55/$C$56-1</f>
        <v>-0.11110080861855509</v>
      </c>
      <c r="E55" s="291" t="s">
        <v>1278</v>
      </c>
      <c r="F55" s="291"/>
      <c r="G55" s="291"/>
      <c r="H55" s="291"/>
      <c r="I55" s="291"/>
      <c r="J55" s="291"/>
      <c r="K55" s="291"/>
      <c r="L55" s="291"/>
      <c r="M55" s="291"/>
      <c r="N55" s="291"/>
    </row>
    <row r="56" spans="1:14" ht="30" customHeight="1" x14ac:dyDescent="0.3">
      <c r="A56" s="288" t="s">
        <v>1279</v>
      </c>
      <c r="B56" s="288"/>
      <c r="C56" s="289">
        <f>'Valuación Combinada'!B10</f>
        <v>33.479999999999997</v>
      </c>
      <c r="D56" s="290"/>
      <c r="E56" s="291"/>
      <c r="F56" s="291"/>
      <c r="G56" s="291"/>
      <c r="H56" s="291"/>
      <c r="I56" s="291"/>
      <c r="J56" s="291"/>
      <c r="K56" s="291"/>
      <c r="L56" s="291"/>
      <c r="M56" s="291"/>
      <c r="N56" s="291"/>
    </row>
    <row r="57" spans="1:14" x14ac:dyDescent="0.3">
      <c r="A57" s="274"/>
      <c r="B57" s="274"/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</row>
    <row r="58" spans="1:14" x14ac:dyDescent="0.3">
      <c r="A58" s="295" t="s">
        <v>1280</v>
      </c>
      <c r="B58" s="274"/>
      <c r="C58" s="276"/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</row>
    <row r="59" spans="1:14" ht="30" customHeight="1" x14ac:dyDescent="0.3">
      <c r="A59" s="288" t="s">
        <v>1281</v>
      </c>
      <c r="B59" s="288"/>
      <c r="C59" s="290">
        <v>0.1</v>
      </c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</row>
    <row r="60" spans="1:14" ht="30" customHeight="1" x14ac:dyDescent="0.3">
      <c r="A60" s="288" t="s">
        <v>1282</v>
      </c>
      <c r="B60" s="288"/>
      <c r="C60" s="290">
        <v>-0.1</v>
      </c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</row>
    <row r="61" spans="1:14" ht="30" customHeight="1" x14ac:dyDescent="0.3">
      <c r="A61" s="304" t="s">
        <v>1283</v>
      </c>
      <c r="B61" s="304"/>
      <c r="C61" s="305">
        <f>C54</f>
        <v>32.554865499509496</v>
      </c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</row>
    <row r="62" spans="1:14" ht="30" customHeight="1" x14ac:dyDescent="0.3">
      <c r="A62" s="304" t="s">
        <v>1284</v>
      </c>
      <c r="B62" s="304"/>
      <c r="C62" s="306">
        <f>C61/C56-1</f>
        <v>-2.7632452224925386E-2</v>
      </c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</row>
    <row r="63" spans="1:14" ht="30" customHeight="1" x14ac:dyDescent="0.3">
      <c r="A63" s="304" t="s">
        <v>1285</v>
      </c>
      <c r="B63" s="304"/>
      <c r="C63" s="307" t="str">
        <f>IF(C62&gt;C59,"COMPRAR",IF(C62&lt;C60,"VENDER","MANTENER"))</f>
        <v>MANTENER</v>
      </c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</row>
    <row r="64" spans="1:14" ht="30" customHeight="1" x14ac:dyDescent="0.3">
      <c r="A64" s="288" t="s">
        <v>1286</v>
      </c>
      <c r="B64" s="288"/>
      <c r="C64" s="292" t="str">
        <f>Comparativo!B19</f>
        <v>Venta (0 C / 1 M / 6 V)</v>
      </c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</row>
    <row r="65" spans="1:14" ht="45" customHeight="1" x14ac:dyDescent="0.3">
      <c r="A65" s="288" t="s">
        <v>1287</v>
      </c>
      <c r="B65" s="288"/>
      <c r="C65" s="289">
        <f>MIN(C48,C49,C52)</f>
        <v>29.945507383333325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</row>
    <row r="66" spans="1:14" ht="30" customHeight="1" x14ac:dyDescent="0.3">
      <c r="A66" s="288" t="s">
        <v>1288</v>
      </c>
      <c r="B66" s="288"/>
      <c r="C66" s="289">
        <f>MAX(C48,C49,C52)</f>
        <v>33.492840854497352</v>
      </c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</row>
    <row r="67" spans="1:14" ht="30" customHeight="1" x14ac:dyDescent="0.3">
      <c r="A67" s="288" t="s">
        <v>1289</v>
      </c>
      <c r="B67" s="288"/>
      <c r="C67" s="289">
        <f>C53</f>
        <v>23.356999999999999</v>
      </c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</row>
    <row r="68" spans="1:14" x14ac:dyDescent="0.3">
      <c r="A68" s="272"/>
      <c r="B68" s="272"/>
      <c r="C68" s="272"/>
      <c r="D68" s="272"/>
      <c r="E68" s="272"/>
      <c r="F68" s="272"/>
      <c r="G68" s="272"/>
      <c r="H68" s="272"/>
      <c r="I68" s="272"/>
      <c r="J68" s="272"/>
      <c r="K68" s="272"/>
      <c r="L68" s="272"/>
      <c r="M68" s="272"/>
      <c r="N68" s="272"/>
    </row>
    <row r="69" spans="1:14" x14ac:dyDescent="0.3">
      <c r="A69" s="294"/>
      <c r="B69" s="272"/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</row>
    <row r="70" spans="1:14" ht="30" customHeight="1" x14ac:dyDescent="0.3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</row>
    <row r="71" spans="1:14" x14ac:dyDescent="0.3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</row>
    <row r="72" spans="1:14" x14ac:dyDescent="0.3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</row>
    <row r="73" spans="1:14" x14ac:dyDescent="0.3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</row>
    <row r="74" spans="1:14" x14ac:dyDescent="0.3">
      <c r="A74" s="309"/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</row>
  </sheetData>
  <mergeCells count="56">
    <mergeCell ref="A70:N70"/>
    <mergeCell ref="A71:N71"/>
    <mergeCell ref="A72:N72"/>
    <mergeCell ref="A73:N73"/>
    <mergeCell ref="A74:N74"/>
    <mergeCell ref="E47:N47"/>
    <mergeCell ref="A41:B41"/>
    <mergeCell ref="A42:B42"/>
    <mergeCell ref="A43:B43"/>
    <mergeCell ref="A44:B44"/>
    <mergeCell ref="A47:B47"/>
    <mergeCell ref="A35:B35"/>
    <mergeCell ref="A63:B63"/>
    <mergeCell ref="A64:B64"/>
    <mergeCell ref="A65:B65"/>
    <mergeCell ref="A66:B66"/>
    <mergeCell ref="A67:B67"/>
    <mergeCell ref="A36:B36"/>
    <mergeCell ref="A37:B37"/>
    <mergeCell ref="A38:B38"/>
    <mergeCell ref="A39:B39"/>
    <mergeCell ref="A40:B40"/>
    <mergeCell ref="A55:B55"/>
    <mergeCell ref="A56:B56"/>
    <mergeCell ref="A59:B59"/>
    <mergeCell ref="A60:B60"/>
    <mergeCell ref="A61:B61"/>
    <mergeCell ref="A62:B62"/>
    <mergeCell ref="E54:N54"/>
    <mergeCell ref="E55:N55"/>
    <mergeCell ref="E56:N56"/>
    <mergeCell ref="A48:B48"/>
    <mergeCell ref="A49:B49"/>
    <mergeCell ref="A50:B50"/>
    <mergeCell ref="A51:B51"/>
    <mergeCell ref="A52:B52"/>
    <mergeCell ref="A53:B53"/>
    <mergeCell ref="A54:B54"/>
    <mergeCell ref="E48:N48"/>
    <mergeCell ref="E49:N49"/>
    <mergeCell ref="E50:N50"/>
    <mergeCell ref="E51:N51"/>
    <mergeCell ref="E52:N52"/>
    <mergeCell ref="E53:N53"/>
    <mergeCell ref="B8:E8"/>
    <mergeCell ref="F8:N8"/>
    <mergeCell ref="B9:E9"/>
    <mergeCell ref="F9:N9"/>
    <mergeCell ref="B10:E10"/>
    <mergeCell ref="F10:N10"/>
    <mergeCell ref="B5:E5"/>
    <mergeCell ref="F5:N5"/>
    <mergeCell ref="B6:E6"/>
    <mergeCell ref="F6:N6"/>
    <mergeCell ref="B7:E7"/>
    <mergeCell ref="F7:N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3"/>
  <sheetViews>
    <sheetView zoomScaleNormal="100" workbookViewId="0"/>
  </sheetViews>
  <sheetFormatPr baseColWidth="10" defaultColWidth="8.6640625" defaultRowHeight="14.4" x14ac:dyDescent="0.3"/>
  <cols>
    <col min="1" max="1" width="52" customWidth="1"/>
    <col min="2" max="8" width="16" customWidth="1"/>
    <col min="9" max="9" width="60" customWidth="1"/>
  </cols>
  <sheetData>
    <row r="1" spans="1:9" ht="17.399999999999999" x14ac:dyDescent="0.3">
      <c r="A1" s="119" t="s">
        <v>958</v>
      </c>
    </row>
    <row r="2" spans="1:9" x14ac:dyDescent="0.3">
      <c r="A2" s="120" t="s">
        <v>959</v>
      </c>
    </row>
    <row r="3" spans="1:9" x14ac:dyDescent="0.3">
      <c r="A3" s="120" t="s">
        <v>960</v>
      </c>
    </row>
    <row r="5" spans="1:9" x14ac:dyDescent="0.3">
      <c r="A5" s="121" t="s">
        <v>961</v>
      </c>
      <c r="B5" s="122"/>
      <c r="C5" s="122"/>
      <c r="D5" s="122"/>
      <c r="E5" s="122"/>
      <c r="F5" s="122"/>
      <c r="G5" s="122"/>
      <c r="H5" s="122"/>
      <c r="I5" s="122"/>
    </row>
    <row r="6" spans="1:9" ht="27.6" x14ac:dyDescent="0.3">
      <c r="A6" s="124" t="s">
        <v>962</v>
      </c>
      <c r="B6" s="124" t="s">
        <v>963</v>
      </c>
      <c r="C6" s="124" t="s">
        <v>964</v>
      </c>
      <c r="D6" s="124" t="s">
        <v>1139</v>
      </c>
      <c r="E6" s="124" t="s">
        <v>670</v>
      </c>
      <c r="F6" s="124" t="s">
        <v>965</v>
      </c>
      <c r="G6" s="124" t="s">
        <v>676</v>
      </c>
      <c r="H6" s="124" t="s">
        <v>966</v>
      </c>
      <c r="I6" s="124" t="s">
        <v>967</v>
      </c>
    </row>
    <row r="7" spans="1:9" ht="57.6" x14ac:dyDescent="0.3">
      <c r="A7" t="s">
        <v>968</v>
      </c>
      <c r="B7" t="s">
        <v>969</v>
      </c>
      <c r="C7" s="135">
        <v>3.9300000000000002E-2</v>
      </c>
      <c r="D7" s="135">
        <v>3.9300000000000002E-2</v>
      </c>
      <c r="E7" s="135">
        <v>3.2599999999999997E-2</v>
      </c>
      <c r="F7" s="135">
        <v>3.5099999999999999E-2</v>
      </c>
      <c r="G7" s="135">
        <v>0.04</v>
      </c>
      <c r="H7" s="135">
        <v>3.5099999999999999E-2</v>
      </c>
      <c r="I7" s="1" t="s">
        <v>970</v>
      </c>
    </row>
    <row r="8" spans="1:9" x14ac:dyDescent="0.3">
      <c r="A8" t="s">
        <v>971</v>
      </c>
      <c r="B8" s="250" t="s">
        <v>1146</v>
      </c>
      <c r="C8" s="131">
        <v>0.8</v>
      </c>
      <c r="D8" s="131">
        <v>0.69</v>
      </c>
      <c r="E8" s="131">
        <v>0.69</v>
      </c>
      <c r="F8" s="131">
        <v>0.69</v>
      </c>
      <c r="G8" s="131">
        <v>0.69</v>
      </c>
      <c r="H8" s="131">
        <v>0.8</v>
      </c>
    </row>
    <row r="9" spans="1:9" x14ac:dyDescent="0.3">
      <c r="A9" t="s">
        <v>972</v>
      </c>
      <c r="B9" t="s">
        <v>973</v>
      </c>
      <c r="C9" s="137">
        <v>30.931885693122599</v>
      </c>
      <c r="D9" s="137">
        <v>32.0220208160166</v>
      </c>
      <c r="E9" s="137">
        <v>31.277349037146799</v>
      </c>
      <c r="F9" s="137">
        <v>31.616890144521602</v>
      </c>
      <c r="G9" s="137">
        <v>32.289933097456</v>
      </c>
      <c r="H9" s="137">
        <v>30.539247387966402</v>
      </c>
    </row>
    <row r="10" spans="1:9" x14ac:dyDescent="0.3">
      <c r="A10" t="s">
        <v>747</v>
      </c>
      <c r="B10" t="s">
        <v>974</v>
      </c>
      <c r="C10" s="136">
        <v>55677.394247620599</v>
      </c>
      <c r="D10" s="136">
        <v>57639.637468829897</v>
      </c>
      <c r="E10" s="136">
        <v>56299.228266864302</v>
      </c>
      <c r="F10" s="136">
        <v>56910.402260138901</v>
      </c>
      <c r="G10" s="136">
        <v>58121.879575420797</v>
      </c>
      <c r="H10" s="136">
        <v>54970.645298339601</v>
      </c>
    </row>
    <row r="11" spans="1:9" x14ac:dyDescent="0.3">
      <c r="A11" t="s">
        <v>746</v>
      </c>
      <c r="B11" t="s">
        <v>975</v>
      </c>
      <c r="C11" s="136">
        <v>65877.120351479403</v>
      </c>
      <c r="D11" s="136">
        <v>67866.546878381996</v>
      </c>
      <c r="E11" s="136">
        <v>66638.460273568198</v>
      </c>
      <c r="F11" s="136">
        <v>67198.428975148796</v>
      </c>
      <c r="G11" s="136">
        <v>68308.395236178505</v>
      </c>
      <c r="H11" s="136">
        <v>65231.572638484002</v>
      </c>
    </row>
    <row r="12" spans="1:9" x14ac:dyDescent="0.3">
      <c r="A12" t="s">
        <v>743</v>
      </c>
      <c r="B12" t="s">
        <v>976</v>
      </c>
      <c r="C12" s="138">
        <v>0.11770326405593701</v>
      </c>
      <c r="D12" s="138">
        <v>0.113920331531273</v>
      </c>
      <c r="E12" s="138">
        <v>0.11376697732583101</v>
      </c>
      <c r="F12" s="138">
        <v>0.11383702657870499</v>
      </c>
      <c r="G12" s="138">
        <v>0.113973014161891</v>
      </c>
      <c r="H12" s="138">
        <v>0.11761434707445199</v>
      </c>
    </row>
    <row r="13" spans="1:9" x14ac:dyDescent="0.3">
      <c r="A13" t="s">
        <v>742</v>
      </c>
      <c r="B13" t="s">
        <v>977</v>
      </c>
      <c r="C13" s="138">
        <v>0.14016265526205099</v>
      </c>
      <c r="D13" s="138">
        <v>0.13343472201868001</v>
      </c>
      <c r="E13" s="138">
        <v>0.13362863941191599</v>
      </c>
      <c r="F13" s="138">
        <v>0.13353974641685801</v>
      </c>
      <c r="G13" s="138">
        <v>0.13336868751459299</v>
      </c>
      <c r="H13" s="138">
        <v>0.140292132857991</v>
      </c>
    </row>
    <row r="14" spans="1:9" x14ac:dyDescent="0.3">
      <c r="A14" t="s">
        <v>741</v>
      </c>
      <c r="B14" t="s">
        <v>978</v>
      </c>
      <c r="C14" s="128">
        <v>1.06365615276715</v>
      </c>
      <c r="D14" s="128">
        <v>0.90460335741561304</v>
      </c>
      <c r="E14" s="128">
        <v>0.90918769295308999</v>
      </c>
      <c r="F14" s="128">
        <v>0.90708620370822202</v>
      </c>
      <c r="G14" s="128">
        <v>0.90304225802819205</v>
      </c>
      <c r="H14" s="128">
        <v>1.0667170888413899</v>
      </c>
    </row>
    <row r="15" spans="1:9" x14ac:dyDescent="0.3">
      <c r="A15" t="s">
        <v>744</v>
      </c>
      <c r="B15" t="s">
        <v>979</v>
      </c>
      <c r="C15" s="138">
        <v>0.125008009155719</v>
      </c>
      <c r="D15" s="138">
        <v>0.120748041823037</v>
      </c>
      <c r="E15" s="138">
        <v>0.120748041823037</v>
      </c>
      <c r="F15" s="138">
        <v>0.120748041823037</v>
      </c>
      <c r="G15" s="138">
        <v>0.120748041823037</v>
      </c>
      <c r="H15" s="138">
        <v>0.125008009155719</v>
      </c>
    </row>
    <row r="16" spans="1:9" x14ac:dyDescent="0.3">
      <c r="A16" t="s">
        <v>745</v>
      </c>
      <c r="B16" t="s">
        <v>980</v>
      </c>
      <c r="C16" s="138">
        <v>0.13829353882915199</v>
      </c>
      <c r="D16" s="138">
        <v>0.132364052240143</v>
      </c>
      <c r="E16" s="138">
        <v>0.132364052240143</v>
      </c>
      <c r="F16" s="138">
        <v>0.132364052240143</v>
      </c>
      <c r="G16" s="138">
        <v>0.132364052240143</v>
      </c>
      <c r="H16" s="138">
        <v>0.13829353882915199</v>
      </c>
    </row>
    <row r="17" spans="1:9" x14ac:dyDescent="0.3">
      <c r="A17" t="s">
        <v>981</v>
      </c>
      <c r="B17" t="s">
        <v>982</v>
      </c>
      <c r="C17" s="136">
        <v>6784.7071238708704</v>
      </c>
      <c r="D17" s="136">
        <v>6784.7071238708704</v>
      </c>
      <c r="E17" s="136">
        <v>6636.2417603571603</v>
      </c>
      <c r="F17" s="136">
        <v>6704.4432160234801</v>
      </c>
      <c r="G17" s="136">
        <v>6839.7173119393601</v>
      </c>
      <c r="H17" s="136">
        <v>6704.4432160234801</v>
      </c>
    </row>
    <row r="18" spans="1:9" x14ac:dyDescent="0.3">
      <c r="A18" t="s">
        <v>983</v>
      </c>
      <c r="B18" t="s">
        <v>984</v>
      </c>
      <c r="C18" s="136">
        <v>195901.272736332</v>
      </c>
      <c r="D18" s="136">
        <v>195901.272736332</v>
      </c>
      <c r="E18" s="136">
        <v>191128.83392663801</v>
      </c>
      <c r="F18" s="136">
        <v>193343.68292540999</v>
      </c>
      <c r="G18" s="136">
        <v>197744.18777472401</v>
      </c>
      <c r="H18" s="136">
        <v>193343.68292540999</v>
      </c>
    </row>
    <row r="19" spans="1:9" x14ac:dyDescent="0.3">
      <c r="A19" t="s">
        <v>749</v>
      </c>
      <c r="B19" s="250" t="s">
        <v>1147</v>
      </c>
      <c r="C19" s="137">
        <v>32.212363273809999</v>
      </c>
      <c r="D19" s="137">
        <v>32.757430835256997</v>
      </c>
      <c r="E19" s="137">
        <v>32.385094945822097</v>
      </c>
      <c r="F19" s="137">
        <v>32.554865499509503</v>
      </c>
      <c r="G19" s="137">
        <v>32.891386975976701</v>
      </c>
      <c r="H19" s="137">
        <v>32.0160441212319</v>
      </c>
    </row>
    <row r="21" spans="1:9" x14ac:dyDescent="0.3">
      <c r="A21" s="121" t="s">
        <v>985</v>
      </c>
      <c r="B21" s="122"/>
      <c r="C21" s="122"/>
      <c r="D21" s="122"/>
      <c r="E21" s="122"/>
      <c r="F21" s="122"/>
      <c r="G21" s="122"/>
      <c r="H21" s="122"/>
      <c r="I21" s="122"/>
    </row>
    <row r="22" spans="1:9" ht="41.4" x14ac:dyDescent="0.3">
      <c r="A22" s="124" t="s">
        <v>986</v>
      </c>
      <c r="B22" s="124" t="s">
        <v>987</v>
      </c>
      <c r="C22" s="124" t="s">
        <v>988</v>
      </c>
      <c r="D22" s="124" t="s">
        <v>755</v>
      </c>
      <c r="E22" s="124" t="s">
        <v>989</v>
      </c>
      <c r="F22" s="124"/>
      <c r="G22" s="124" t="s">
        <v>837</v>
      </c>
      <c r="H22" s="124" t="s">
        <v>990</v>
      </c>
    </row>
    <row r="23" spans="1:9" ht="28.8" x14ac:dyDescent="0.3">
      <c r="A23" t="s">
        <v>991</v>
      </c>
      <c r="B23" s="126">
        <f>SUMPRODUCT(ABS('Proyección Final Soriana'!B97:G97))</f>
        <v>0</v>
      </c>
      <c r="C23" s="126">
        <v>0</v>
      </c>
      <c r="D23" s="139">
        <f>IF(AND(ISNUMBER(B23),ISNUMBER(C23)),B23-C23,"n/a")</f>
        <v>0</v>
      </c>
      <c r="E23">
        <v>0.5</v>
      </c>
      <c r="G23" s="123" t="str">
        <f>IF(ISNUMBER(D23),IF(ABS(D23)&lt;=E23,"PASS","FAIL"),"FAIL")</f>
        <v>PASS</v>
      </c>
      <c r="H23" s="1" t="s">
        <v>992</v>
      </c>
    </row>
    <row r="24" spans="1:9" ht="43.2" x14ac:dyDescent="0.3">
      <c r="A24" t="s">
        <v>993</v>
      </c>
      <c r="B24" s="126">
        <f>'Proyección Final Soriana'!B126-'Proyección Final Soriana'!B123</f>
        <v>7.8837026578705435E-2</v>
      </c>
      <c r="C24" s="126" t="s">
        <v>994</v>
      </c>
      <c r="G24" s="123" t="str">
        <f>IF(B24&gt;0,"PASS","FAIL")</f>
        <v>PASS</v>
      </c>
      <c r="H24" s="1" t="s">
        <v>995</v>
      </c>
    </row>
    <row r="25" spans="1:9" ht="28.8" x14ac:dyDescent="0.3">
      <c r="A25" t="s">
        <v>996</v>
      </c>
      <c r="B25" s="126">
        <f>ABS('Proyección Final Soriana'!G219-'Proyección Final Soriana'!G218)</f>
        <v>1.4251333144144063E-7</v>
      </c>
      <c r="C25" s="126">
        <v>0</v>
      </c>
      <c r="D25" s="139">
        <f t="shared" ref="D25:D61" si="0">IF(AND(ISNUMBER(B25),ISNUMBER(C25)),B25-C25,"n/a")</f>
        <v>1.4251333144144063E-7</v>
      </c>
      <c r="E25">
        <v>9.9999999999999995E-7</v>
      </c>
      <c r="G25" s="123" t="str">
        <f t="shared" ref="G25:G61" si="1">IF(ISNUMBER(D25),IF(ABS(D25)&lt;=E25,"PASS","FAIL"),"FAIL")</f>
        <v>PASS</v>
      </c>
      <c r="H25" s="1" t="s">
        <v>997</v>
      </c>
    </row>
    <row r="26" spans="1:9" ht="28.8" x14ac:dyDescent="0.3">
      <c r="A26" t="s">
        <v>998</v>
      </c>
      <c r="B26" s="126">
        <f>'Proyección Final Soriana'!B134</f>
        <v>22451.015151155476</v>
      </c>
      <c r="C26" s="126">
        <f>SUMPRODUCT('Proyección Final Soriana'!C117:G117,'Proyección Final Soriana'!C119:G119)</f>
        <v>22451.015151155476</v>
      </c>
      <c r="D26" s="139">
        <f t="shared" si="0"/>
        <v>0</v>
      </c>
      <c r="E26">
        <v>9.9999999999999995E-7</v>
      </c>
      <c r="G26" s="123" t="str">
        <f t="shared" si="1"/>
        <v>PASS</v>
      </c>
      <c r="H26" s="1" t="s">
        <v>999</v>
      </c>
    </row>
    <row r="27" spans="1:9" ht="28.8" x14ac:dyDescent="0.3">
      <c r="A27" t="s">
        <v>1000</v>
      </c>
      <c r="B27" s="126">
        <f>'Proyección Final Soriana'!G119</f>
        <v>0.58329969071107923</v>
      </c>
      <c r="C27" s="126">
        <f>1/(1+'Proyección Final Soriana'!B126)^5</f>
        <v>0.58329969071107923</v>
      </c>
      <c r="D27" s="139">
        <f t="shared" si="0"/>
        <v>0</v>
      </c>
      <c r="E27">
        <v>9.9999999999999998E-13</v>
      </c>
      <c r="G27" s="123" t="str">
        <f t="shared" si="1"/>
        <v>PASS</v>
      </c>
      <c r="H27" s="1" t="s">
        <v>1001</v>
      </c>
    </row>
    <row r="28" spans="1:9" x14ac:dyDescent="0.3">
      <c r="A28" t="s">
        <v>1145</v>
      </c>
      <c r="B28" s="126">
        <f>'Proyección Final Soriana'!B129</f>
        <v>76153.117274677832</v>
      </c>
      <c r="C28" s="126">
        <f>('Proyección Final Soriana'!G73*(1-'Proyección Final Soriana'!G55)+'Proyección Final Soriana'!G116)*(1+'Proyección Final Soriana'!B123)/('Proyección Final Soriana'!B126-'Proyección Final Soriana'!B123)</f>
        <v>76153.117274677847</v>
      </c>
      <c r="D28" s="139">
        <f t="shared" si="0"/>
        <v>-1.4551915228366852E-11</v>
      </c>
      <c r="E28">
        <v>9.9999999999999995E-7</v>
      </c>
      <c r="G28" s="123" t="str">
        <f t="shared" si="1"/>
        <v>PASS</v>
      </c>
      <c r="H28" s="1" t="s">
        <v>1002</v>
      </c>
    </row>
    <row r="29" spans="1:9" ht="28.8" x14ac:dyDescent="0.3">
      <c r="A29" t="s">
        <v>1003</v>
      </c>
      <c r="B29" s="126">
        <f>'Proyección Final Soriana'!G117</f>
        <v>6704.4432160234819</v>
      </c>
      <c r="C29" s="126">
        <f>'Proyección Final Soriana'!G73*(1-'Proyección Final Soriana'!G55)-'Proyección Final Soriana'!G72+'Proyección Final Soriana'!G104+('Proyección Final Soriana'!G102+'Proyección Final Soriana'!G103+'Proyección Final Soriana'!G105)</f>
        <v>6704.4432160234837</v>
      </c>
      <c r="D29" s="139">
        <f t="shared" si="0"/>
        <v>-1.8189894035458565E-12</v>
      </c>
      <c r="E29">
        <v>9.9999999999999995E-7</v>
      </c>
      <c r="G29" s="123" t="str">
        <f t="shared" si="1"/>
        <v>PASS</v>
      </c>
      <c r="H29" s="1" t="s">
        <v>1004</v>
      </c>
    </row>
    <row r="30" spans="1:9" ht="28.8" x14ac:dyDescent="0.3">
      <c r="A30" t="s">
        <v>1005</v>
      </c>
      <c r="B30" s="126">
        <f>'Proyección Final Soriana'!B262</f>
        <v>55135.491948614443</v>
      </c>
      <c r="C30" s="126">
        <f>'Proyección Final Soriana'!B258-(Datos!F25+Datos!F26)-(Datos!F27+Datos!F28)+Datos!F17</f>
        <v>55135.491948614443</v>
      </c>
      <c r="D30" s="139">
        <f t="shared" si="0"/>
        <v>0</v>
      </c>
      <c r="E30">
        <v>9.9999999999999995E-7</v>
      </c>
      <c r="G30" s="123" t="str">
        <f t="shared" si="1"/>
        <v>PASS</v>
      </c>
      <c r="H30" s="1" t="s">
        <v>1006</v>
      </c>
    </row>
    <row r="31" spans="1:9" ht="57.6" x14ac:dyDescent="0.3">
      <c r="A31" t="s">
        <v>1007</v>
      </c>
      <c r="B31" s="126">
        <f>'Proyección Final Soriana'!B257</f>
        <v>1060.4969999999998</v>
      </c>
      <c r="C31" s="126">
        <f>-((Datos!E15+Datos!F15)-(Datos!E16+Datos!F16))</f>
        <v>1060.4969999999998</v>
      </c>
      <c r="D31" s="139">
        <f t="shared" si="0"/>
        <v>0</v>
      </c>
      <c r="E31">
        <v>1.0000000000000001E-9</v>
      </c>
      <c r="G31" s="123" t="str">
        <f t="shared" si="1"/>
        <v>PASS</v>
      </c>
      <c r="H31" s="1" t="s">
        <v>1008</v>
      </c>
    </row>
    <row r="32" spans="1:9" x14ac:dyDescent="0.3">
      <c r="A32" t="s">
        <v>1009</v>
      </c>
      <c r="B32" s="126">
        <f>'Proyección Final Soriana'!B265</f>
        <v>31.616890144521637</v>
      </c>
      <c r="C32" s="126">
        <f>'Proyección Final Soriana'!B263/WACC!B17</f>
        <v>31.616890144521637</v>
      </c>
      <c r="D32" s="139">
        <f t="shared" si="0"/>
        <v>0</v>
      </c>
      <c r="E32">
        <v>1.0000000000000001E-9</v>
      </c>
      <c r="G32" s="123" t="str">
        <f t="shared" si="1"/>
        <v>PASS</v>
      </c>
      <c r="H32" s="1" t="s">
        <v>1010</v>
      </c>
    </row>
    <row r="33" spans="1:8" ht="72" x14ac:dyDescent="0.3">
      <c r="A33" t="s">
        <v>1011</v>
      </c>
      <c r="B33" s="126">
        <f>'Proyección Final Soriana'!B265</f>
        <v>31.616890144521637</v>
      </c>
      <c r="C33" s="126">
        <f>IF(AND(Inflación!$E$6=0,'Beta y Kd'!$B$18=0),C9,IF(AND(Inflación!$E$6=0,'Beta y Kd'!$B$18=1),D9,IF(AND(Inflación!$E$6=1,'Beta y Kd'!$B$18=1),E9,IF(AND(Inflación!$E$6=2,'Beta y Kd'!$B$18=1),F9,IF(AND(Inflación!$E$6=3,'Beta y Kd'!$B$18=1),G9,IF(AND(Inflación!$E$6=2,'Beta y Kd'!$B$18=0),H9,"sin registro"))))))</f>
        <v>31.616890144521602</v>
      </c>
      <c r="D33" s="139">
        <f t="shared" si="0"/>
        <v>3.5527136788005009E-14</v>
      </c>
      <c r="E33">
        <v>9.9999999999999995E-7</v>
      </c>
      <c r="G33" s="123" t="str">
        <f t="shared" si="1"/>
        <v>PASS</v>
      </c>
      <c r="H33" s="1" t="s">
        <v>1012</v>
      </c>
    </row>
    <row r="34" spans="1:8" ht="100.8" x14ac:dyDescent="0.3">
      <c r="A34" t="s">
        <v>1148</v>
      </c>
      <c r="B34" s="126">
        <f>C9</f>
        <v>30.931885693122599</v>
      </c>
      <c r="C34" s="126">
        <v>30.931885693122599</v>
      </c>
      <c r="D34" s="139">
        <f t="shared" si="0"/>
        <v>0</v>
      </c>
      <c r="E34">
        <v>9.9999999999999995E-7</v>
      </c>
      <c r="G34" s="123" t="str">
        <f t="shared" si="1"/>
        <v>PASS</v>
      </c>
      <c r="H34" s="1" t="s">
        <v>1013</v>
      </c>
    </row>
    <row r="35" spans="1:8" ht="100.8" x14ac:dyDescent="0.3">
      <c r="A35" t="s">
        <v>1014</v>
      </c>
      <c r="B35" s="126">
        <f>IF(AND(E9&lt;F9,F9&lt;G9),1,0)</f>
        <v>1</v>
      </c>
      <c r="C35" s="126">
        <v>1</v>
      </c>
      <c r="D35" s="139">
        <f t="shared" si="0"/>
        <v>0</v>
      </c>
      <c r="E35">
        <v>0</v>
      </c>
      <c r="G35" s="123" t="str">
        <f t="shared" si="1"/>
        <v>PASS</v>
      </c>
      <c r="H35" s="1" t="s">
        <v>1015</v>
      </c>
    </row>
    <row r="36" spans="1:8" ht="43.2" x14ac:dyDescent="0.3">
      <c r="A36" t="s">
        <v>1016</v>
      </c>
      <c r="B36" s="126">
        <f>'Beta y Kd'!B14</f>
        <v>0.64780367599248811</v>
      </c>
      <c r="C36" s="126">
        <f>'Beta y Kd'!B11</f>
        <v>0.65</v>
      </c>
      <c r="D36" s="139">
        <f t="shared" si="0"/>
        <v>-2.1963240075119073E-3</v>
      </c>
      <c r="E36">
        <v>5.0000000000000001E-3</v>
      </c>
      <c r="G36" s="123" t="str">
        <f t="shared" si="1"/>
        <v>PASS</v>
      </c>
      <c r="H36" s="1" t="s">
        <v>1017</v>
      </c>
    </row>
    <row r="37" spans="1:8" ht="28.8" x14ac:dyDescent="0.3">
      <c r="A37" t="s">
        <v>1138</v>
      </c>
      <c r="B37" s="126">
        <f>'Beta y Kd'!B19</f>
        <v>0.69</v>
      </c>
      <c r="C37" s="126">
        <f>IF('Beta y Kd'!$B$18=1,'Beta y Kd'!B13,'Beta y Kd'!B17)</f>
        <v>0.69</v>
      </c>
      <c r="D37" s="139">
        <f t="shared" si="0"/>
        <v>0</v>
      </c>
      <c r="E37">
        <v>0</v>
      </c>
      <c r="G37" s="123" t="str">
        <f t="shared" si="1"/>
        <v>PASS</v>
      </c>
      <c r="H37" s="1" t="s">
        <v>1018</v>
      </c>
    </row>
    <row r="38" spans="1:8" ht="57.6" x14ac:dyDescent="0.3">
      <c r="A38" t="s">
        <v>1019</v>
      </c>
      <c r="B38" s="126">
        <f>WACC!B28</f>
        <v>0.87929201513341293</v>
      </c>
      <c r="C38" s="126">
        <f>WACC!B9*(1+(1-WACC!B10)*WACC!B23)</f>
        <v>0.87929201513341293</v>
      </c>
      <c r="D38" s="139">
        <f t="shared" si="0"/>
        <v>0</v>
      </c>
      <c r="E38">
        <v>9.9999999999999998E-13</v>
      </c>
      <c r="G38" s="123" t="str">
        <f t="shared" si="1"/>
        <v>PASS</v>
      </c>
      <c r="H38" s="1" t="s">
        <v>1020</v>
      </c>
    </row>
    <row r="39" spans="1:8" ht="57.6" x14ac:dyDescent="0.3">
      <c r="A39" t="s">
        <v>1021</v>
      </c>
      <c r="B39" s="126">
        <f>'Proyección Final Soriana'!E219</f>
        <v>0.90708620370822191</v>
      </c>
      <c r="C39" s="126">
        <f>'Proyección Final Soriana'!B212*(1+(1-'Proyección Final Soriana'!B207)*'Proyección Final Soriana'!B209/'Proyección Final Soriana'!C219)</f>
        <v>0.90708620370822191</v>
      </c>
      <c r="D39" s="139">
        <f t="shared" si="0"/>
        <v>0</v>
      </c>
      <c r="E39">
        <v>9.9999999999999998E-13</v>
      </c>
      <c r="G39" s="123" t="str">
        <f t="shared" si="1"/>
        <v>PASS</v>
      </c>
      <c r="H39" s="1" t="s">
        <v>1022</v>
      </c>
    </row>
    <row r="40" spans="1:8" x14ac:dyDescent="0.3">
      <c r="A40" t="s">
        <v>1023</v>
      </c>
      <c r="B40" s="126">
        <f>'Proyección Final Soriana'!F219</f>
        <v>0.13353974641685779</v>
      </c>
      <c r="C40" s="126">
        <f>'Proyección Final Soriana'!B210+'Proyección Final Soriana'!E219*'Proyección Final Soriana'!B211</f>
        <v>0.13353974641685779</v>
      </c>
      <c r="D40" s="139">
        <f t="shared" si="0"/>
        <v>0</v>
      </c>
      <c r="E40">
        <v>9.9999999999999998E-13</v>
      </c>
      <c r="G40" s="123" t="str">
        <f t="shared" si="1"/>
        <v>PASS</v>
      </c>
      <c r="H40" s="1" t="s">
        <v>1024</v>
      </c>
    </row>
    <row r="41" spans="1:8" ht="57.6" x14ac:dyDescent="0.3">
      <c r="A41" t="s">
        <v>1025</v>
      </c>
      <c r="B41" s="126">
        <f>'Proyección Final Soriana'!C61</f>
        <v>0.1</v>
      </c>
      <c r="C41" s="126">
        <f>(Datos!E10+Datos!F10)*2/Datos!F29</f>
        <v>9.8648482069668753E-2</v>
      </c>
      <c r="D41" s="139">
        <f t="shared" si="0"/>
        <v>1.351517930331253E-3</v>
      </c>
      <c r="E41">
        <v>5.0000000000000001E-3</v>
      </c>
      <c r="G41" s="123" t="str">
        <f t="shared" si="1"/>
        <v>PASS</v>
      </c>
      <c r="H41" s="1" t="s">
        <v>1026</v>
      </c>
    </row>
    <row r="42" spans="1:8" ht="43.2" x14ac:dyDescent="0.3">
      <c r="A42" t="s">
        <v>1027</v>
      </c>
      <c r="B42" s="126">
        <f>SUMPRODUCT(ABS('Proyección Final Soriana'!C10:G10-Inflación!B13:F13))</f>
        <v>0</v>
      </c>
      <c r="C42" s="126">
        <v>0</v>
      </c>
      <c r="D42" s="139">
        <f t="shared" si="0"/>
        <v>0</v>
      </c>
      <c r="E42">
        <v>9.9999999999999998E-13</v>
      </c>
      <c r="G42" s="123" t="str">
        <f t="shared" si="1"/>
        <v>PASS</v>
      </c>
      <c r="H42" s="1" t="s">
        <v>1028</v>
      </c>
    </row>
    <row r="43" spans="1:8" ht="28.8" x14ac:dyDescent="0.3">
      <c r="A43" t="s">
        <v>1029</v>
      </c>
      <c r="B43" s="126">
        <f>Inflación!B34</f>
        <v>3.5099999999999999E-2</v>
      </c>
      <c r="C43" s="126">
        <f>ROUND(Inflación!C21*EXP(Inflación!D21*5),2)/100</f>
        <v>3.5099999999999999E-2</v>
      </c>
      <c r="D43" s="139">
        <f t="shared" si="0"/>
        <v>0</v>
      </c>
      <c r="E43">
        <v>9.9999999999999998E-13</v>
      </c>
      <c r="G43" s="123" t="str">
        <f t="shared" si="1"/>
        <v>PASS</v>
      </c>
      <c r="H43" s="1" t="s">
        <v>1030</v>
      </c>
    </row>
    <row r="44" spans="1:8" ht="43.2" x14ac:dyDescent="0.3">
      <c r="A44" t="s">
        <v>1031</v>
      </c>
      <c r="B44" s="126">
        <f>Inflación!G21</f>
        <v>3.5087136397464559E-2</v>
      </c>
      <c r="C44" s="126">
        <v>3.5099999999999999E-2</v>
      </c>
      <c r="D44" s="139">
        <f t="shared" si="0"/>
        <v>-1.2863602535440055E-5</v>
      </c>
      <c r="E44">
        <v>1E-4</v>
      </c>
      <c r="G44" s="123" t="str">
        <f t="shared" si="1"/>
        <v>PASS</v>
      </c>
      <c r="H44" s="1" t="s">
        <v>1032</v>
      </c>
    </row>
    <row r="45" spans="1:8" ht="28.8" x14ac:dyDescent="0.3">
      <c r="A45" t="s">
        <v>1033</v>
      </c>
      <c r="B45" s="126">
        <f>Inflación!G20</f>
        <v>3.5040523391286132E-2</v>
      </c>
      <c r="C45" s="126">
        <v>3.50807936283421E-2</v>
      </c>
      <c r="D45" s="139">
        <f t="shared" si="0"/>
        <v>-4.0270237055967106E-5</v>
      </c>
      <c r="E45">
        <v>1E-4</v>
      </c>
      <c r="G45" s="123" t="str">
        <f t="shared" si="1"/>
        <v>PASS</v>
      </c>
      <c r="H45" s="1" t="s">
        <v>1034</v>
      </c>
    </row>
    <row r="46" spans="1:8" ht="28.8" x14ac:dyDescent="0.3">
      <c r="A46" t="s">
        <v>1035</v>
      </c>
      <c r="B46" s="126">
        <f>Inflación!G24</f>
        <v>3.2678765036436512E-2</v>
      </c>
      <c r="C46" s="126">
        <v>3.2678767111256501E-2</v>
      </c>
      <c r="D46" s="139">
        <f t="shared" si="0"/>
        <v>-2.0748199894282671E-9</v>
      </c>
      <c r="E46">
        <v>1E-8</v>
      </c>
      <c r="G46" s="123" t="str">
        <f t="shared" si="1"/>
        <v>PASS</v>
      </c>
      <c r="H46" s="1" t="s">
        <v>1036</v>
      </c>
    </row>
    <row r="47" spans="1:8" x14ac:dyDescent="0.3">
      <c r="A47" t="s">
        <v>1037</v>
      </c>
      <c r="B47" s="126">
        <f>VF_BETA_HISTORICA</f>
        <v>4.1461956610931459E-2</v>
      </c>
      <c r="C47" s="126">
        <v>4.1461956610931501E-2</v>
      </c>
      <c r="D47" s="139">
        <f t="shared" si="0"/>
        <v>-4.163336342344337E-17</v>
      </c>
      <c r="E47">
        <v>1.0000000000000001E-9</v>
      </c>
      <c r="G47" s="123" t="str">
        <f t="shared" si="1"/>
        <v>PASS</v>
      </c>
      <c r="H47" s="1" t="s">
        <v>1038</v>
      </c>
    </row>
    <row r="48" spans="1:8" ht="172.8" x14ac:dyDescent="0.3">
      <c r="A48" t="s">
        <v>1164</v>
      </c>
      <c r="B48" s="126">
        <f>COUNT(Multiplos!N5:N14)+COUNT(Multiplos!P5:P14)</f>
        <v>20</v>
      </c>
      <c r="C48" s="126">
        <v>20</v>
      </c>
      <c r="D48" s="139">
        <f>IF(AND(ISNUMBER(B48),ISNUMBER(C48)),B48-C48,"n/a")</f>
        <v>0</v>
      </c>
      <c r="E48">
        <v>0</v>
      </c>
      <c r="G48" s="123" t="str">
        <f>IF(ISNUMBER(D48),IF(ABS(D48)&lt;=E48,"PASS","FAIL"),"FAIL")</f>
        <v>PASS</v>
      </c>
      <c r="H48" s="1" t="s">
        <v>1165</v>
      </c>
    </row>
    <row r="49" spans="1:8" ht="72" x14ac:dyDescent="0.3">
      <c r="A49" t="s">
        <v>1166</v>
      </c>
      <c r="B49" s="126">
        <f>Multiplos!E60</f>
        <v>14.514285714285714</v>
      </c>
      <c r="C49" s="126">
        <f>SUMPRODUCT(Multiplos!P5:P14,Multiplos!K5:K14)/SUM(Multiplos!K5:K14)</f>
        <v>14.514285714285714</v>
      </c>
      <c r="D49" s="139">
        <f>IF(AND(ISNUMBER(B49),ISNUMBER(C49)),B49-C49,"n/a")</f>
        <v>0</v>
      </c>
      <c r="E49">
        <v>1.0000000000000001E-9</v>
      </c>
      <c r="G49" s="123" t="str">
        <f>IF(ISNUMBER(D49),IF(ABS(D49)&lt;=E49,"PASS","FAIL"),"FAIL")</f>
        <v>PASS</v>
      </c>
      <c r="H49" s="1" t="s">
        <v>1167</v>
      </c>
    </row>
    <row r="50" spans="1:8" ht="43.2" x14ac:dyDescent="0.3">
      <c r="A50" t="s">
        <v>1040</v>
      </c>
      <c r="B50" s="126">
        <f>Multiplos!C60</f>
        <v>7.0428571428571427</v>
      </c>
      <c r="C50" s="126">
        <f>SUMPRODUCT(Multiplos!N5:N14,Multiplos!K5:K14)/SUM(Multiplos!K5:K14)</f>
        <v>7.0428571428571427</v>
      </c>
      <c r="D50" s="139">
        <f t="shared" si="0"/>
        <v>0</v>
      </c>
      <c r="E50">
        <v>1.0000000000000001E-9</v>
      </c>
      <c r="G50" s="123" t="str">
        <f t="shared" si="1"/>
        <v>PASS</v>
      </c>
      <c r="H50" s="1" t="s">
        <v>1041</v>
      </c>
    </row>
    <row r="51" spans="1:8" ht="43.2" x14ac:dyDescent="0.3">
      <c r="A51" t="s">
        <v>1042</v>
      </c>
      <c r="B51" s="126">
        <f>Multiplos!H60</f>
        <v>36.853929547619046</v>
      </c>
      <c r="C51" s="126">
        <f>(Multiplos!C60*Multiplos!B21+Multiplos!B30)/Multiplos!B23</f>
        <v>36.853929547619046</v>
      </c>
      <c r="D51" s="139">
        <f t="shared" si="0"/>
        <v>0</v>
      </c>
      <c r="E51">
        <v>1.0000000000000001E-9</v>
      </c>
      <c r="G51" s="123" t="str">
        <f t="shared" si="1"/>
        <v>PASS</v>
      </c>
      <c r="H51" s="1" t="s">
        <v>1043</v>
      </c>
    </row>
    <row r="52" spans="1:8" ht="43.2" x14ac:dyDescent="0.3">
      <c r="A52" t="s">
        <v>1044</v>
      </c>
      <c r="B52" s="126">
        <f>Multiplos!D73</f>
        <v>33.492840854497352</v>
      </c>
      <c r="C52" s="126">
        <f>AVERAGE(Multiplos!H60:J60)</f>
        <v>33.492840854497352</v>
      </c>
      <c r="D52" s="139">
        <f t="shared" si="0"/>
        <v>0</v>
      </c>
      <c r="E52">
        <v>1.0000000000000001E-9</v>
      </c>
      <c r="G52" s="123" t="str">
        <f t="shared" si="1"/>
        <v>PASS</v>
      </c>
      <c r="H52" s="1" t="s">
        <v>1045</v>
      </c>
    </row>
    <row r="53" spans="1:8" ht="28.8" x14ac:dyDescent="0.3">
      <c r="A53" t="s">
        <v>1046</v>
      </c>
      <c r="B53" s="126">
        <f>Multiplos!C64</f>
        <v>7</v>
      </c>
      <c r="C53" s="126">
        <v>7</v>
      </c>
      <c r="D53" s="139">
        <f t="shared" si="0"/>
        <v>0</v>
      </c>
      <c r="E53">
        <v>0</v>
      </c>
      <c r="G53" s="123" t="str">
        <f t="shared" si="1"/>
        <v>PASS</v>
      </c>
      <c r="H53" s="1" t="s">
        <v>1047</v>
      </c>
    </row>
    <row r="54" spans="1:8" ht="28.8" x14ac:dyDescent="0.3">
      <c r="A54" t="s">
        <v>1048</v>
      </c>
      <c r="B54" s="126">
        <f>Transacciones!C30</f>
        <v>7.6333333333333337</v>
      </c>
      <c r="C54" s="126">
        <f>Transacciones!I15</f>
        <v>7.6</v>
      </c>
      <c r="D54" s="139">
        <f t="shared" si="0"/>
        <v>3.3333333333334103E-2</v>
      </c>
      <c r="E54">
        <v>5.0999999999999997E-2</v>
      </c>
      <c r="G54" s="123" t="str">
        <f t="shared" si="1"/>
        <v>PASS</v>
      </c>
      <c r="H54" s="1" t="s">
        <v>1049</v>
      </c>
    </row>
    <row r="55" spans="1:8" x14ac:dyDescent="0.3">
      <c r="A55" t="s">
        <v>1050</v>
      </c>
      <c r="B55" s="126">
        <f>Transacciones!B30</f>
        <v>0.73333333333333339</v>
      </c>
      <c r="C55" s="126">
        <f>Transacciones!H15</f>
        <v>0.7</v>
      </c>
      <c r="D55" s="139">
        <f t="shared" si="0"/>
        <v>3.3333333333333437E-2</v>
      </c>
      <c r="E55">
        <v>5.0999999999999997E-2</v>
      </c>
      <c r="G55" s="123" t="str">
        <f t="shared" si="1"/>
        <v>PASS</v>
      </c>
      <c r="H55" s="1" t="s">
        <v>1039</v>
      </c>
    </row>
    <row r="56" spans="1:8" x14ac:dyDescent="0.3">
      <c r="A56" t="s">
        <v>1051</v>
      </c>
      <c r="B56" s="126">
        <f>'Valuación Combinada'!C7</f>
        <v>1</v>
      </c>
      <c r="C56" s="126">
        <v>1</v>
      </c>
      <c r="D56" s="139">
        <f t="shared" si="0"/>
        <v>0</v>
      </c>
      <c r="E56">
        <v>9.9999999999999998E-13</v>
      </c>
      <c r="G56" s="123" t="str">
        <f t="shared" si="1"/>
        <v>PASS</v>
      </c>
      <c r="H56" s="1" t="s">
        <v>1052</v>
      </c>
    </row>
    <row r="57" spans="1:8" ht="43.2" x14ac:dyDescent="0.3">
      <c r="A57" t="s">
        <v>1053</v>
      </c>
      <c r="B57" s="126">
        <f>'Valuación Combinada'!B9</f>
        <v>32.554865499509496</v>
      </c>
      <c r="C57" s="126">
        <f>'Valuación Combinada'!B4*'Valuación Combinada'!C4+'Valuación Combinada'!B5*'Valuación Combinada'!C5+IF(ISNUMBER('Valuación Combinada'!B6),'Valuación Combinada'!B6*'Valuación Combinada'!C6,0)</f>
        <v>32.554865499509496</v>
      </c>
      <c r="D57" s="139">
        <f t="shared" si="0"/>
        <v>0</v>
      </c>
      <c r="E57">
        <v>1.0000000000000001E-9</v>
      </c>
      <c r="G57" s="123" t="str">
        <f t="shared" si="1"/>
        <v>PASS</v>
      </c>
      <c r="H57" s="1" t="s">
        <v>1054</v>
      </c>
    </row>
    <row r="58" spans="1:8" ht="43.2" x14ac:dyDescent="0.3">
      <c r="A58" t="s">
        <v>1055</v>
      </c>
      <c r="B58" s="126">
        <f>Transacciones!E30</f>
        <v>40.728395166666672</v>
      </c>
      <c r="C58" s="126">
        <f>(Transacciones!C30*Multiplos!B21+Multiplos!B30)/Multiplos!B23</f>
        <v>40.728395166666672</v>
      </c>
      <c r="D58" s="139">
        <f t="shared" si="0"/>
        <v>0</v>
      </c>
      <c r="E58">
        <v>1.0000000000000001E-9</v>
      </c>
      <c r="G58" s="123" t="str">
        <f t="shared" si="1"/>
        <v>PASS</v>
      </c>
      <c r="H58" s="1" t="s">
        <v>1056</v>
      </c>
    </row>
    <row r="59" spans="1:8" ht="28.8" x14ac:dyDescent="0.3">
      <c r="A59" t="s">
        <v>1057</v>
      </c>
      <c r="B59" s="126">
        <f>Transacciones!C41</f>
        <v>73311.111300000004</v>
      </c>
      <c r="C59" s="126">
        <f>Transacciones!C39+Multiplos!B30</f>
        <v>73311.111300000004</v>
      </c>
      <c r="D59" s="139">
        <f t="shared" si="0"/>
        <v>0</v>
      </c>
      <c r="E59">
        <v>1.0000000000000001E-9</v>
      </c>
      <c r="G59" s="123" t="str">
        <f t="shared" si="1"/>
        <v>PASS</v>
      </c>
      <c r="H59" s="1" t="s">
        <v>1058</v>
      </c>
    </row>
    <row r="60" spans="1:8" ht="28.8" x14ac:dyDescent="0.3">
      <c r="A60" t="s">
        <v>1059</v>
      </c>
      <c r="B60" s="126">
        <f>Multiplos!C69</f>
        <v>66337.073185714282</v>
      </c>
      <c r="C60" s="126">
        <f>Multiplos!C68+Multiplos!B30</f>
        <v>66337.073185714282</v>
      </c>
      <c r="D60" s="139">
        <f t="shared" si="0"/>
        <v>0</v>
      </c>
      <c r="E60">
        <v>1.0000000000000001E-9</v>
      </c>
      <c r="G60" s="123" t="str">
        <f t="shared" si="1"/>
        <v>PASS</v>
      </c>
      <c r="H60" s="1" t="s">
        <v>1058</v>
      </c>
    </row>
    <row r="61" spans="1:8" ht="28.8" x14ac:dyDescent="0.3">
      <c r="A61" t="s">
        <v>1060</v>
      </c>
      <c r="B61" s="126">
        <f>'Valuación Combinada'!C6</f>
        <v>0</v>
      </c>
      <c r="C61" s="126">
        <v>0</v>
      </c>
      <c r="D61" s="139">
        <f t="shared" si="0"/>
        <v>0</v>
      </c>
      <c r="E61">
        <v>0</v>
      </c>
      <c r="G61" s="123" t="str">
        <f t="shared" si="1"/>
        <v>PASS</v>
      </c>
      <c r="H61" s="1" t="s">
        <v>1061</v>
      </c>
    </row>
    <row r="62" spans="1:8" ht="201.6" x14ac:dyDescent="0.3">
      <c r="A62" t="s">
        <v>1168</v>
      </c>
      <c r="B62" s="254">
        <f>Multiplos!C60</f>
        <v>7.0428571428571427</v>
      </c>
      <c r="C62" s="254">
        <v>8.3000000000000007</v>
      </c>
      <c r="D62" s="253">
        <f>B62/C62-1</f>
        <v>-0.15146299483648895</v>
      </c>
      <c r="G62" s="123" t="str">
        <f>IF(ABS(D62)&lt;=0.25,"RAZONABLE","REVISAR")</f>
        <v>RAZONABLE</v>
      </c>
      <c r="H62" s="1" t="s">
        <v>1169</v>
      </c>
    </row>
    <row r="63" spans="1:8" ht="100.8" x14ac:dyDescent="0.3">
      <c r="A63" s="123" t="s">
        <v>1062</v>
      </c>
      <c r="B63" s="123" t="str">
        <f>COUNTIF(G23:G61,"PASS")&amp;" PASS de "&amp;COUNTA(A23:A61)</f>
        <v>39 PASS de 39</v>
      </c>
      <c r="H63" s="1" t="s">
        <v>1170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"/>
  <sheetViews>
    <sheetView zoomScale="115" zoomScaleNormal="100" workbookViewId="0"/>
  </sheetViews>
  <sheetFormatPr baseColWidth="10" defaultColWidth="8.6640625" defaultRowHeight="14.4" x14ac:dyDescent="0.3"/>
  <cols>
    <col min="1" max="1" width="36" customWidth="1"/>
    <col min="2" max="2" width="30" customWidth="1"/>
    <col min="3" max="3" width="16" customWidth="1"/>
    <col min="4" max="5" width="14" customWidth="1"/>
    <col min="6" max="6" width="12" customWidth="1"/>
    <col min="7" max="7" width="70" customWidth="1"/>
  </cols>
  <sheetData>
    <row r="1" spans="1:7" ht="17.399999999999999" x14ac:dyDescent="0.3">
      <c r="A1" s="119" t="s">
        <v>1063</v>
      </c>
    </row>
    <row r="2" spans="1:7" x14ac:dyDescent="0.3">
      <c r="A2" s="120" t="s">
        <v>1064</v>
      </c>
    </row>
    <row r="3" spans="1:7" x14ac:dyDescent="0.3">
      <c r="A3" s="120" t="s">
        <v>960</v>
      </c>
    </row>
    <row r="5" spans="1:7" ht="27.6" x14ac:dyDescent="0.3">
      <c r="A5" s="124" t="s">
        <v>1065</v>
      </c>
      <c r="B5" s="124" t="s">
        <v>1066</v>
      </c>
      <c r="C5" s="124" t="s">
        <v>78</v>
      </c>
      <c r="D5" s="124" t="s">
        <v>60</v>
      </c>
      <c r="E5" s="124" t="s">
        <v>1067</v>
      </c>
      <c r="F5" s="124" t="s">
        <v>834</v>
      </c>
      <c r="G5" s="124" t="s">
        <v>706</v>
      </c>
    </row>
    <row r="6" spans="1:7" ht="28.8" x14ac:dyDescent="0.3">
      <c r="A6" s="1" t="s">
        <v>1068</v>
      </c>
      <c r="B6" s="1" t="s">
        <v>1069</v>
      </c>
      <c r="C6" s="1" t="s">
        <v>1070</v>
      </c>
      <c r="D6" s="1" t="s">
        <v>1071</v>
      </c>
      <c r="E6" s="1" t="s">
        <v>1072</v>
      </c>
      <c r="F6" s="1" t="s">
        <v>1073</v>
      </c>
      <c r="G6" s="1" t="s">
        <v>1074</v>
      </c>
    </row>
    <row r="7" spans="1:7" x14ac:dyDescent="0.3">
      <c r="A7" s="1" t="s">
        <v>1075</v>
      </c>
      <c r="B7" s="1" t="s">
        <v>1076</v>
      </c>
      <c r="C7" s="1" t="s">
        <v>1077</v>
      </c>
      <c r="D7" s="1" t="s">
        <v>1071</v>
      </c>
      <c r="E7" s="1" t="s">
        <v>1072</v>
      </c>
      <c r="F7" s="1" t="s">
        <v>646</v>
      </c>
      <c r="G7" s="1" t="s">
        <v>1078</v>
      </c>
    </row>
    <row r="8" spans="1:7" ht="28.8" x14ac:dyDescent="0.3">
      <c r="A8" s="1" t="s">
        <v>1079</v>
      </c>
      <c r="B8" s="1" t="s">
        <v>1080</v>
      </c>
      <c r="C8" s="1" t="s">
        <v>1081</v>
      </c>
      <c r="D8" s="1" t="s">
        <v>1071</v>
      </c>
      <c r="E8" s="1" t="s">
        <v>1072</v>
      </c>
      <c r="F8" s="1" t="s">
        <v>1082</v>
      </c>
      <c r="G8" s="1" t="s">
        <v>1083</v>
      </c>
    </row>
    <row r="9" spans="1:7" ht="28.8" x14ac:dyDescent="0.3">
      <c r="A9" s="1" t="s">
        <v>1084</v>
      </c>
      <c r="B9" s="1" t="s">
        <v>1085</v>
      </c>
      <c r="C9" s="1" t="s">
        <v>1086</v>
      </c>
      <c r="D9" s="1" t="s">
        <v>575</v>
      </c>
      <c r="E9" s="1" t="s">
        <v>1072</v>
      </c>
      <c r="F9" s="1" t="s">
        <v>1082</v>
      </c>
      <c r="G9" s="1" t="s">
        <v>1087</v>
      </c>
    </row>
    <row r="10" spans="1:7" ht="28.8" x14ac:dyDescent="0.3">
      <c r="A10" s="1" t="s">
        <v>1088</v>
      </c>
      <c r="B10" s="1" t="s">
        <v>1089</v>
      </c>
      <c r="C10" s="1" t="s">
        <v>1090</v>
      </c>
      <c r="D10" s="1" t="s">
        <v>1091</v>
      </c>
      <c r="E10" s="1" t="s">
        <v>1072</v>
      </c>
      <c r="F10" s="1" t="s">
        <v>1092</v>
      </c>
      <c r="G10" s="1" t="s">
        <v>1093</v>
      </c>
    </row>
    <row r="11" spans="1:7" ht="72" x14ac:dyDescent="0.3">
      <c r="A11" s="1" t="s">
        <v>1094</v>
      </c>
      <c r="B11" s="1" t="s">
        <v>1140</v>
      </c>
      <c r="C11" s="1">
        <v>0.69</v>
      </c>
      <c r="D11" s="1" t="s">
        <v>1095</v>
      </c>
      <c r="E11" s="1" t="s">
        <v>1096</v>
      </c>
      <c r="F11" s="1" t="s">
        <v>1073</v>
      </c>
      <c r="G11" s="1" t="s">
        <v>1141</v>
      </c>
    </row>
    <row r="12" spans="1:7" x14ac:dyDescent="0.3">
      <c r="A12" s="1" t="s">
        <v>1097</v>
      </c>
      <c r="B12" s="1" t="s">
        <v>1098</v>
      </c>
      <c r="C12" s="1" t="s">
        <v>1099</v>
      </c>
      <c r="D12" s="1" t="s">
        <v>575</v>
      </c>
      <c r="E12" s="1" t="s">
        <v>1096</v>
      </c>
      <c r="F12" s="1" t="s">
        <v>1092</v>
      </c>
      <c r="G12" s="1" t="s">
        <v>1100</v>
      </c>
    </row>
    <row r="13" spans="1:7" ht="43.2" x14ac:dyDescent="0.3">
      <c r="A13" s="1" t="s">
        <v>1101</v>
      </c>
      <c r="B13" s="1" t="s">
        <v>1102</v>
      </c>
      <c r="C13" s="1" t="s">
        <v>1103</v>
      </c>
      <c r="D13" s="1" t="s">
        <v>1091</v>
      </c>
      <c r="E13" s="1" t="s">
        <v>1104</v>
      </c>
      <c r="F13" s="1" t="s">
        <v>1082</v>
      </c>
      <c r="G13" s="1" t="s">
        <v>1105</v>
      </c>
    </row>
    <row r="14" spans="1:7" ht="57.6" x14ac:dyDescent="0.3">
      <c r="A14" s="1" t="s">
        <v>1106</v>
      </c>
      <c r="B14" s="1" t="s">
        <v>1107</v>
      </c>
      <c r="C14" s="1" t="s">
        <v>1108</v>
      </c>
      <c r="D14" s="251" t="s">
        <v>1162</v>
      </c>
      <c r="E14" s="1" t="s">
        <v>1072</v>
      </c>
      <c r="F14" s="1" t="s">
        <v>1073</v>
      </c>
      <c r="G14" s="1" t="s">
        <v>1150</v>
      </c>
    </row>
    <row r="15" spans="1:7" ht="57.6" x14ac:dyDescent="0.3">
      <c r="A15" s="1" t="s">
        <v>731</v>
      </c>
      <c r="B15" s="1" t="s">
        <v>1109</v>
      </c>
      <c r="C15" s="1" t="s">
        <v>1110</v>
      </c>
      <c r="D15" s="1" t="s">
        <v>1095</v>
      </c>
      <c r="E15" s="1" t="s">
        <v>1072</v>
      </c>
      <c r="F15" s="1" t="s">
        <v>1073</v>
      </c>
      <c r="G15" s="1" t="s">
        <v>1151</v>
      </c>
    </row>
    <row r="16" spans="1:7" ht="57.6" x14ac:dyDescent="0.3">
      <c r="A16" s="1" t="s">
        <v>1111</v>
      </c>
      <c r="B16" s="1" t="s">
        <v>1112</v>
      </c>
      <c r="C16" s="1" t="s">
        <v>1113</v>
      </c>
      <c r="D16" s="252" t="s">
        <v>1163</v>
      </c>
      <c r="E16" s="1" t="s">
        <v>1072</v>
      </c>
      <c r="F16" s="1" t="s">
        <v>1082</v>
      </c>
      <c r="G16" s="1" t="s">
        <v>1152</v>
      </c>
    </row>
    <row r="17" spans="1:7" x14ac:dyDescent="0.3">
      <c r="A17" s="1" t="s">
        <v>1114</v>
      </c>
      <c r="B17" s="1" t="s">
        <v>941</v>
      </c>
      <c r="C17" s="1" t="s">
        <v>1115</v>
      </c>
      <c r="D17" s="1" t="s">
        <v>1116</v>
      </c>
      <c r="E17" s="1" t="s">
        <v>1096</v>
      </c>
      <c r="F17" s="1" t="s">
        <v>1073</v>
      </c>
      <c r="G17" s="1" t="s">
        <v>1117</v>
      </c>
    </row>
    <row r="18" spans="1:7" x14ac:dyDescent="0.3">
      <c r="A18" s="1" t="s">
        <v>1118</v>
      </c>
      <c r="B18" s="1" t="s">
        <v>943</v>
      </c>
      <c r="C18" s="1" t="s">
        <v>1119</v>
      </c>
      <c r="D18" s="1" t="s">
        <v>575</v>
      </c>
      <c r="E18" s="1" t="s">
        <v>1120</v>
      </c>
      <c r="F18" s="1" t="s">
        <v>1073</v>
      </c>
      <c r="G18" s="1" t="s">
        <v>1121</v>
      </c>
    </row>
    <row r="19" spans="1:7" x14ac:dyDescent="0.3">
      <c r="A19" s="1" t="s">
        <v>1122</v>
      </c>
      <c r="B19" s="1" t="s">
        <v>1123</v>
      </c>
      <c r="C19" s="1" t="s">
        <v>1124</v>
      </c>
      <c r="D19" s="1" t="s">
        <v>1116</v>
      </c>
      <c r="E19" s="1" t="s">
        <v>1125</v>
      </c>
      <c r="F19" s="1" t="s">
        <v>1073</v>
      </c>
      <c r="G19" s="1" t="s">
        <v>1126</v>
      </c>
    </row>
    <row r="20" spans="1:7" ht="57.6" x14ac:dyDescent="0.3">
      <c r="A20" s="1" t="s">
        <v>1127</v>
      </c>
      <c r="B20" s="1" t="s">
        <v>1128</v>
      </c>
      <c r="C20" s="1" t="s">
        <v>1129</v>
      </c>
      <c r="D20" s="1" t="s">
        <v>575</v>
      </c>
      <c r="E20" s="1" t="s">
        <v>1104</v>
      </c>
      <c r="F20" s="1" t="s">
        <v>1082</v>
      </c>
      <c r="G20" s="1" t="s">
        <v>1153</v>
      </c>
    </row>
    <row r="22" spans="1:7" x14ac:dyDescent="0.3">
      <c r="A22" s="121" t="s">
        <v>1130</v>
      </c>
      <c r="B22" s="122"/>
      <c r="C22" s="122"/>
      <c r="D22" s="122"/>
      <c r="E22" s="122"/>
      <c r="F22" s="122"/>
      <c r="G22" s="122"/>
    </row>
    <row r="23" spans="1:7" ht="30" customHeight="1" x14ac:dyDescent="0.3">
      <c r="A23" s="270" t="s">
        <v>1131</v>
      </c>
      <c r="B23" s="270"/>
      <c r="C23" s="270"/>
      <c r="D23" s="270"/>
      <c r="E23" s="270"/>
      <c r="F23" s="270"/>
      <c r="G23" s="270"/>
    </row>
    <row r="24" spans="1:7" ht="30" customHeight="1" x14ac:dyDescent="0.3">
      <c r="A24" s="270" t="s">
        <v>1132</v>
      </c>
      <c r="B24" s="270"/>
      <c r="C24" s="270"/>
      <c r="D24" s="270"/>
      <c r="E24" s="270"/>
      <c r="F24" s="270"/>
      <c r="G24" s="270"/>
    </row>
    <row r="25" spans="1:7" ht="30" customHeight="1" x14ac:dyDescent="0.3">
      <c r="A25" s="270" t="s">
        <v>1133</v>
      </c>
      <c r="B25" s="270"/>
      <c r="C25" s="270"/>
      <c r="D25" s="270"/>
      <c r="E25" s="270"/>
      <c r="F25" s="270"/>
      <c r="G25" s="270"/>
    </row>
    <row r="26" spans="1:7" ht="30" customHeight="1" x14ac:dyDescent="0.3">
      <c r="A26" s="270" t="s">
        <v>1134</v>
      </c>
      <c r="B26" s="270"/>
      <c r="C26" s="270"/>
      <c r="D26" s="270"/>
      <c r="E26" s="270"/>
      <c r="F26" s="270"/>
      <c r="G26" s="270"/>
    </row>
    <row r="27" spans="1:7" x14ac:dyDescent="0.3">
      <c r="A27" t="str">
        <f>"Margen EBIT 2026E ("&amp;TEXT('Proyección Final Soriana'!C41,"0.00%")&amp;") vs. margen real 1S26 ("&amp;TEXT((Datos!E9+Datos!F9)/(Datos!E6+Datos!F6),"0.00%")&amp;") y FY2025 ("&amp;TEXT(Datos!G9/Datos!G6,"0.00%")&amp;"): la mejora proyectada ya se observa en el 1S26 (austeridad y cierres de tiendas); el margen se mantiene estable hacia 2030."</f>
        <v>Margen EBIT 2026E (4.39%) vs. margen real 1S26 (4.38%) y FY2025 (4.25%): la mejora proyectada ya se observa en el 1S26 (austeridad y cierres de tiendas); el margen se mantiene estable hacia 2030.</v>
      </c>
    </row>
    <row r="28" spans="1:7" x14ac:dyDescent="0.3">
      <c r="A28" t="str">
        <f>"Kd: el DCF usa "&amp;TEXT('Proyección Final Soriana'!B206,"0.0%")&amp;" (prospectivo; intereses 1S26 anualizados / deuda = "&amp;TEXT(WACC!B41,"0.0%")&amp;"). El "&amp;TEXT(WACC!B31,"0.0%")&amp;" de la hoja WACC es histórico FY2025 (tasas más altas de 2025). Conciliación en WACC!A35:B42."</f>
        <v>Kd: el DCF usa 10.0% (prospectivo; intereses 1S26 anualizados / deuda = 9.9%). El 13.0% de la hoja WACC es histórico FY2025 (tasas más altas de 2025). Conciliación en WACC!A35:B42.</v>
      </c>
    </row>
  </sheetData>
  <mergeCells count="4">
    <mergeCell ref="A23:G23"/>
    <mergeCell ref="A24:G24"/>
    <mergeCell ref="A25:G25"/>
    <mergeCell ref="A26:G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11</vt:i4>
      </vt:variant>
    </vt:vector>
  </HeadingPairs>
  <TitlesOfParts>
    <vt:vector size="29" baseType="lpstr">
      <vt:lpstr>Comparativo</vt:lpstr>
      <vt:lpstr>Generales</vt:lpstr>
      <vt:lpstr>Datos</vt:lpstr>
      <vt:lpstr>Razones</vt:lpstr>
      <vt:lpstr>WACC</vt:lpstr>
      <vt:lpstr>Valuación</vt:lpstr>
      <vt:lpstr>Proyección Soriana</vt:lpstr>
      <vt:lpstr>MC Soriana</vt:lpstr>
      <vt:lpstr>Variables Externas</vt:lpstr>
      <vt:lpstr>Proyección Final Soriana</vt:lpstr>
      <vt:lpstr>Inflación</vt:lpstr>
      <vt:lpstr>Beta y Kd</vt:lpstr>
      <vt:lpstr>Multiplos</vt:lpstr>
      <vt:lpstr>Transacciones</vt:lpstr>
      <vt:lpstr>Valuación Combinada</vt:lpstr>
      <vt:lpstr>Transacciones SDC</vt:lpstr>
      <vt:lpstr>Validación</vt:lpstr>
      <vt:lpstr>Fuentes</vt:lpstr>
      <vt:lpstr>VF_BETA_HISTORICA</vt:lpstr>
      <vt:lpstr>VF_BETA_U</vt:lpstr>
      <vt:lpstr>VF_INF_APLICADA</vt:lpstr>
      <vt:lpstr>VF_INF_MODELO_TRIM</vt:lpstr>
      <vt:lpstr>VF_INF_SELECTOR</vt:lpstr>
      <vt:lpstr>VF_PT_VALOR</vt:lpstr>
      <vt:lpstr>VF_TC_P25</vt:lpstr>
      <vt:lpstr>VF_TC_P75</vt:lpstr>
      <vt:lpstr>VF_TC_VALOR</vt:lpstr>
      <vt:lpstr>VF_VALIDACION_RESUMEN</vt:lpstr>
      <vt:lpstr>VF_VC_VALOR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Fermin ⠀</cp:lastModifiedBy>
  <cp:revision/>
  <dcterms:created xsi:type="dcterms:W3CDTF">2026-10-08T15:53:48Z</dcterms:created>
  <dcterms:modified xsi:type="dcterms:W3CDTF">2026-10-19T16:11:11Z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2026-09-28T13:20:55Z</dcterms:created>
  <dc:creator>Adrian Fermin ⠀</dc:creator>
  <dc:description/>
  <dc:language>en-US</dc:language>
  <cp:lastModifiedBy>Aarón Ponce Flores</cp:lastModifiedBy>
  <dcterms:modified xsi:type="dcterms:W3CDTF">2026-10-08T15:27:25Z</dcterms:modified>
  <cp:revision>0</cp:revision>
  <dc:subject/>
  <dc:title/>
</cp:coreProperties>
</file>