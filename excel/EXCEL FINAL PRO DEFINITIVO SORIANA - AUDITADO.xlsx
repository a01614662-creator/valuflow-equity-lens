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2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12.xml" ContentType="application/vnd.openxmlformats-officedocument.spreadsheetml.comments+xml"/>
  <Override PartName="/xl/comments1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5"/>
  </bookViews>
  <sheets>
    <sheet name="Comparativo" sheetId="1" state="visible" r:id="rId3"/>
    <sheet name="Generales" sheetId="2" state="visible" r:id="rId4"/>
    <sheet name="Datos" sheetId="3" state="visible" r:id="rId5"/>
    <sheet name="Razones" sheetId="4" state="visible" r:id="rId6"/>
    <sheet name="WACC" sheetId="5" state="visible" r:id="rId7"/>
    <sheet name="Valuación" sheetId="6" state="visible" r:id="rId8"/>
    <sheet name="Proyección Soriana" sheetId="7" state="visible" r:id="rId9"/>
    <sheet name="MC Soriana" sheetId="8" state="visible" r:id="rId10"/>
    <sheet name="Variables Externas" sheetId="9" state="visible" r:id="rId11"/>
    <sheet name="Proyección Final Soriana" sheetId="10" state="visible" r:id="rId12"/>
    <sheet name="Inflación" sheetId="11" state="visible" r:id="rId13"/>
    <sheet name="Beta y Kd" sheetId="12" state="visible" r:id="rId14"/>
    <sheet name="Multiplos" sheetId="13" state="visible" r:id="rId15"/>
    <sheet name="Transacciones" sheetId="14" state="visible" r:id="rId16"/>
    <sheet name="Valuación Combinada" sheetId="15" state="visible" r:id="rId17"/>
    <sheet name="Transacciones SDC" sheetId="16" state="visible" r:id="rId18"/>
    <sheet name="Contraste externo" sheetId="17" state="visible" r:id="rId19"/>
    <sheet name="Validación" sheetId="18" state="hidden" r:id="rId20"/>
    <sheet name="Fuentes" sheetId="19" state="hidden" r:id="rId21"/>
    <sheet name="Auditoría" sheetId="20" state="visible" r:id="rId22"/>
  </sheets>
  <definedNames>
    <definedName function="false" hidden="false" name="VF_BETA_HISTORICA" vbProcedure="false">Inflación!$B$260</definedName>
    <definedName function="false" hidden="false" name="VF_BETA_U" vbProcedure="false">'Beta y Kd'!$B$19</definedName>
    <definedName function="false" hidden="false" name="VF_INF_APLICADA" vbProcedure="false">Inflación!$B$13:$F$13</definedName>
    <definedName function="false" hidden="false" name="VF_INF_MODELO_TRIM" vbProcedure="false">Inflación!$G$21</definedName>
    <definedName function="false" hidden="false" name="VF_INF_SELECTOR" vbProcedure="false">Inflación!$E$6</definedName>
    <definedName function="false" hidden="false" name="VF_PT_VALOR" vbProcedure="false">Transacciones!$E$49</definedName>
    <definedName function="false" hidden="false" name="VF_SDC_MEDIANA" vbProcedure="false">'Transacciones SDC'!$C$53</definedName>
    <definedName function="false" hidden="false" name="VF_SDC_P25" vbProcedure="false">'Transacciones SDC'!$F$51</definedName>
    <definedName function="false" hidden="false" name="VF_SDC_P75" vbProcedure="false">'Transacciones SDC'!$F$54</definedName>
    <definedName function="false" hidden="false" name="VF_SDC_VALOR" vbProcedure="false">'Transacciones SDC'!$F$75</definedName>
    <definedName function="false" hidden="false" name="VF_TC_P25" vbProcedure="false">Multiplos!$D$74</definedName>
    <definedName function="false" hidden="false" name="VF_TC_P75" vbProcedure="false">Multiplos!$D$75</definedName>
    <definedName function="false" hidden="false" name="VF_TC_VALOR" vbProcedure="false">Multiplos!$D$73</definedName>
    <definedName function="false" hidden="false" name="VF_VALIDACION_RESUMEN" vbProcedure="false">Validación!$B$74</definedName>
    <definedName function="false" hidden="false" name="VF_VC_VALOR" vbProcedure="false">'Valuación Combinada'!$B$9</definedName>
  </definedNames>
  <calcPr iterateCount="100" refMode="A1" iterate="false" iterateDelta="0.000999999999999945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syax ⠀:
Source: Investing.com (unofficial), Mexico 10-Year Bond Yield historical data, close 25-sep-2026 = 9.517%, https://www.investing.com/rates-bonds/mexico-10-year-historical-data. Confirmar en Banxico SIE.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-187</xdr:colOff>
                <xdr:row>9</xdr:row>
                <xdr:rowOff>12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syax ⠀:
Source: Damodaran Online, Historical Implied Equity Risk Premiums, Jan-2026 (4.23%), https://pages.stern.nyu.edu/~adamodar/New_Home_Page/datafile/histimpl.html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-187</xdr:colOff>
                <xdr:row>8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syax ⠀:
Source: Damodaran Online, Country Default Spreads and Risk Premiums, 5-Jan-2026, Mexico Baa2 CRP 2.46%, https://pages.stern.nyu.edu/~adamodar/New_Home_Page/datafile/ctryprem.html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-187</xdr:colOff>
                <xdr:row>8</xdr:row>
                <xdr:rowOff>16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syax ⠀:
Source: El Financiero, 26-ago-2026, https://www.elfinanciero.com.mx/economia/2026/08/26/banxico-le-apuesta-a-que-pib-de-mexico-crecera-15-en-2026/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39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syax ⠀:
Source: Mexconomy (comunicado Banxico 24-sep-2026), https://www.mexconomy.com/2026/09/banxico-mantiene-tasa-en-650-con.html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24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syax ⠀:
Source: Banco de México, Comunicado de prensa 24-sep-2026, https://www.banxico.org.mx/canales/%7B64E93EB1-E9FF-891E-60C6-9BBC812A50C6%7D.pdf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5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syax ⠀:
Source: El Mañana (dato Banxico), 30-sep-2026, https://elmanana.com.mx/nacional/2026/9/30/precio-del-dolar-al-cierre-hoy-30-de-septiembre-de-2026-en-mexico-181626.html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5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syax ⠀:
Source: Alto Nivel (dato Banxico), https://www.altonivel.com.mx/remesas-a-mexico-suben-1-4-en-primer-trimestre-de-2026-tras-un-ano-de-descensos/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39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syax ⠀:
Source: El Universal, dic-2025, https://www.eluniversal.com.mx/nacion/sheinbaum-anuncia-aumento-al-salario-minimo-para-2026-destaca-acuerdo-de-jornada-laboral-de-40-horas/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5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syax ⠀:
Source: ABC7 / AP, 3-dic-2025, https://abc7.com/post/mexico-aumentara-13-por-ciento-el-salario-minimo-en-2026-reducira-jornada-laboral-semanal/18255647/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54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syax ⠀:
Source: Forbes México (minuta Banxico), https://forbes.com.mx/alza-de-impuestos-y-aranceles-a-productos-chinos-impactaran-transitoriamente-a-la-inflacion-dice-banxico/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5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syax ⠀:
Source: TV Azteca, https://www.tvazteca.com/aztecanoticias/los-26-nuevos-impuestos-para-2026-suben-refrescos-sueros-orales-y-entradas-a-museos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syax ⠀:
Source: El Diario / Agencia Reforma, 26-ago-2026, https://diario.mx/economia/2026/aug/26/sube-banxico-a-15-pronostico-de-pib-para-2026-1135214.html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54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syax ⠀:
Source: La Jornada, 2-ago-2026, https://www.jornada.com.mx/noticia/2026/08/02/economia/el-tmec-ventaja-de-mexico-frente-a-la-guerra-de-aranceles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39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syax ⠀:
Source: Infobae, 30-sep-2026, https://www.infobae.com/mexico/2026/09/30/dolar-hoy-en-mexico-cotizacion-de-apertura-del-30-de-septiembre/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39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syax ⠀:
Source: ANTAD, Ventas de Agosto 2026, https://antad.net/cadenas-asociadas-a-la-antad-ventas-de-agosto-2026/ ; dato de autoservicio: Retailers, https://retailers.mx/antad-crece-1-7-a-tiendas-iguales-en-agosto/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35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syax ⠀:
Source: La Razón, 26-jun-2026, https://www.razon.com.mx/negocios/2026/06/26/tiendas-3b-avanza-en-el-mercado-arrebata-participacion-a-bodega-aurrera/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39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syax ⠀:
Source: ANTAD informa, https://antad.net/category/antad-informa/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3</xdr:row>
                <xdr:rowOff>21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syax ⠀:
Source: El Financiero, 14-ago-2026, https://www.elfinanciero.com.mx/empresas/2026/08/14/rentas-de-locales-comerciales-se-disparan-11-por-ciento-en-el-primer-semestre/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54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syax ⠀:
Source: El Financiero, 17-sep-2026, https://www.elfinanciero.com.mx/opinion/claudia-olguin/2026/09/17/centros-comerciales-mantienen-selectividad-en-la-expansion/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54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25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del analista. Base: Moody's Baa3 (https://www.elfinanciero.com.mx/economia/2026/05/22/pemex-se-salva-de-ser-reprobado-por-moodys-su-calificacion-queda-en-b1-con-perspectiva-estable/) y alza de la Fed sep-2026 (https://www.bankinter.com/blog/economia/fed-tipos-interes-referencia).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27</xdr:row>
                <xdr:rowOff>7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Encuesta Citi de Expectativas, 22-sep-2026 (inflación cierre 2026 3.93%, 2027 3.83%, prom. 2028–32 3.75%), https://www.imagenradio.com.mx/finanzas/banxico-mantendra-congelada-tasa-6-50-que-resta-2026-encuesta-citi ; https://www.elfinanciero.com.mx/economia/2026/09/04/racha-positiva-para-el-peso-mexicano-en-2026-analistas-de-encuesta-citi/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28</xdr:row>
                <xdr:rowOff>17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Encuesta Citi, 22-sep-2026 (PIB 2026 1.4%, 2027 1.8%), https://revistafortuna.com.mx/2026/09/22/eleva-sondeo-de-citi-mexico-estimado-de-pib-de-2026-de-1-3-a-1-4-vendria-acompanado-de-una-menor-inflacion/ . 2028–2030 = supuesto del analista.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25</xdr:row>
                <xdr:rowOff>2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del analista basado en ANTAD ago-2026 (autoservicio −0.7% tiendas iguales), https://retailers.mx/antad-crece-1-7-a-tiendas-iguales-en-agosto/ y Walmex 2T26 (ANTAD autoservicio ~0%), https://files.walmex.mx/upload/files/2026/ES/Trimestral/2T26/WALMEX%202T26%20BMV.pdf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26</xdr:row>
                <xdr:rowOff>12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del analista basado en VMT 2T26: Soriana −4.5% (https://expansion.mx/empresas/2026/07/31/soriana-utilidad-crece-ventas-caen-segundo-trimestre-2026), Walmex +1.8%, La Comer +2.9%, Chedraui +1.3% (https://elceo.com/negocios/el-consumo-se-enfria-y-pega-a-los-supermercados-walmart-chedraui-y-la-comer-desaceleran-ventas/)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28</xdr:row>
                <xdr:rowOff>17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812 vs 820 tiendas y plan de 20 cierres / 60 reducciones, https://www.informador.mx/economia/soriana-transformara-60-tiendas-en-mexico-y-cerrara-otras-20-durante-2026-asi-cambiara-su-negocio-20260826-0109.html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23</xdr:row>
                <xdr:rowOff>12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gasto operativo −1.2% 2T26 y margen EBITDA 1S26 6.9% (+20 pb), https://expansion.mx/empresas/2026/07/31/soriana-utilidad-crece-ventas-caen-segundo-trimestre-2026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22</xdr:row>
                <xdr:rowOff>3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salario mínimo +13% (2026) y jornada de 40 h, https://www.eluniversal.com.mx/nacion/sheinbaum-anuncia-aumento-al-salario-minimo-para-2026-destaca-acuerdo-de-jornada-laboral-de-40-horas/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23</xdr:row>
                <xdr:rowOff>12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canasta PACIC ago-2026 (Soriana $820.85 vs Bodega Aurrera $781.23), https://rotativo.com.mx/precio-canasta-pacic-supermercados-mexico-2026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21</xdr:row>
                <xdr:rowOff>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TC 18.08 al 30-sep-2026, https://elmanana.com.mx/nacional/2026/9/30/precio-del-dolar-al-cierre-hoy-30-de-septiembre-de-2026-en-mexico-181626.html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22</xdr:row>
                <xdr:rowOff>3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rentas comerciales +11.09% 1S26, https://www.elfinanciero.com.mx/empresas/2026/08/14/rentas-de-locales-comerciales-se-disparan-11-por-ciento-en-el-primer-semestre/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22</xdr:row>
                <xdr:rowOff>3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guía de Soriana (~4,000 mdp en 2026), https://eltiempomx.com/noticia/2026/soriana-reestructura-operaciones-y-preve-cerrar-20-tiendas-este-ano.html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21</xdr:row>
                <xdr:rowOff>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plan de 20 cierres y 60 reducciones de piso, https://www.informador.mx/economia/soriana-transformara-60-tiendas-en-mexico-y-cerrara-otras-20-durante-2026-asi-cambiara-su-negocio-20260826-0109.html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23</xdr:row>
                <xdr:rowOff>12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Soriana 2T26 — margen bruto 24.4% vs 23.9%, costo de ventas −5.6%, https://www.merca20.com/soriana-cierra-tiendas-y-vende-menos-pero-su-utilidad-crece-46-8-analizamos-su-ultimo-reporte/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22</xdr:row>
                <xdr:rowOff>17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Encuesta Citi (tasa Banxico 6.50% a fin de 2026 y 2027), https://www.imagenradio.com.mx/finanzas/banxico-mantendra-congelada-tasa-6-50-que-resta-2026-encuesta-citi ; gastos financieros 1S26 de la hoja Datos.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23</xdr:row>
                <xdr:rowOff>12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Paquete Económico 2027 (límite de deducciones PM &gt;50 mdp), https://www.pwc.com/mx/es/archivo/2026/paquete-economico-mx_2027.pdf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-229</xdr:colOff>
                <xdr:row>21</xdr:row>
                <xdr:rowOff>8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syax ⠀:
Source: Damodaran Online, Betas by Sector (Global), Jan-2026, Retail (Grocery and Food), unlevered beta corrected for cash 0.69, https://pages.stern.nyu.edu/~adamodar/New_Home_Page/datafile/BetasGlobal.html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-206</xdr:colOff>
                <xdr:row>9</xdr:row>
                <xdr:rowOff>18</xdr:rowOff>
              </xdr:to>
            </anchor>
          </commentPr>
        </mc:Choice>
        <mc:Fallback/>
      </mc:AlternateContent>
    </comment>
  </commentList>
</comments>
</file>

<file path=xl/comments1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2" authorId="0">
      <text>
        <r>
          <rPr>
            <sz val="10"/>
            <rFont val="Arial"/>
            <family val="2"/>
          </rPr>
          <t xml:space="preserve">syax ⠀:
Source: Seale &amp; Associates, Valuation Multiples Update – Supermercados T2 2026 (datos Capital IQ), corte 30-jun-2026, media EV/EBITDA 8.30x, 9 empresas, p. 5. Proporcionado en el chat por el usuario; no verificado por Claude.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-162</xdr:colOff>
                <xdr:row>6</xdr:row>
                <xdr:rowOff>54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<sst xmlns="http://schemas.openxmlformats.org/spreadsheetml/2006/main" count="2917" uniqueCount="1630">
  <si>
    <t xml:space="preserve">1. VALUACIÓN (DCF, base FY2025)</t>
  </si>
  <si>
    <t xml:space="preserve">Soriana</t>
  </si>
  <si>
    <t xml:space="preserve">Walmex</t>
  </si>
  <si>
    <t xml:space="preserve">Chedraui</t>
  </si>
  <si>
    <t xml:space="preserve">La Comer</t>
  </si>
  <si>
    <t xml:space="preserve">WACC</t>
  </si>
  <si>
    <t xml:space="preserve">Crecimiento perpetuo (g)</t>
  </si>
  <si>
    <t xml:space="preserve">FCF 2025A (flujo libre de efectivo)</t>
  </si>
  <si>
    <t xml:space="preserve">VPN de los FCF 2026E–2030E</t>
  </si>
  <si>
    <t xml:space="preserve">Valor terminal (TV) al 2030</t>
  </si>
  <si>
    <t xml:space="preserve">Valor presente del TV</t>
  </si>
  <si>
    <t xml:space="preserve">Enterprise Value (EV)</t>
  </si>
  <si>
    <t xml:space="preserve">Deuda total (bancaria/bursátil + arrendamientos)</t>
  </si>
  <si>
    <t xml:space="preserve">Efectivo y equivalentes</t>
  </si>
  <si>
    <t xml:space="preserve">Equity Value (valor para los accionistas)</t>
  </si>
  <si>
    <t xml:space="preserve">Valor intrínseco por acción (MXN)</t>
  </si>
  <si>
    <t xml:space="preserve">Precio actual en bolsa (MXN)</t>
  </si>
  <si>
    <t xml:space="preserve">Potencial de apreciación / (baja)</t>
  </si>
  <si>
    <t xml:space="preserve">Precio objetivo consenso de analistas (MXN)</t>
  </si>
  <si>
    <t xml:space="preserve">Recomendación consenso de analistas</t>
  </si>
  <si>
    <t xml:space="preserve">Venta (0 C / 1 M / 6 V)</t>
  </si>
  <si>
    <t xml:space="preserve">Neutral (5 C / 10 M / 3 V)</t>
  </si>
  <si>
    <t xml:space="preserve">Neutral (3 C / 12 M / 0 V)</t>
  </si>
  <si>
    <t xml:space="preserve">Compra (5 C / 4 M / 0 V)</t>
  </si>
  <si>
    <t xml:space="preserve">2. RAZONES FINANCIERAS – PROMEDIO DE LOS ÚLTIMOS 5 TRIMESTRES</t>
  </si>
  <si>
    <t xml:space="preserve">Circulante</t>
  </si>
  <si>
    <t xml:space="preserve">Prueba ácida</t>
  </si>
  <si>
    <t xml:space="preserve">Deuda / Activo total</t>
  </si>
  <si>
    <t xml:space="preserve">Capitalización a largo plazo</t>
  </si>
  <si>
    <t xml:space="preserve">Cobertura de intereses</t>
  </si>
  <si>
    <t xml:space="preserve">Rotación del inventario (trimestral)</t>
  </si>
  <si>
    <t xml:space="preserve">Rotación del inventario en días</t>
  </si>
  <si>
    <t xml:space="preserve">Rotación del activo total (trimestral)</t>
  </si>
  <si>
    <t xml:space="preserve">Margen bruto</t>
  </si>
  <si>
    <t xml:space="preserve">Margen neto</t>
  </si>
  <si>
    <t xml:space="preserve">ROA (trimestral)</t>
  </si>
  <si>
    <t xml:space="preserve">ROE (trimestral)</t>
  </si>
  <si>
    <t xml:space="preserve">ROI (trimestral)</t>
  </si>
  <si>
    <t xml:space="preserve">3. RAZONES FINANCIERAS ANUALES FY2025 (incluye Chedraui)</t>
  </si>
  <si>
    <t xml:space="preserve">Rotación del inventario (anual)</t>
  </si>
  <si>
    <t xml:space="preserve">Rotación del inventario en días (365)</t>
  </si>
  <si>
    <t xml:space="preserve">Rotación del activo total (anual)</t>
  </si>
  <si>
    <t xml:space="preserve">ROA (anual)</t>
  </si>
  <si>
    <t xml:space="preserve">ROE (anual)</t>
  </si>
  <si>
    <t xml:space="preserve">ROI (anual)</t>
  </si>
  <si>
    <t xml:space="preserve">1. INFORMACIÓN GENERAL DE LA EMPRESA</t>
  </si>
  <si>
    <t xml:space="preserve">Dato</t>
  </si>
  <si>
    <t xml:space="preserve">Clave de cotización</t>
  </si>
  <si>
    <t xml:space="preserve">SORIANA B (BMV, cotiza desde 1987)</t>
  </si>
  <si>
    <t xml:space="preserve">Fundación</t>
  </si>
  <si>
    <t xml:space="preserve">1968, Torreón, Coahuila</t>
  </si>
  <si>
    <t xml:space="preserve">Sede corporativa</t>
  </si>
  <si>
    <t xml:space="preserve">Monterrey, Nuevo León</t>
  </si>
  <si>
    <t xml:space="preserve">Giro</t>
  </si>
  <si>
    <t xml:space="preserve">Tiendas de autoservicio y clubes de membresía (multiformato)</t>
  </si>
  <si>
    <t xml:space="preserve">Tiendas en operación (2T26)</t>
  </si>
  <si>
    <t xml:space="preserve">Colaboradores (jun-2026)</t>
  </si>
  <si>
    <t xml:space="preserve">Acciones en circulación (millones)</t>
  </si>
  <si>
    <t xml:space="preserve">Capitalización de mercado a precio actual (mdp)</t>
  </si>
  <si>
    <t xml:space="preserve">2. NOTICIAS Y ANÁLISIS RECIENTES</t>
  </si>
  <si>
    <t xml:space="preserve">Fecha</t>
  </si>
  <si>
    <t xml:space="preserve">Resultados 2T26: menos ventas, más utilidad</t>
  </si>
  <si>
    <t xml:space="preserve">31-jul-2026</t>
  </si>
  <si>
    <t xml:space="preserve">Cierre de 20 tiendas en 2026</t>
  </si>
  <si>
    <t xml:space="preserve">26-ago-2026</t>
  </si>
  <si>
    <t xml:space="preserve">Reducción de plantilla y automatización</t>
  </si>
  <si>
    <t xml:space="preserve">2-sep-2026</t>
  </si>
  <si>
    <t xml:space="preserve">Plan de inversión 2S26</t>
  </si>
  <si>
    <t xml:space="preserve">sep-2026</t>
  </si>
  <si>
    <t xml:space="preserve">Sector: Walmart, Soriana y Chedraui sufren por ingresos e inflación</t>
  </si>
  <si>
    <t xml:space="preserve">2026</t>
  </si>
  <si>
    <t xml:space="preserve">3. CALIFICACIÓN Y CONSENSO DE ANALISTAS</t>
  </si>
  <si>
    <t xml:space="preserve">Calificación crediticia (HR Ratings)</t>
  </si>
  <si>
    <t xml:space="preserve">HR+1 (corto plazo)</t>
  </si>
  <si>
    <t xml:space="preserve">Consenso de analistas</t>
  </si>
  <si>
    <t xml:space="preserve">Venta</t>
  </si>
  <si>
    <t xml:space="preserve">Precio objetivo promedio 12 meses (MXN)</t>
  </si>
  <si>
    <t xml:space="preserve">4. ANÁLISIS FUNDAMENTAL – RESUMEN FINANCIERO FY2025 (mdp)</t>
  </si>
  <si>
    <t xml:space="preserve">Valor</t>
  </si>
  <si>
    <t xml:space="preserve">Ingresos totales</t>
  </si>
  <si>
    <t xml:space="preserve">Utilidad bruta</t>
  </si>
  <si>
    <t xml:space="preserve">Utilidad de operación (EBIT)</t>
  </si>
  <si>
    <t xml:space="preserve">Utilidad neta consolidada</t>
  </si>
  <si>
    <t xml:space="preserve">Margen de operación</t>
  </si>
  <si>
    <t xml:space="preserve">5. CUENTA DE RESULTADOS – ÚLTIMO TRIMESTRE (2T26 vs 2T25, mdp)</t>
  </si>
  <si>
    <t xml:space="preserve">2T26</t>
  </si>
  <si>
    <t xml:space="preserve">Costo de ventas</t>
  </si>
  <si>
    <t xml:space="preserve">Utilidad de operación</t>
  </si>
  <si>
    <t xml:space="preserve">Gastos financieros</t>
  </si>
  <si>
    <t xml:space="preserve">Utilidad neta</t>
  </si>
  <si>
    <t xml:space="preserve">6. BALANCE (cierre 2025 vs 1T26, mdp)</t>
  </si>
  <si>
    <t xml:space="preserve">Dic-2025</t>
  </si>
  <si>
    <t xml:space="preserve">Activo total</t>
  </si>
  <si>
    <t xml:space="preserve">Pasivo total</t>
  </si>
  <si>
    <t xml:space="preserve">Capital contable</t>
  </si>
  <si>
    <t xml:space="preserve">Deuda bancaria y bursátil</t>
  </si>
  <si>
    <t xml:space="preserve">Efectivo</t>
  </si>
  <si>
    <t xml:space="preserve">7. FLUJOS DE EFECTIVO FY2025 (mdp)</t>
  </si>
  <si>
    <t xml:space="preserve">Flujo neto de operación (CFO)</t>
  </si>
  <si>
    <t xml:space="preserve">Capex</t>
  </si>
  <si>
    <t xml:space="preserve">Flujo libre (CFO − Capex)</t>
  </si>
  <si>
    <t xml:space="preserve">8. ANÁLISIS FUNDAMENTAL – RATIOS DE MERCADO</t>
  </si>
  <si>
    <t xml:space="preserve">P/U (precio / utilidad por acción)</t>
  </si>
  <si>
    <t xml:space="preserve">Valor en libros por acción (MXN)</t>
  </si>
  <si>
    <t xml:space="preserve">P/VL (precio / valor en libros)</t>
  </si>
  <si>
    <t xml:space="preserve">ROE anual FY2025</t>
  </si>
  <si>
    <t xml:space="preserve">9. DIVIDENDOS</t>
  </si>
  <si>
    <t xml:space="preserve">Último dividendo por acción (MXN)</t>
  </si>
  <si>
    <t xml:space="preserve">Rendimiento por dividendo a precio actual</t>
  </si>
  <si>
    <t xml:space="preserve">10. REPORTE – PUNTOS CLAVE 2T26</t>
  </si>
  <si>
    <t xml:space="preserve">Ventas mismas tiendas 2T26</t>
  </si>
  <si>
    <t xml:space="preserve">−4.5%</t>
  </si>
  <si>
    <t xml:space="preserve">Margen bruto 2T26</t>
  </si>
  <si>
    <t xml:space="preserve">Costo financiero neto 2T26 (mdp)</t>
  </si>
  <si>
    <t xml:space="preserve">Deuda neta bancaria y bursátil al 2T26 (mdp)</t>
  </si>
  <si>
    <t xml:space="preserve">Capex acumulado 1S26 (mdp)</t>
  </si>
  <si>
    <t xml:space="preserve">11. PREVISIÓN</t>
  </si>
  <si>
    <t xml:space="preserve">Próximo reporte trimestral (3T26)</t>
  </si>
  <si>
    <t xml:space="preserve">23-oct-2026</t>
  </si>
  <si>
    <t xml:space="preserve">Precio objetivo consenso vs precio actual</t>
  </si>
  <si>
    <t xml:space="preserve">Proyección de ingresos 2027 HR Ratings (mdp)</t>
  </si>
  <si>
    <t xml:space="preserve">12. ANÁLISIS TÉCNICO</t>
  </si>
  <si>
    <t xml:space="preserve">Precio de cierre (MXN)</t>
  </si>
  <si>
    <t xml:space="preserve">Rango de 52 semanas (MXN)</t>
  </si>
  <si>
    <t xml:space="preserve">23.90 – 42.70</t>
  </si>
  <si>
    <t xml:space="preserve">Variación 1 año</t>
  </si>
  <si>
    <t xml:space="preserve">Señal técnica resumen (diaria, semanal y mensual)</t>
  </si>
  <si>
    <t xml:space="preserve">Compra fuerte</t>
  </si>
  <si>
    <t xml:space="preserve">RSI (14)</t>
  </si>
  <si>
    <t xml:space="preserve">MACD (12,26)</t>
  </si>
  <si>
    <t xml:space="preserve">Media móvil 50 días (MXN)</t>
  </si>
  <si>
    <t xml:space="preserve">Media móvil 200 días (MXN)</t>
  </si>
  <si>
    <t xml:space="preserve">13. COMPARATIVO BURSÁTIL DEL SECTOR</t>
  </si>
  <si>
    <t xml:space="preserve">Precio actual (MXN)</t>
  </si>
  <si>
    <t xml:space="preserve">P/U</t>
  </si>
  <si>
    <t xml:space="preserve">Rendimiento por dividendo</t>
  </si>
  <si>
    <t xml:space="preserve">Beta de regresión (referencia)</t>
  </si>
  <si>
    <t xml:space="preserve">Señal técnica resumen (diaria)</t>
  </si>
  <si>
    <t xml:space="preserve">Neutral</t>
  </si>
  <si>
    <t xml:space="preserve">Compra</t>
  </si>
  <si>
    <t xml:space="preserve">Precio objetivo consenso (MXN)</t>
  </si>
  <si>
    <t xml:space="preserve">Calificación crediticia</t>
  </si>
  <si>
    <t xml:space="preserve">HR+1 (HR Ratings, CP)</t>
  </si>
  <si>
    <t xml:space="preserve">n.d.</t>
  </si>
  <si>
    <t xml:space="preserve">AAA(mex) Fitch, perspectiva estable</t>
  </si>
  <si>
    <t xml:space="preserve">ORGANIZACIÓN SORIANA (SORIANA B)</t>
  </si>
  <si>
    <t xml:space="preserve">2T25</t>
  </si>
  <si>
    <t xml:space="preserve">3T25</t>
  </si>
  <si>
    <t xml:space="preserve">4T25</t>
  </si>
  <si>
    <t xml:space="preserve">1T26</t>
  </si>
  <si>
    <t xml:space="preserve">FY2025</t>
  </si>
  <si>
    <t xml:space="preserve">Gastos financieros (intereses)</t>
  </si>
  <si>
    <t xml:space="preserve">Utilidad antes de impuestos</t>
  </si>
  <si>
    <t xml:space="preserve">Impuestos a la utilidad</t>
  </si>
  <si>
    <t xml:space="preserve">Depreciación y amortización</t>
  </si>
  <si>
    <t xml:space="preserve">Capex (inmuebles, equipo e intangibles)</t>
  </si>
  <si>
    <t xml:space="preserve">Inventarios</t>
  </si>
  <si>
    <t xml:space="preserve">Activo circulante</t>
  </si>
  <si>
    <t xml:space="preserve">Pasivo circulante</t>
  </si>
  <si>
    <t xml:space="preserve">Pasivo a largo plazo</t>
  </si>
  <si>
    <t xml:space="preserve">Deuda bursátil y bancaria CP</t>
  </si>
  <si>
    <t xml:space="preserve">Deuda bursátil y bancaria LP</t>
  </si>
  <si>
    <t xml:space="preserve">Pasivo por arrendamiento CP</t>
  </si>
  <si>
    <t xml:space="preserve">Pasivo por arrendamiento LP</t>
  </si>
  <si>
    <t xml:space="preserve">Deuda total (financiera + arrendamientos)</t>
  </si>
  <si>
    <t xml:space="preserve">WALMART DE MÉXICO (WALMEX)</t>
  </si>
  <si>
    <t xml:space="preserve">GRUPO COMERCIAL CHEDRAUI (CHDRAUI B)</t>
  </si>
  <si>
    <t xml:space="preserve">Aux. FY2025</t>
  </si>
  <si>
    <t xml:space="preserve">Inversión neta (−flujo de inversión FY2025), proxy de capex</t>
  </si>
  <si>
    <t xml:space="preserve">LA COMER (LACOMER UBC)</t>
  </si>
  <si>
    <t xml:space="preserve">9M2025</t>
  </si>
  <si>
    <t xml:space="preserve">DETALLE DE CAPEX (mdp)</t>
  </si>
  <si>
    <t xml:space="preserve">Soriana – Inmuebles y equipo</t>
  </si>
  <si>
    <t xml:space="preserve">Soriana – Intangibles</t>
  </si>
  <si>
    <t xml:space="preserve">Soriana – Otros / ajustes</t>
  </si>
  <si>
    <t xml:space="preserve">Walmex – Inmuebles y equipo</t>
  </si>
  <si>
    <t xml:space="preserve">Walmex – Intangibles</t>
  </si>
  <si>
    <t xml:space="preserve">Walmex – Otros / ajustes</t>
  </si>
  <si>
    <t xml:space="preserve">Chedraui – Inmuebles y equipo</t>
  </si>
  <si>
    <t xml:space="preserve">Chedraui – Intangibles</t>
  </si>
  <si>
    <t xml:space="preserve">Chedraui – Otros / ajustes</t>
  </si>
  <si>
    <t xml:space="preserve">La Comer – Inmuebles y equipo</t>
  </si>
  <si>
    <t xml:space="preserve">La Comer – Intangibles</t>
  </si>
  <si>
    <t xml:space="preserve">La Comer – Otros / ajustes</t>
  </si>
  <si>
    <t xml:space="preserve">Días del trimestre</t>
  </si>
  <si>
    <t xml:space="preserve">ORGANIZACIÓN SORIANA</t>
  </si>
  <si>
    <t xml:space="preserve">Promedio 5T</t>
  </si>
  <si>
    <t xml:space="preserve">Rotación del inventario</t>
  </si>
  <si>
    <t xml:space="preserve">Rotación del activo total</t>
  </si>
  <si>
    <t xml:space="preserve">Rentabilidad sobre activos (ROA)</t>
  </si>
  <si>
    <t xml:space="preserve">Rentabilidad sobre capital (ROE)</t>
  </si>
  <si>
    <t xml:space="preserve">ROI (rendimiento sobre la inversión)</t>
  </si>
  <si>
    <t xml:space="preserve">WALMART DE MÉXICO</t>
  </si>
  <si>
    <t xml:space="preserve">GRUPO COMERCIAL CHEDRAUI</t>
  </si>
  <si>
    <t xml:space="preserve">LA COMER</t>
  </si>
  <si>
    <t xml:space="preserve">Concepto</t>
  </si>
  <si>
    <t xml:space="preserve">PARÁMETROS DE MERCADO</t>
  </si>
  <si>
    <t xml:space="preserve">Tasa libre de riesgo (Bono M 10 años)</t>
  </si>
  <si>
    <t xml:space="preserve">Prima de riesgo de mercado madura</t>
  </si>
  <si>
    <t xml:space="preserve">Prima de riesgo país México (referencia)</t>
  </si>
  <si>
    <t xml:space="preserve">Prima de riesgo de mercado aplicada (PRM)</t>
  </si>
  <si>
    <t xml:space="preserve">Beta desapalancada usada (regresión semanal Soriana B vs. IPC, desapalancada; ver hoja 'Beta y Kd' §2). Damodaran 0.69 queda como referencia</t>
  </si>
  <si>
    <t xml:space="preserve">Beta histórica del estudio (regresión): ver hoja Inflación, sección 6.</t>
  </si>
  <si>
    <t xml:space="preserve">Tasa de impuestos (ISR)</t>
  </si>
  <si>
    <t xml:space="preserve">DATOS DE MERCADO</t>
  </si>
  <si>
    <t xml:space="preserve">Precio actual por acción (MXN)</t>
  </si>
  <si>
    <t xml:space="preserve">Fecha del precio</t>
  </si>
  <si>
    <t xml:space="preserve">21-ago-2026</t>
  </si>
  <si>
    <t xml:space="preserve">Capitalización de mercado reportada</t>
  </si>
  <si>
    <t xml:space="preserve">Precio de cierre asociado a esa capitalización (MXN)</t>
  </si>
  <si>
    <t xml:space="preserve">Valor de mercado del capital (E)</t>
  </si>
  <si>
    <t xml:space="preserve">ESTRUCTURA DE CAPITAL (cierre 2025)</t>
  </si>
  <si>
    <t xml:space="preserve">Deuda total (D) = bancaria/bursátil + arrendamientos</t>
  </si>
  <si>
    <t xml:space="preserve">D / E</t>
  </si>
  <si>
    <t xml:space="preserve">Peso de la deuda  D/(D+E)</t>
  </si>
  <si>
    <t xml:space="preserve">Peso del capital  E/(D+E)</t>
  </si>
  <si>
    <t xml:space="preserve">COSTO DE CAPITAL</t>
  </si>
  <si>
    <t xml:space="preserve">Beta apalancada  βL = βU × [1 + (1−t)·D/E]</t>
  </si>
  <si>
    <t xml:space="preserve">Costo del capital propio  Ke = Rf + βL × PRM</t>
  </si>
  <si>
    <t xml:space="preserve">Gastos financieros FY2025</t>
  </si>
  <si>
    <t xml:space="preserve">Costo de la deuda antes de impuestos  Kd</t>
  </si>
  <si>
    <t xml:space="preserve">Costo de la deuda después de impuestos  Kd(1−t)</t>
  </si>
  <si>
    <t xml:space="preserve">WACC = E/(D+E)·Ke + D/(D+E)·Kd(1−t)</t>
  </si>
  <si>
    <t xml:space="preserve">CONCILIACIÓN CON EL WACC OFICIAL DEL DCF</t>
  </si>
  <si>
    <t xml:space="preserve">WACC oficial (iterado al valor DCF, Kd prospectivo) — usado en la valuación</t>
  </si>
  <si>
    <t xml:space="preserve">WACC de referencia a valor de mercado (esta hoja, Kd histórico)</t>
  </si>
  <si>
    <t xml:space="preserve">Diferencia (referencia − oficial)</t>
  </si>
  <si>
    <t xml:space="preserve">Kd histórico FY2025 = gastos financieros / deuda</t>
  </si>
  <si>
    <t xml:space="preserve">Kd prospectivo usado en el DCF</t>
  </si>
  <si>
    <t xml:space="preserve">Kd implícito 1S26 = (intereses 1T26 + 2T26) × 2 / deuda</t>
  </si>
  <si>
    <t xml:space="preserve">Lectura: el WACC oficial es el iterado. El de esta hoja usa pesos de mercado y el Kd de 2025 (tasas más altas); el Kd implícito del 1S26 respalda el 10% prospectivo.</t>
  </si>
  <si>
    <t xml:space="preserve">Crecimiento perpetuo (g) para valor terminal</t>
  </si>
  <si>
    <t xml:space="preserve">Crecimiento anual de ventas 2026E–2030E (supuesto base)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</si>
  <si>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</si>
  <si>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</si>
  <si>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</si>
  <si>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</si>
  <si>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</si>
  <si>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</si>
  <si>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Crecimiento anual de ventas (explícito)</t>
  </si>
  <si>
    <t xml:space="preserve">Margen EBIT</t>
  </si>
  <si>
    <t xml:space="preserve">Depreciación y amortización (% ventas)</t>
  </si>
  <si>
    <t xml:space="preserve">Capex (% ventas)</t>
  </si>
  <si>
    <t xml:space="preserve">Inversión en capital de trabajo (% del incremento en ventas)</t>
  </si>
  <si>
    <t xml:space="preserve">Tasa de impuestos</t>
  </si>
  <si>
    <t xml:space="preserve">PROYECCIÓN DEL FLUJO LIBRE DE EFECTIVO (FCF)</t>
  </si>
  <si>
    <t xml:space="preserve">Periodo (n)</t>
  </si>
  <si>
    <t xml:space="preserve">Ventas</t>
  </si>
  <si>
    <t xml:space="preserve">(−) Impuestos sobre EBIT</t>
  </si>
  <si>
    <t xml:space="preserve">NOPAT (EBIT después de impuestos)</t>
  </si>
  <si>
    <t xml:space="preserve">(+) Depreciación y amortización</t>
  </si>
  <si>
    <t xml:space="preserve">(−) Capex</t>
  </si>
  <si>
    <t xml:space="preserve">(−) Inversión en capital de trabajo</t>
  </si>
  <si>
    <t xml:space="preserve">FCF – Flujo libre de efectivo</t>
  </si>
  <si>
    <t xml:space="preserve">Factor de descuento 1/(1+WACC)^n</t>
  </si>
  <si>
    <t xml:space="preserve">Valor presente del FCF</t>
  </si>
  <si>
    <t xml:space="preserve">FCF del año 6 (2031E)</t>
  </si>
  <si>
    <t xml:space="preserve">Valor terminal (TV) al cierre de 2030</t>
  </si>
  <si>
    <t xml:space="preserve">ENTERPRISE VALUE (EV)</t>
  </si>
  <si>
    <t xml:space="preserve">(−) Deuda total (bancaria/bursátil + arrendamientos)</t>
  </si>
  <si>
    <t xml:space="preserve">(+) Efectivo y equivalentes</t>
  </si>
  <si>
    <t xml:space="preserve">Deuda neta</t>
  </si>
  <si>
    <t xml:space="preserve">EQUITY VALUE (valor para los accionistas)</t>
  </si>
  <si>
    <t xml:space="preserve">Precio modelo integrado</t>
  </si>
  <si>
    <t xml:space="preserve">Diferencia vs integrado</t>
  </si>
  <si>
    <t xml:space="preserve">Diferencia (%)</t>
  </si>
  <si>
    <t xml:space="preserve">Peso del valor terminal en el EV</t>
  </si>
  <si>
    <t xml:space="preserve">SUPUESTOS</t>
  </si>
  <si>
    <t xml:space="preserve">Crecimiento de ventas</t>
  </si>
  <si>
    <t xml:space="preserve">Costo de ventas (% ventas)</t>
  </si>
  <si>
    <t xml:space="preserve">Gastos de operación sin D&amp;A (% ventas)</t>
  </si>
  <si>
    <t xml:space="preserve">Tasa de interés implícita (% deuda + arrendamientos)</t>
  </si>
  <si>
    <t xml:space="preserve">Días de inventario (sobre costo de ventas)</t>
  </si>
  <si>
    <t xml:space="preserve">Otros activos circulantes (% ventas)</t>
  </si>
  <si>
    <t xml:space="preserve">Pasivo circulante operativo (% ventas)</t>
  </si>
  <si>
    <t xml:space="preserve">Dividendos (% utilidad neta)</t>
  </si>
  <si>
    <t xml:space="preserve">1. ESTADO DE RESULTADOS</t>
  </si>
  <si>
    <t xml:space="preserve">Gastos de operación (sin D&amp;A)</t>
  </si>
  <si>
    <t xml:space="preserve">EBITDA</t>
  </si>
  <si>
    <t xml:space="preserve">Otros ingresos (gastos) netos</t>
  </si>
  <si>
    <t xml:space="preserve">Dividendos pagados</t>
  </si>
  <si>
    <t xml:space="preserve">2. BALANCE GENERAL</t>
  </si>
  <si>
    <t xml:space="preserve">Otros activos circulantes</t>
  </si>
  <si>
    <t xml:space="preserve">Activo no circulante</t>
  </si>
  <si>
    <t xml:space="preserve">Pasivo circulante operativo (proveedores y otros)</t>
  </si>
  <si>
    <t xml:space="preserve">Deuda bursátil y bancaria</t>
  </si>
  <si>
    <t xml:space="preserve">Pasivo por arrendamiento</t>
  </si>
  <si>
    <t xml:space="preserve">Otros pasivos a largo plazo</t>
  </si>
  <si>
    <t xml:space="preserve">Pasivo + capital</t>
  </si>
  <si>
    <t xml:space="preserve">Comprobación (activo − pasivo − capital)</t>
  </si>
  <si>
    <t xml:space="preserve">CONCILIACIÓN DE EFECTIVO</t>
  </si>
  <si>
    <t xml:space="preserve">(−) Aumento en inventarios</t>
  </si>
  <si>
    <t xml:space="preserve">(−) Aumento en otros activos circulantes</t>
  </si>
  <si>
    <t xml:space="preserve">(+) Aumento en pasivo circulante operativo</t>
  </si>
  <si>
    <t xml:space="preserve">Cambio neto en efectivo (después de dividendos)</t>
  </si>
  <si>
    <t xml:space="preserve">3. FLUJO LIBRE DE EFECTIVO (FFL)</t>
  </si>
  <si>
    <t xml:space="preserve">NOPAT</t>
  </si>
  <si>
    <t xml:space="preserve">Flujo libre de efectivo (FFL)</t>
  </si>
  <si>
    <t xml:space="preserve">Valor presente del FFL</t>
  </si>
  <si>
    <t xml:space="preserve">4. VALOR TERMINAL Y VALOR DE LA EMPRESA</t>
  </si>
  <si>
    <t xml:space="preserve">Suma VP de FFL 2026E–2030E</t>
  </si>
  <si>
    <t xml:space="preserve">FFL 2031E = FFL 2030E × (1+g)</t>
  </si>
  <si>
    <t xml:space="preserve">Valor terminal al cierre 2030 (Gordon)</t>
  </si>
  <si>
    <t xml:space="preserve">Valor presente del valor terminal</t>
  </si>
  <si>
    <t xml:space="preserve">Valor de la empresa (VE)</t>
  </si>
  <si>
    <t xml:space="preserve">Peso del valor terminal en el VE</t>
  </si>
  <si>
    <t xml:space="preserve">5. VALOR DEL CAPITAL Y PRECIO POR ACCIÓN</t>
  </si>
  <si>
    <t xml:space="preserve">(−) Deuda bursátil y bancaria (2025)</t>
  </si>
  <si>
    <t xml:space="preserve">(−) Pasivo por arrendamiento (2025)</t>
  </si>
  <si>
    <t xml:space="preserve">(+) Efectivo y equivalentes (2025)</t>
  </si>
  <si>
    <t xml:space="preserve">Valor del capital</t>
  </si>
  <si>
    <t xml:space="preserve">Precio por acción (MXN)</t>
  </si>
  <si>
    <t xml:space="preserve">1. FCFF PROYECTADO — MÍNIMOS CUADRADOS (sin ajustes externos)</t>
  </si>
  <si>
    <t xml:space="preserve">3T26</t>
  </si>
  <si>
    <t xml:space="preserve">4T26</t>
  </si>
  <si>
    <t xml:space="preserve">1T27</t>
  </si>
  <si>
    <t xml:space="preserve">2T27</t>
  </si>
  <si>
    <t xml:space="preserve">LTM proyectado (3T26–2T27)</t>
  </si>
  <si>
    <t xml:space="preserve">LTM actual (3T25–2T26)</t>
  </si>
  <si>
    <t xml:space="preserve">Variación vs. LTM actual</t>
  </si>
  <si>
    <t xml:space="preserve">X (pronóstico)</t>
  </si>
  <si>
    <t xml:space="preserve">Costos y gastos operativos</t>
  </si>
  <si>
    <t xml:space="preserve">EBIT</t>
  </si>
  <si>
    <t xml:space="preserve">Tasa de impuesto</t>
  </si>
  <si>
    <t xml:space="preserve">EBIT (1 − T)</t>
  </si>
  <si>
    <t xml:space="preserve">Capital de trabajo neto (cierre)</t>
  </si>
  <si>
    <t xml:space="preserve">(−) ΔNWC (cambio en capital de trabajo)</t>
  </si>
  <si>
    <t xml:space="preserve">FCFF = EBIT(1−T) + D&amp;A − Capex − ΔNWC</t>
  </si>
  <si>
    <t xml:space="preserve">2. FCFF PROYECTADO AJUSTADO POR VARIABLES EXTERNAS</t>
  </si>
  <si>
    <t xml:space="preserve">Ajuste neto a ventas</t>
  </si>
  <si>
    <t xml:space="preserve">Ajuste neto a costos y gastos</t>
  </si>
  <si>
    <t xml:space="preserve">Ajuste neto a capex</t>
  </si>
  <si>
    <t xml:space="preserve">LTM ajustado (3T26–2T27)</t>
  </si>
  <si>
    <t xml:space="preserve">LTM proyectado sin ajuste</t>
  </si>
  <si>
    <t xml:space="preserve">Variación vs. sin ajuste</t>
  </si>
  <si>
    <t xml:space="preserve">(−) ΔNWC</t>
  </si>
  <si>
    <t xml:space="preserve">FCFF ajustado</t>
  </si>
  <si>
    <t xml:space="preserve">DETALLE DE MÍNIMOS CUADRADOS POR PARTIDA DEL FCFF</t>
  </si>
  <si>
    <t xml:space="preserve">1. VENTAS (ingresos totales)</t>
  </si>
  <si>
    <t xml:space="preserve">Trimestre</t>
  </si>
  <si>
    <t xml:space="preserve">n</t>
  </si>
  <si>
    <t xml:space="preserve">X = n − (N+1)/2</t>
  </si>
  <si>
    <t xml:space="preserve">Y (mdp)</t>
  </si>
  <si>
    <t xml:space="preserve">XY</t>
  </si>
  <si>
    <t xml:space="preserve">X²</t>
  </si>
  <si>
    <t xml:space="preserve">Trimestre a pronosticar</t>
  </si>
  <si>
    <t xml:space="preserve">Y pronosticada</t>
  </si>
  <si>
    <t xml:space="preserve">Σ (sumas)</t>
  </si>
  <si>
    <t xml:space="preserve">N (trimestres)</t>
  </si>
  <si>
    <t xml:space="preserve">X̄ = ΣX / N</t>
  </si>
  <si>
    <t xml:space="preserve">b = ΣXY / ΣX²</t>
  </si>
  <si>
    <t xml:space="preserve">a = ΣY / N</t>
  </si>
  <si>
    <t xml:space="preserve">R² (ajuste)</t>
  </si>
  <si>
    <t xml:space="preserve">2. COSTOS Y GASTOS OPERATIVOS (ventas − EBIT)</t>
  </si>
  <si>
    <t xml:space="preserve">3. TASA DE IMPUESTO (impuestos / UAI)</t>
  </si>
  <si>
    <t xml:space="preserve">Y (tasa)</t>
  </si>
  <si>
    <t xml:space="preserve">4. DEPRECIACIÓN Y AMORTIZACIÓN</t>
  </si>
  <si>
    <t xml:space="preserve">5. CAPEX (inmuebles, equipo e intangibles)</t>
  </si>
  <si>
    <t xml:space="preserve">6. CAPITAL DE TRABAJO NETO (activo circ. − pasivo circ.)</t>
  </si>
  <si>
    <t xml:space="preserve">#</t>
  </si>
  <si>
    <t xml:space="preserve">Categoría</t>
  </si>
  <si>
    <t xml:space="preserve">Variable</t>
  </si>
  <si>
    <t xml:space="preserve">Dato observado</t>
  </si>
  <si>
    <t xml:space="preserve">Canal de transmisión a Soriana</t>
  </si>
  <si>
    <t xml:space="preserve">Partida del FCFF afectada</t>
  </si>
  <si>
    <t xml:space="preserve">Efecto</t>
  </si>
  <si>
    <t xml:space="preserve">Ajuste a ventas (%)</t>
  </si>
  <si>
    <t xml:space="preserve">Ajuste a costos y gastos (%)</t>
  </si>
  <si>
    <t xml:space="preserve">Ajuste a capex (%)</t>
  </si>
  <si>
    <t xml:space="preserve">Macroeconomía México</t>
  </si>
  <si>
    <t xml:space="preserve">Crecimiento del PIB</t>
  </si>
  <si>
    <t xml:space="preserve">Banxico (Informe abr–jun 2026): PIB 2026 1.5% (rango 1.0–2.0%); 2027 2.0% (rango 1.2–2.8%)</t>
  </si>
  <si>
    <t xml:space="preserve">Banxico espera que el consumo privado retome tendencia positiva tras la debilidad de inicio de 2026: más volumen en autoservicio</t>
  </si>
  <si>
    <t xml:space="preserve">+</t>
  </si>
  <si>
    <t xml:space="preserve">Inflación</t>
  </si>
  <si>
    <t xml:space="preserve">General 3.42% y subyacente 3.79% (1a quincena sep-2026); convergencia a 3% hasta 4T27</t>
  </si>
  <si>
    <t xml:space="preserve">Eleva ventas nominales y costo de mercancía en proporción similar; efecto casi neutral en margen (ya capturado en la tendencia)</t>
  </si>
  <si>
    <t xml:space="preserve">Ventas y costos</t>
  </si>
  <si>
    <t xml:space="preserve">Política monetaria</t>
  </si>
  <si>
    <t xml:space="preserve">Tasa objetivo Banxico / Fed</t>
  </si>
  <si>
    <t xml:space="preserve">Banxico mantuvo 6.50% (24-sep-2026, unánime); la Fed subió 25 pb en septiembre</t>
  </si>
  <si>
    <t xml:space="preserve">Afecta costo de deuda y WACC (descuento del FCFF), no el FCFF operativo; crédito al consumo sigue caro</t>
  </si>
  <si>
    <t xml:space="preserve">WACC / gastos financieros</t>
  </si>
  <si>
    <t xml:space="preserve">− (valuación)</t>
  </si>
  <si>
    <t xml:space="preserve">Tipo de cambio</t>
  </si>
  <si>
    <t xml:space="preserve">18.08 MXN/USD al cierre del 30-sep-2026; el peso perdió 6.38% en septiembre</t>
  </si>
  <si>
    <t xml:space="preserve">Encarece mercancía general importada (electrónica, línea blanca) y equipo/refrigeración del programa de capex</t>
  </si>
  <si>
    <t xml:space="preserve">Costos y capex</t>
  </si>
  <si>
    <t xml:space="preserve">−</t>
  </si>
  <si>
    <t xml:space="preserve">Remesas</t>
  </si>
  <si>
    <t xml:space="preserve">2025: USD 61,791 mm (−4.6%), primera caída anual en 11 años; 1T26 +1.4%</t>
  </si>
  <si>
    <t xml:space="preserve">Menor ingreso de hogares en Bajío, Occidente y Norte (regiones clave de Soriana) por política migratoria de EU</t>
  </si>
  <si>
    <t xml:space="preserve">Política México (laboral)</t>
  </si>
  <si>
    <t xml:space="preserve">Salario mínimo 2026</t>
  </si>
  <si>
    <t xml:space="preserve">+13%: de 278.80 a 315.04 $/día (frontera norte +5%: 440.87 $/día); meta 2.5 canastas básicas a 2030</t>
  </si>
  <si>
    <t xml:space="preserve">Sube la nómina operativa de tiendas, pero también el ingreso disponible del cliente de bajos ingresos</t>
  </si>
  <si>
    <t xml:space="preserve">Costos (+) y ventas (+)</t>
  </si>
  <si>
    <t xml:space="preserve">Mixto</t>
  </si>
  <si>
    <t xml:space="preserve">Jornada laboral de 40 horas</t>
  </si>
  <si>
    <t xml:space="preserve">Reducción gradual de 48 a 40 h; 2026 es periodo de adecuación y los cambios inician en 2027</t>
  </si>
  <si>
    <t xml:space="preserve">Requiere más turnos/plantilla en tiendas de horario extendido o más automatización</t>
  </si>
  <si>
    <t xml:space="preserve">Costos</t>
  </si>
  <si>
    <t xml:space="preserve">Política México (fiscal)</t>
  </si>
  <si>
    <t xml:space="preserve">IEPS a bebidas y tabaco</t>
  </si>
  <si>
    <t xml:space="preserve">Bebidas azucaradas de 1.64 a 3.08 $/litro; tabaco de 160% a 200% ad valorem (2026)</t>
  </si>
  <si>
    <t xml:space="preserve">Menor volumen en categorías de alta rotación (refrescos, tabaco) dentro del ticket del autoservicio</t>
  </si>
  <si>
    <t xml:space="preserve">Política comercial México</t>
  </si>
  <si>
    <t xml:space="preserve">Aranceles a países sin tratado</t>
  </si>
  <si>
    <t xml:space="preserve">Aranceles nuevos o mayores de hasta 50% a importaciones de China, Corea del Sur, India, Vietnam, etc. desde 1-ene-2026</t>
  </si>
  <si>
    <t xml:space="preserve">Encarece ropa, juguetes, electrónicos y equipo de tienda de origen asiático</t>
  </si>
  <si>
    <t xml:space="preserve">T-MEC</t>
  </si>
  <si>
    <t xml:space="preserve">Revisión del T-MEC</t>
  </si>
  <si>
    <t xml:space="preserve">EU activó el mecanismo de revisiones anuales (no hubo extensión en jul-2026); Banxico prevé inversión débil por la incertidumbre comercial</t>
  </si>
  <si>
    <t xml:space="preserve">Frena inversión y empleo formal en el Norte industrial, base de clientes de Soriana (Coahuila, NL, Chihuahua)</t>
  </si>
  <si>
    <t xml:space="preserve">T-MEC / aranceles de EU</t>
  </si>
  <si>
    <t xml:space="preserve">Aranceles de EU a sectores estratégicos</t>
  </si>
  <si>
    <t xml:space="preserve">Persisten aranceles de EU a acero, aluminio y automotriz; bienes con origen T-MEC conservan exención; exportaciones a EU +7.7% acumulado a mayo</t>
  </si>
  <si>
    <t xml:space="preserve">Presión sobre empleo manufacturero (autopartes, acero) en ciudades del Norte donde Soriana concentra tiendas</t>
  </si>
  <si>
    <t xml:space="preserve">Geopolítica</t>
  </si>
  <si>
    <t xml:space="preserve">Conflicto en Medio Oriente / petróleo</t>
  </si>
  <si>
    <t xml:space="preserve">Petróleo por encima de USD 100, dólar fuerte e incertidumbre geopolítica presionan al peso (sep-2026)</t>
  </si>
  <si>
    <t xml:space="preserve">Encarece energía de tiendas, diésel y fletes de la logística; riesgo inflacionario</t>
  </si>
  <si>
    <t xml:space="preserve">Sector retail</t>
  </si>
  <si>
    <t xml:space="preserve">Ventas ANTAD (mismas tiendas)</t>
  </si>
  <si>
    <t xml:space="preserve">Ago-2026: tiendas iguales +1.7% y totales +4.2%; autoservicio −0.7% a tiendas iguales; acumulado ene–ago +1.5%</t>
  </si>
  <si>
    <t xml:space="preserve">Demanda del formato autoservicio crece por debajo de la inflación (caída real del ticket/tráfico)</t>
  </si>
  <si>
    <t xml:space="preserve">Megatendencia / retail</t>
  </si>
  <si>
    <t xml:space="preserve">Hard discount y búsqueda de valor</t>
  </si>
  <si>
    <t xml:space="preserve">Tiendas 3B pasó de 4% (2019) a 14% (2025) del mercado de descuento; Bodega Aurrera de 71% a 63% (Bain &amp; Company)</t>
  </si>
  <si>
    <t xml:space="preserve">Pérdida de tráfico en formatos Súper/Mercado y mayor gasto promocional para defender precio</t>
  </si>
  <si>
    <t xml:space="preserve">Ventas (−) y costos (+)</t>
  </si>
  <si>
    <t xml:space="preserve">Omnicanalidad y comercio digital</t>
  </si>
  <si>
    <t xml:space="preserve">Las temporalidades sostienen el eCommerce durante todo el año; los autoservicios invierten en surtido en línea y última milla (ANTAD)</t>
  </si>
  <si>
    <t xml:space="preserve">Ventas digitales incrementales, pero exige capex en tecnología, refrigeración y logística</t>
  </si>
  <si>
    <t xml:space="preserve">Ventas (+) y capex (+)</t>
  </si>
  <si>
    <t xml:space="preserve">Inmobiliario y arrendamientos</t>
  </si>
  <si>
    <t xml:space="preserve">Rentas de locales comerciales</t>
  </si>
  <si>
    <t xml:space="preserve">Rentas de locales comerciales +11.09% en 1S26; promedio USD 28.93/m² a jun-2026</t>
  </si>
  <si>
    <t xml:space="preserve">Encarece la renovación de contratos de tiendas arrendadas (pasivo por arrendamiento), pero valoriza m² propios y espacios subarrendables</t>
  </si>
  <si>
    <t xml:space="preserve">Costos (+) y otros ingresos (+)</t>
  </si>
  <si>
    <t xml:space="preserve">Ocupación de centros comerciales (FIBRAs)</t>
  </si>
  <si>
    <t xml:space="preserve">Los 10 jugadores institucionales con ocupación arriba de 91% (algunos 99%) al 2T26, rentas al alza y spreads de renovación altos</t>
  </si>
  <si>
    <t xml:space="preserve">Alta demanda por espacio facilita monetizar/subarrendar las áreas liberadas por cierres y reducción de tiendas</t>
  </si>
  <si>
    <t xml:space="preserve">Ventas (otros ingresos)</t>
  </si>
  <si>
    <t xml:space="preserve">TOTAL</t>
  </si>
  <si>
    <t xml:space="preserve">Ajuste neto aplicado a la proyección</t>
  </si>
  <si>
    <t xml:space="preserve">A. PONDERACIÓN DE MÉTODOS</t>
  </si>
  <si>
    <t xml:space="preserve">Peso de variables externas</t>
  </si>
  <si>
    <t xml:space="preserve">Peso de mínimos cuadrados</t>
  </si>
  <si>
    <t xml:space="preserve">B. CRECIMIENTO DE VENTAS — VARIABLES EXTERNAS</t>
  </si>
  <si>
    <t xml:space="preserve">Inflación esperada (INPC) — escenario de la hoja Inflación</t>
  </si>
  <si>
    <t xml:space="preserve">Crecimiento real del PIB de México</t>
  </si>
  <si>
    <t xml:space="preserve">Elasticidad del volumen de autoservicio al PIB (x)</t>
  </si>
  <si>
    <t xml:space="preserve">Ajuste por debilidad del consumo</t>
  </si>
  <si>
    <t xml:space="preserve">Crecimiento nominal del mercado de autoservicio</t>
  </si>
  <si>
    <t xml:space="preserve">(±) Pérdida de participación (hard discount y competidores)</t>
  </si>
  <si>
    <t xml:space="preserve">(±) Cierre y reducción de tiendas</t>
  </si>
  <si>
    <t xml:space="preserve">(±) Remesas y política migratoria de EU</t>
  </si>
  <si>
    <t xml:space="preserve">(±) T-MEC y aranceles de EU (empleo industrial del Norte)</t>
  </si>
  <si>
    <t xml:space="preserve">(±) Programas sociales y salario mínimo (ingreso disponible)</t>
  </si>
  <si>
    <t xml:space="preserve">(±) Omnicanalidad y ventas digitales</t>
  </si>
  <si>
    <t xml:space="preserve">(±) PACIC e IEPS (precio tope y menor volumen)</t>
  </si>
  <si>
    <t xml:space="preserve">(±) Ingresos inmobiliarios y financieros (m² liberados, Sofipo)</t>
  </si>
  <si>
    <t xml:space="preserve">Crecimiento de ventas — variables externas</t>
  </si>
  <si>
    <t xml:space="preserve">C. CRECIMIENTO DE VENTAS — MÍNIMOS CUADRADOS</t>
  </si>
  <si>
    <t xml:space="preserve">Ventas por mínimos cuadrados (regresión solo 2026E; 2027E–2030E crecen con la inflación)</t>
  </si>
  <si>
    <t xml:space="preserve">Crecimiento de ventas — mínimos cuadrados</t>
  </si>
  <si>
    <t xml:space="preserve">CRECIMIENTO DE VENTAS FINAL (ponderado)</t>
  </si>
  <si>
    <t xml:space="preserve">D. MARGEN EBIT</t>
  </si>
  <si>
    <t xml:space="preserve">Margen EBIT — variables externas (acumulado)</t>
  </si>
  <si>
    <t xml:space="preserve">(±) Austeridad, cierres y eficiencias</t>
  </si>
  <si>
    <t xml:space="preserve">(±) Salario mínimo +13% y jornada de 40 h</t>
  </si>
  <si>
    <t xml:space="preserve">(±) Inversión en precio (hard discount, PACIC)</t>
  </si>
  <si>
    <t xml:space="preserve">(±) Tipo de cambio y aranceles a importaciones de Asia</t>
  </si>
  <si>
    <t xml:space="preserve">(±) Energía, combustibles y fletes</t>
  </si>
  <si>
    <t xml:space="preserve">(±) Rentas comerciales (tiendas arrendadas)</t>
  </si>
  <si>
    <t xml:space="preserve">(±) Ingresos inmobiliarios y servicios financieros</t>
  </si>
  <si>
    <t xml:space="preserve">(±) Desapalancamiento operativo por menores ventas</t>
  </si>
  <si>
    <t xml:space="preserve">Margen EBIT — mínimos cuadrados ajustado por variables externas</t>
  </si>
  <si>
    <t xml:space="preserve">MARGEN EBIT FINAL (ponderado)</t>
  </si>
  <si>
    <t xml:space="preserve">E. OTROS SUPUESTOS (FCF Y ESTADOS FINANCIEROS)</t>
  </si>
  <si>
    <t xml:space="preserve">D&amp;A (% ventas) — variables externas / histórico</t>
  </si>
  <si>
    <t xml:space="preserve">D&amp;A (% ventas) — mínimos cuadrados</t>
  </si>
  <si>
    <t xml:space="preserve">D&amp;A (% ventas) FINAL</t>
  </si>
  <si>
    <t xml:space="preserve">Capex guía de Soriana 2026 (mdp)</t>
  </si>
  <si>
    <t xml:space="preserve">(+) Inversión adicional en omnicanal y remodelación (% ventas)</t>
  </si>
  <si>
    <t xml:space="preserve">Capex (% ventas) — variables externas</t>
  </si>
  <si>
    <t xml:space="preserve">Capex (% ventas) — mínimos cuadrados</t>
  </si>
  <si>
    <t xml:space="preserve">Capex (% ventas) FINAL</t>
  </si>
  <si>
    <t xml:space="preserve">(+) Ajuste a la tasa por límite de deducciones (Paquete Económico 2027)</t>
  </si>
  <si>
    <t xml:space="preserve">Tasa de impuestos — variables externas</t>
  </si>
  <si>
    <t xml:space="preserve">Tasa de impuestos — efectiva FY2025 (sustituye la tendencia lineal de MC)</t>
  </si>
  <si>
    <t xml:space="preserve">Tasa de impuestos FINAL</t>
  </si>
  <si>
    <t xml:space="preserve">Amortización neta de deuda bursátil y bancaria (mdp)</t>
  </si>
  <si>
    <t xml:space="preserve">1. PROYECCIÓN DE ESTADOS FINANCIEROS (mdp)</t>
  </si>
  <si>
    <t xml:space="preserve">1.1 ESTADO DE RESULTADOS</t>
  </si>
  <si>
    <t xml:space="preserve">Margen EBITDA</t>
  </si>
  <si>
    <t xml:space="preserve">1.2 BALANCE GENERAL</t>
  </si>
  <si>
    <t xml:space="preserve">1.3 CONCILIACIÓN DE EFECTIVO</t>
  </si>
  <si>
    <t xml:space="preserve">(−) Dividendos pagados</t>
  </si>
  <si>
    <t xml:space="preserve">(±) Amortización neta de deuda</t>
  </si>
  <si>
    <t xml:space="preserve">Cambio neto en efectivo</t>
  </si>
  <si>
    <t xml:space="preserve">2. FLUJO LIBRE DE EFECTIVO (FCF) — 5 AÑOS</t>
  </si>
  <si>
    <t xml:space="preserve">NOPAT = EBIT × (1 − T)</t>
  </si>
  <si>
    <t xml:space="preserve">FCF = NOPAT + D&amp;A − Capex − ΔNWC</t>
  </si>
  <si>
    <t xml:space="preserve">3. VALOR TERMINAL</t>
  </si>
  <si>
    <t xml:space="preserve">WACC base (iterado)</t>
  </si>
  <si>
    <t xml:space="preserve">(+) Prima por riesgo externo</t>
  </si>
  <si>
    <t xml:space="preserve">WACC final</t>
  </si>
  <si>
    <t xml:space="preserve">FCF 2030E normalizado para el valor terminal (capex = D&amp;A) = NOPAT − ΔNWC</t>
  </si>
  <si>
    <t xml:space="preserve">FCF + 1 (2031E) = FCF 2030E × (1 + g)</t>
  </si>
  <si>
    <t xml:space="preserve">Valor terminal = FCF+1 / (WACC − g)</t>
  </si>
  <si>
    <t xml:space="preserve">Factor de descuento del año 5</t>
  </si>
  <si>
    <t xml:space="preserve">4. VALOR DE LA EMPRESA (EV)</t>
  </si>
  <si>
    <t xml:space="preserve">Suma VP de FCF 2026E–2030E</t>
  </si>
  <si>
    <t xml:space="preserve">(+) VP del valor terminal</t>
  </si>
  <si>
    <t xml:space="preserve">Valor de la empresa (EV)</t>
  </si>
  <si>
    <t xml:space="preserve">5. EQUITY VALUE</t>
  </si>
  <si>
    <t xml:space="preserve">Deuda neta (memo)</t>
  </si>
  <si>
    <t xml:space="preserve">Equity Value (valor del capital)</t>
  </si>
  <si>
    <t xml:space="preserve">6. PRECIO POR ACCIÓN</t>
  </si>
  <si>
    <t xml:space="preserve">Equity Value</t>
  </si>
  <si>
    <t xml:space="preserve">PRECIO POR ACCIÓN — PROYECCIÓN FINAL (MXN)</t>
  </si>
  <si>
    <t xml:space="preserve">Precio por acción de la proyección base (MXN)</t>
  </si>
  <si>
    <t xml:space="preserve">Diferencia vs. proyección base</t>
  </si>
  <si>
    <t xml:space="preserve">Umbral para recomendación (±)</t>
  </si>
  <si>
    <t xml:space="preserve">Recomendación del modelo</t>
  </si>
  <si>
    <t xml:space="preserve">Comprobación del balance</t>
  </si>
  <si>
    <t xml:space="preserve">Comprobación WACC &gt; g</t>
  </si>
  <si>
    <t xml:space="preserve">7. SENSIBILIDAD — PRECIO GORDON AL CIERRE DE 2025 (MXN; centro = B150, no es el precio objetivo final: ver sección 12)</t>
  </si>
  <si>
    <t xml:space="preserve">Paso de WACC y g</t>
  </si>
  <si>
    <t xml:space="preserve">WACC ↓ / g →</t>
  </si>
  <si>
    <t xml:space="preserve">Diferencia centro vs. B150</t>
  </si>
  <si>
    <t xml:space="preserve">8. MATRIZ DE FACTORES EXTERNOS (investigación)</t>
  </si>
  <si>
    <t xml:space="preserve">Impacto (1–5)</t>
  </si>
  <si>
    <t xml:space="preserve">Probabilidad</t>
  </si>
  <si>
    <t xml:space="preserve">Horizonte</t>
  </si>
  <si>
    <t xml:space="preserve">Partida</t>
  </si>
  <si>
    <t xml:space="preserve">Fila modelo</t>
  </si>
  <si>
    <t xml:space="preserve">MACRO — Crecimiento del PIB de México</t>
  </si>
  <si>
    <t xml:space="preserve">Alta</t>
  </si>
  <si>
    <t xml:space="preserve">CP–MP</t>
  </si>
  <si>
    <t xml:space="preserve">MACRO — Inflación</t>
  </si>
  <si>
    <t xml:space="preserve">MACRO — Consumo privado y confianza</t>
  </si>
  <si>
    <t xml:space="preserve">CP</t>
  </si>
  <si>
    <t xml:space="preserve">MACRO — Empleo formal y masa salarial</t>
  </si>
  <si>
    <t xml:space="preserve">Media</t>
  </si>
  <si>
    <t xml:space="preserve">MACRO — Remesas</t>
  </si>
  <si>
    <t xml:space="preserve">MONETARIO — Tasa Banxico</t>
  </si>
  <si>
    <t xml:space="preserve">WACC / intereses</t>
  </si>
  <si>
    <t xml:space="preserve">61 / 126</t>
  </si>
  <si>
    <t xml:space="preserve">MONETARIO — Fed y tasas de EU</t>
  </si>
  <si>
    <t xml:space="preserve">WACC / TC</t>
  </si>
  <si>
    <t xml:space="preserve">CAMBIARIO — Tipo de cambio</t>
  </si>
  <si>
    <t xml:space="preserve">RIESGO PAÍS — Calificación soberana</t>
  </si>
  <si>
    <t xml:space="preserve">MP</t>
  </si>
  <si>
    <t xml:space="preserve">T-MEC — Revisiones anuales</t>
  </si>
  <si>
    <t xml:space="preserve">T-MEC — Aranceles de EU (232, 301)</t>
  </si>
  <si>
    <t xml:space="preserve">POLÍTICA COMERCIAL MX — Aranceles a Asia</t>
  </si>
  <si>
    <t xml:space="preserve">POLÍTICA LABORAL — Salario mínimo</t>
  </si>
  <si>
    <t xml:space="preserve">CP–LP</t>
  </si>
  <si>
    <t xml:space="preserve">Costos y ventas</t>
  </si>
  <si>
    <t xml:space="preserve">33 / 19</t>
  </si>
  <si>
    <t xml:space="preserve">POLÍTICA LABORAL — Jornada de 40 h</t>
  </si>
  <si>
    <t xml:space="preserve">POLÍTICA FISCAL — IEPS (refrescos, tabaco, sodio)</t>
  </si>
  <si>
    <t xml:space="preserve">POLÍTICA FISCAL — Paquete Económico 2027</t>
  </si>
  <si>
    <t xml:space="preserve">POLÍTICA SOCIAL — Programas del Bienestar</t>
  </si>
  <si>
    <t xml:space="preserve">REGULACIÓN — PACIC (canasta básica)</t>
  </si>
  <si>
    <t xml:space="preserve">Margen</t>
  </si>
  <si>
    <t xml:space="preserve">SECTOR RETAIL — Desempeño de competidores</t>
  </si>
  <si>
    <t xml:space="preserve">MEGATENDENCIA — Hard discount</t>
  </si>
  <si>
    <t xml:space="preserve">Ventas y margen</t>
  </si>
  <si>
    <t xml:space="preserve">15 / 34</t>
  </si>
  <si>
    <t xml:space="preserve">MEGATENDENCIA — Comercio electrónico</t>
  </si>
  <si>
    <t xml:space="preserve">MP–LP</t>
  </si>
  <si>
    <t xml:space="preserve">Ventas y capex</t>
  </si>
  <si>
    <t xml:space="preserve">20 / 48</t>
  </si>
  <si>
    <t xml:space="preserve">MEGATENDENCIA — Formatos más pequeños / proximidad</t>
  </si>
  <si>
    <t xml:space="preserve">INMOBILIARIO — Rentas comerciales</t>
  </si>
  <si>
    <t xml:space="preserve">37 / 38</t>
  </si>
  <si>
    <t xml:space="preserve">INMOBILIARIO — Ocupación de FIBRAs comerciales</t>
  </si>
  <si>
    <t xml:space="preserve">SORIANA — Servicios financieros (Sofipo)</t>
  </si>
  <si>
    <t xml:space="preserve">SORIANA — Austeridad y eficiencia</t>
  </si>
  <si>
    <t xml:space="preserve">SORIANA — Guía de inversión 2026</t>
  </si>
  <si>
    <t xml:space="preserve">GEOPOLÍTICA — Medio Oriente y petróleo</t>
  </si>
  <si>
    <t xml:space="preserve">GEOPOLÍTICA — Política migratoria de EU</t>
  </si>
  <si>
    <t xml:space="preserve">SEGURIDAD — Extorsión e inseguridad</t>
  </si>
  <si>
    <t xml:space="preserve">—</t>
  </si>
  <si>
    <t xml:space="preserve">9. ITERACIÓN DEL WACC (estructura de capital al valor DCF)</t>
  </si>
  <si>
    <t xml:space="preserve">Kd antes de impuestos (tasa implícita proyectada 2026E)</t>
  </si>
  <si>
    <t xml:space="preserve">Tasa de impuestos para el escudo fiscal y el reapalancamiento (ISR marginal)</t>
  </si>
  <si>
    <t xml:space="preserve">Kd después de impuestos</t>
  </si>
  <si>
    <t xml:space="preserve">Deuda total (D) = bancaria/bursátil + arrendamientos (2025)</t>
  </si>
  <si>
    <t xml:space="preserve">Prima de riesgo de mercado (PRM)</t>
  </si>
  <si>
    <t xml:space="preserve">Beta desapalancada del sector (βU)</t>
  </si>
  <si>
    <t xml:space="preserve">Iteración</t>
  </si>
  <si>
    <t xml:space="preserve">WACC de entrada</t>
  </si>
  <si>
    <t xml:space="preserve">Equity DCF (mdp)</t>
  </si>
  <si>
    <t xml:space="preserve">Beta apalancada</t>
  </si>
  <si>
    <t xml:space="preserve">Ke (CAPM)</t>
  </si>
  <si>
    <t xml:space="preserve">WACC de salida</t>
  </si>
  <si>
    <t xml:space="preserve">0 (WACC de la hoja WACC)</t>
  </si>
  <si>
    <t xml:space="preserve">WACC convergido</t>
  </si>
  <si>
    <t xml:space="preserve">Ke convergido</t>
  </si>
  <si>
    <t xml:space="preserve">Variación de la última iteración (pb)</t>
  </si>
  <si>
    <t xml:space="preserve">10. VALOR TERMINAL POR MÚLTIPLOS (EV/EBITDA)</t>
  </si>
  <si>
    <t xml:space="preserve">(+) Deuda total (bancaria/bursátil + arrendamientos)</t>
  </si>
  <si>
    <t xml:space="preserve">(−) Efectivo y equivalentes</t>
  </si>
  <si>
    <t xml:space="preserve">EV de mercado</t>
  </si>
  <si>
    <t xml:space="preserve">EBITDA FY2025 (EBIT + D&amp;A)</t>
  </si>
  <si>
    <t xml:space="preserve">EV / EBITDA actual</t>
  </si>
  <si>
    <t xml:space="preserve">Mediana de comparables (Walmex, Chedraui, La Comer)</t>
  </si>
  <si>
    <t xml:space="preserve">(−) Descuento de Soriana vs. comparables</t>
  </si>
  <si>
    <t xml:space="preserve">Múltiplo de salida aplicado (EV/EBITDA)</t>
  </si>
  <si>
    <t xml:space="preserve">EBITDA 2030E</t>
  </si>
  <si>
    <t xml:space="preserve">Valor terminal por múltiplo al cierre de 2030</t>
  </si>
  <si>
    <t xml:space="preserve">Valor presente del valor terminal (múltiplo)</t>
  </si>
  <si>
    <t xml:space="preserve">EV por múltiplos</t>
  </si>
  <si>
    <t xml:space="preserve">Equity Value por múltiplos</t>
  </si>
  <si>
    <t xml:space="preserve">Precio por acción — múltiplos (MXN)</t>
  </si>
  <si>
    <t xml:space="preserve">Múltiplo EV/EBITDA implícito en Gordon</t>
  </si>
  <si>
    <t xml:space="preserve">g implícita en el múltiplo aplicado</t>
  </si>
  <si>
    <t xml:space="preserve">Peso del método Gordon</t>
  </si>
  <si>
    <t xml:space="preserve">Peso del método de múltiplos</t>
  </si>
  <si>
    <t xml:space="preserve">EV ponderado (cierre 2025)</t>
  </si>
  <si>
    <t xml:space="preserve">Precio por acción ponderado al cierre 2025 (MXN)</t>
  </si>
  <si>
    <t xml:space="preserve">11. VALOR A LA FECHA DE VALUACIÓN Y PRECIO OBJETIVO FINAL</t>
  </si>
  <si>
    <t xml:space="preserve">Fecha base del descuento</t>
  </si>
  <si>
    <t xml:space="preserve">Fecha del último balance disponible (2T26)</t>
  </si>
  <si>
    <t xml:space="preserve">Fecha de valuación</t>
  </si>
  <si>
    <t xml:space="preserve">Años del cierre 2025 al 2T26</t>
  </si>
  <si>
    <t xml:space="preserve">Años del 2T26 a la fecha de valuación</t>
  </si>
  <si>
    <t xml:space="preserve">EV ponderado al cierre 2025</t>
  </si>
  <si>
    <t xml:space="preserve">EV capitalizado al 2T26 = EV × (1 + WACC)^t</t>
  </si>
  <si>
    <t xml:space="preserve">(−) FCF de 1S26 (CFO − Capex real = −1,060.5; al ser negativo, restarlo aumenta el EV)</t>
  </si>
  <si>
    <t xml:space="preserve">EV al 2T26</t>
  </si>
  <si>
    <t xml:space="preserve">(−) Deuda bursátil y bancaria 2T26</t>
  </si>
  <si>
    <t xml:space="preserve">(−) Pasivo por arrendamiento 2T26</t>
  </si>
  <si>
    <t xml:space="preserve">(+) Efectivo y equivalentes 2T26</t>
  </si>
  <si>
    <t xml:space="preserve">Equity Value al 2T26</t>
  </si>
  <si>
    <t xml:space="preserve">Equity Value a la fecha de valuación = E × (1 + Ke)^t</t>
  </si>
  <si>
    <t xml:space="preserve">PRECIO OBJETIVO FINAL POR ACCIÓN (MXN)</t>
  </si>
  <si>
    <t xml:space="preserve">Recomendación final</t>
  </si>
  <si>
    <t xml:space="preserve">Diferencia vs. consenso</t>
  </si>
  <si>
    <t xml:space="preserve">12. SENSIBILIDAD DEL PRECIO OBJETIVO FINAL (MXN) — WACC × g, Ke fijo en el convergido (B221), 50/50 Gordon/múltiplo, puente a la fecha de valuación</t>
  </si>
  <si>
    <t xml:space="preserve">Diferencia centro vs. precio objetivo final (B265)</t>
  </si>
  <si>
    <t xml:space="preserve">1. ESCENARIO DE INFLACIÓN APLICADO AL MODELO (entra a Proyección Final Soriana, fila 10)</t>
  </si>
  <si>
    <t xml:space="preserve">Escenario oficial (1 = Cautela · 2 = Base · 3 = Alcista)</t>
  </si>
  <si>
    <t xml:space="preserve">Decisión del proyecto: tres escenarios oficiales; Base por defecto. El valor 0 aplica la trayectoria Citi solo como referencia histórica (con la beta heredada reproduce el baseline $31.16).</t>
  </si>
  <si>
    <t xml:space="preserve">Fuente / naturaleza</t>
  </si>
  <si>
    <t xml:space="preserve">0 · Trayectoria Citi — Referencia histórica (no es escenario)</t>
  </si>
  <si>
    <t xml:space="preserve">Encuesta Citi de Expectativas, 22-sep-2026: cierre 2026 3.93%, 2027 3.83%, promedio 2028–32 3.75% (comentario original de Proyección Final!C10). Pronóstico de consenso por año: REFERENCIA HISTÓRICA del modelo anterior, no escenario oficial.</t>
  </si>
  <si>
    <t xml:space="preserve">1 · Cautela (constante)</t>
  </si>
  <si>
    <t xml:space="preserve">Ver sección 4: escenario derivado de la tendencia larga (no es pronóstico de modelo).</t>
  </si>
  <si>
    <t xml:space="preserve">2 · Base (constante)</t>
  </si>
  <si>
    <t xml:space="preserve">Ver sección 4: resultado de modelo (pronóstico exponencial trimestral de clase).</t>
  </si>
  <si>
    <t xml:space="preserve">3 · Alcista (constante)</t>
  </si>
  <si>
    <t xml:space="preserve">Ver sección 4: supuesto de escenario (no es pronóstico estadístico).</t>
  </si>
  <si>
    <t xml:space="preserve">INFLACIÓN APLICADA AL MODELO</t>
  </si>
  <si>
    <t xml:space="preserve">Proyección Final Soriana!C10:G10 = esta fila. Los escenarios constantes extienden a 2026–2030 un pronóstico de un periodo: es un supuesto documentado.</t>
  </si>
  <si>
    <t xml:space="preserve">2. MODELOS EXPONENCIALES</t>
  </si>
  <si>
    <t xml:space="preserve">Modelo</t>
  </si>
  <si>
    <t xml:space="preserve">a</t>
  </si>
  <si>
    <t xml:space="preserve">b</t>
  </si>
  <si>
    <t xml:space="preserve">R²</t>
  </si>
  <si>
    <t xml:space="preserve">x siguiente</t>
  </si>
  <si>
    <t xml:space="preserve">Proyección</t>
  </si>
  <si>
    <t xml:space="preserve">Lectura</t>
  </si>
  <si>
    <t xml:space="preserve">Inmediata (quincenal, último año: sep-25 a sep-26)</t>
  </si>
  <si>
    <t xml:space="preserve">Resultado de modelo. R² bajo (tendencia de corto plazo).</t>
  </si>
  <si>
    <t xml:space="preserve">Trimestral (4 promedios trimestrales del último año)</t>
  </si>
  <si>
    <t xml:space="preserve">Resultado de modelo → define el escenario BASE. Solo 4 puntos.</t>
  </si>
  <si>
    <t xml:space="preserve">Ventana larga quincenal 2023–2026</t>
  </si>
  <si>
    <t xml:space="preserve">Resultado de modelo de tendencia larga.</t>
  </si>
  <si>
    <t xml:space="preserve">Libro de clase, ventana quincenal (coeficientes redondeados 5.8812, −0.006)</t>
  </si>
  <si>
    <t xml:space="preserve">Reproduce INFLACION!T28 = 3.427%. El exponente redondeado sobrestima la proyección frente a la fila 34.</t>
  </si>
  <si>
    <t xml:space="preserve">Construcción de clase INFLACION!S113 (5 quincenas jul–sep 2026 + proyección de la fila 35)</t>
  </si>
  <si>
    <t xml:space="preserve">Es un promedio aritmético que mezcla datos observados y una proyección, no un modelo. Es la construcción más cercana al 3.26% documentado.</t>
  </si>
  <si>
    <t xml:space="preserve">Promedios trimestrales (6 quincenas) — libro de clase D19, D25, D31, D37</t>
  </si>
  <si>
    <t xml:space="preserve">x del promedio trimestral</t>
  </si>
  <si>
    <t xml:space="preserve">ln del promedio trimestral</t>
  </si>
  <si>
    <t xml:space="preserve">4. ESCENARIOS DOCUMENTADOS Y SU NATURALEZA</t>
  </si>
  <si>
    <t xml:space="preserve">Escenario</t>
  </si>
  <si>
    <t xml:space="preserve">Naturaleza</t>
  </si>
  <si>
    <t xml:space="preserve">Origen y trazabilidad</t>
  </si>
  <si>
    <t xml:space="preserve">Cautela</t>
  </si>
  <si>
    <t xml:space="preserve">Escenario derivado de la tendencia larga (no es pronóstico de modelo)</t>
  </si>
  <si>
    <t xml:space="preserve">Valor documentado en el Dossier ("ventana 2023-2026, trimestral 3.26%") y en Avances (escenario Cautela). Construcción de clase más cercana: fila 36 (3.268%). Modelos de tendencia larga calculados aquí: fila 34.</t>
  </si>
  <si>
    <t xml:space="preserve">Base</t>
  </si>
  <si>
    <t xml:space="preserve">Forecast / resultado de modelo: modelo exponencial trimestral de clase</t>
  </si>
  <si>
    <t xml:space="preserve">Fila 33 redondeada a 2 decimales en %. Reproduce el 3.51% del Dossier ("4.0327e^(−0.028x) → 3.51%") y de Avances. Horizonte: siguiente trimestre; su extensión a 2026–30 es un supuesto.</t>
  </si>
  <si>
    <t xml:space="preserve">Alcista</t>
  </si>
  <si>
    <t xml:space="preserve">Supuesto de escenario (scenario assumption; no es pronóstico estadístico)</t>
  </si>
  <si>
    <t xml:space="preserve">Avances de valuación intrínseca: "Alcista: inflación 4.0%". No proviene de ningún modelo. Referencia de contexto: el promedio trimestral máximo del último año fue 4.33% (fila 38).</t>
  </si>
  <si>
    <t xml:space="preserve">5. DATOS: INPC variación anual quincenal</t>
  </si>
  <si>
    <t xml:space="preserve">Quincena</t>
  </si>
  <si>
    <t xml:space="preserve">Inflación %</t>
  </si>
  <si>
    <t xml:space="preserve">6. ESTUDIO DE MERCADO DE CLASE (referencia; NO alimenta el DCF) — correlaciones y beta histórica</t>
  </si>
  <si>
    <t xml:space="preserve">Mes</t>
  </si>
  <si>
    <t xml:space="preserve">Cierre mensual Soriana B (MXN)</t>
  </si>
  <si>
    <t xml:space="preserve">Inflación mensual %</t>
  </si>
  <si>
    <t xml:space="preserve">Correlación precio–inflación</t>
  </si>
  <si>
    <t xml:space="preserve">Ventana</t>
  </si>
  <si>
    <t xml:space="preserve">Toda la muestra (23 meses)</t>
  </si>
  <si>
    <t xml:space="preserve">Anual (ene–sep 2026)</t>
  </si>
  <si>
    <t xml:space="preserve">Semestral (abr–sep 2026)</t>
  </si>
  <si>
    <t xml:space="preserve">Trimestral (jul–sep 2026)</t>
  </si>
  <si>
    <t xml:space="preserve">El Dossier reporta 0.26 / 0.61 / 0.65 / 0.70; el libro de clase da los valores de esta tabla (diferencias documentadas en la auditoría).</t>
  </si>
  <si>
    <t xml:space="preserve">Rend. diario Soriana B</t>
  </si>
  <si>
    <t xml:space="preserve">Rend. diario IPC</t>
  </si>
  <si>
    <t xml:space="preserve">BETA HISTÓRICA DEL ESTUDIO (regresión de rendimientos diarios Soriana vs IPC)</t>
  </si>
  <si>
    <t xml:space="preserve">Pendiente (beta) = SLOPE</t>
  </si>
  <si>
    <t xml:space="preserve">Observaciones</t>
  </si>
  <si>
    <t xml:space="preserve">Beta reportada en el libro de clase / Dossier</t>
  </si>
  <si>
    <t xml:space="preserve">SORIANA!Y2 = SLOPE(...)*10: el factor ×10 no tiene sustento; la regresión real es la fila anterior.</t>
  </si>
  <si>
    <t xml:space="preserve">BETA USADA EN EL WACC (distinta de la beta histórica)</t>
  </si>
  <si>
    <t xml:space="preserve">Beta desapalancada usada en el WACC</t>
  </si>
  <si>
    <t xml:space="preserve">Ver hoja 'Beta y Kd' §2: beta de la regresión semanal (βL 0.2178) desapalancada (βU 0.1705) y reapalancada con la estructura de capital de Soriana. Damodaran 0.69 queda como referencia.</t>
  </si>
  <si>
    <t xml:space="preserve">Esta regresión NO alimenta el WACC</t>
  </si>
  <si>
    <t xml:space="preserve">R² cercano a cero y 62 observaciones diarias: no es una estimación defendible del riesgo sistemático de Soriana.</t>
  </si>
  <si>
    <t xml:space="preserve">1. FUENTE EXTERNA: Damodaran (REFERENCIA; no es la beta oficial desde el 19-oct-2026)</t>
  </si>
  <si>
    <t xml:space="preserve">2. BETA DE REGRESIÓN (OFICIAL desde el 19-oct-2026)</t>
  </si>
  <si>
    <t xml:space="preserve">Fuente</t>
  </si>
  <si>
    <t xml:space="preserve">Aswath Damodaran, NYU Stern  Betas by Sector</t>
  </si>
  <si>
    <t xml:space="preserve">Beta apalancada observada (βL): pendiente de la regresión semanal de rendimientos Soriana B vs. S&amp;P/BMV IPC</t>
  </si>
  <si>
    <t xml:space="preserve">Regresión semanal (Investing.com); error típico 0.1269, t 1.716, p 0.0874, IC 95% −0.032 a 0.468</t>
  </si>
  <si>
    <t xml:space="preserve">Fecha de los datos</t>
  </si>
  <si>
    <t xml:space="preserve">Enero de 2026</t>
  </si>
  <si>
    <t xml:space="preserve">Deuda usada para desapalancar (mdp)</t>
  </si>
  <si>
    <t xml:space="preserve">Deuda total al cierre 2025 (WACC!B21)</t>
  </si>
  <si>
    <t xml:space="preserve">Industria</t>
  </si>
  <si>
    <t xml:space="preserve">Retail (Grocery and Food)</t>
  </si>
  <si>
    <t xml:space="preserve">Capitalización usada para desapalancar (mdp)</t>
  </si>
  <si>
    <t xml:space="preserve">33.10 MXN (cierre 7-oct-2026) × 1,800 mm de acciones</t>
  </si>
  <si>
    <t xml:space="preserve">Número de empresas</t>
  </si>
  <si>
    <t xml:space="preserve">D/E de la regresión</t>
  </si>
  <si>
    <t xml:space="preserve">Deuda ÷ capitalización</t>
  </si>
  <si>
    <t xml:space="preserve">Beta apalancada promedio de la industria (βL)</t>
  </si>
  <si>
    <t xml:space="preserve">Tasa para desapalancar</t>
  </si>
  <si>
    <t xml:space="preserve">ISR 30%</t>
  </si>
  <si>
    <t xml:space="preserve">D/E de la industria</t>
  </si>
  <si>
    <t xml:space="preserve">Beta desapalancada derivada βU = βL / [1 + (1 − t) × D/E]</t>
  </si>
  <si>
    <t xml:space="preserve">Supuesto OFICIAL del WACC (B16 → B19)</t>
  </si>
  <si>
    <t xml:space="preserve">Tasa efectiva de la industria</t>
  </si>
  <si>
    <t xml:space="preserve">Control: βL observada ÷ βU − 1 = (1 − t) × D/E</t>
  </si>
  <si>
    <t xml:space="preserve">Debe ser 0</t>
  </si>
  <si>
    <t xml:space="preserve">Tasa marginal usada por Damodaran para desapalancar</t>
  </si>
  <si>
    <t xml:space="preserve">Beta desapalancada de la industria (βU)</t>
  </si>
  <si>
    <t xml:space="preserve">Efectivo / valor de la empresa</t>
  </si>
  <si>
    <t xml:space="preserve">Beta desapalancada corregida por caja</t>
  </si>
  <si>
    <t xml:space="preserve">Control: βU recalculada = 0.87 / [1 + (1 − 0.2537) × 0.4596]</t>
  </si>
  <si>
    <t xml:space="preserve">Beta apalancada observada en la regresión semanal (βL; no se usa directamente: se desapalanca)</t>
  </si>
  <si>
    <t xml:space="preserve">Beta desapalancada derivada de la regresión (βU, OFICIAL)</t>
  </si>
  <si>
    <t xml:space="preserve">Beta heredada del Excel anterior (solo para reproducir el baseline histórico)</t>
  </si>
  <si>
    <t xml:space="preserve">Selector de beta (2 = regresión desapalancada, OFICIAL · 1 = Damodaran 0.69, referencia · 0 = heredada 0.80, histórico)</t>
  </si>
  <si>
    <t xml:space="preserve">BETA DESAPALANCADA USADA EN EL WACC (βU) — regresión semanal desapalancada</t>
  </si>
  <si>
    <t xml:space="preserve">3. REAPALANCAMIENTO CON LA ESTRUCTURA DE CAPITAL DE SORIANA</t>
  </si>
  <si>
    <t xml:space="preserve">A valor de mercado</t>
  </si>
  <si>
    <t xml:space="preserve">Iterado al valor DCF</t>
  </si>
  <si>
    <t xml:space="preserve">Beta desapalancada βU</t>
  </si>
  <si>
    <t xml:space="preserve">D/E</t>
  </si>
  <si>
    <t xml:space="preserve">Tasa fiscal para reapalancar</t>
  </si>
  <si>
    <t xml:space="preserve">Beta reapalancada βL = βU × [1 + (1 − t) × D/E]</t>
  </si>
  <si>
    <t xml:space="preserve">Tasa libre de riesgo</t>
  </si>
  <si>
    <t xml:space="preserve">Prima de riesgo de mercado</t>
  </si>
  <si>
    <t xml:space="preserve">Ke = Rf + βL × PRM</t>
  </si>
  <si>
    <t xml:space="preserve">WACC del modelo</t>
  </si>
  <si>
    <t xml:space="preserve">Control: βL de esta hoja = βL del modelo</t>
  </si>
  <si>
    <t xml:space="preserve">Referencia (NO usada): Ke con la βL de la industria 0.87 sin reapalancar</t>
  </si>
  <si>
    <t xml:space="preserve">4. IMPACTO DEL CAMBIO DE BETA</t>
  </si>
  <si>
    <t xml:space="preserve">βU Damodaran 0.69 (referencia)</t>
  </si>
  <si>
    <t xml:space="preserve">βU regresión 0.1705 (oficial)</t>
  </si>
  <si>
    <t xml:space="preserve">Cambio</t>
  </si>
  <si>
    <t xml:space="preserve">βU</t>
  </si>
  <si>
    <t xml:space="preserve">Menor βU → menor βL y Ke → menor WACC → mayor EV y precio. El cambio no altera los flujos (FCF) ni el puente. La βU de regresión se reapalanca con la D/E de este libro; la βL observada (0.2178) no se usa directamente.</t>
  </si>
  <si>
    <t xml:space="preserve">βL iterada</t>
  </si>
  <si>
    <t xml:space="preserve">Ke iterado</t>
  </si>
  <si>
    <t xml:space="preserve">WACC iterado</t>
  </si>
  <si>
    <t xml:space="preserve">WACC a valor de mercado</t>
  </si>
  <si>
    <t xml:space="preserve">Ke a valor de mercado</t>
  </si>
  <si>
    <t xml:space="preserve">EV ponderado al cierre 2025 (mdp)</t>
  </si>
  <si>
    <t xml:space="preserve">Equity a la fecha de valuación (mdp)</t>
  </si>
  <si>
    <t xml:space="preserve">Precio DCF (MXN)</t>
  </si>
  <si>
    <t xml:space="preserve">Precio combinado (MXN)</t>
  </si>
  <si>
    <t xml:space="preserve">5. COSTO DE LA DEUDA (Kd) — se conserva 10% con su fuente</t>
  </si>
  <si>
    <t xml:space="preserve">Kd antes de impuestos usado en la iteración (Proyección Final!C61)</t>
  </si>
  <si>
    <t xml:space="preserve">Fuente (comentario original de la celda C61): Encuesta Citi — tasa Banxico 6.50% a fin de 2026 y 2027 (imagenradio.com.mx, 22-sep-2026) y gastos financieros 1S26 de la hoja Datos.</t>
  </si>
  <si>
    <t xml:space="preserve">Control: intereses 1S26 anualizados / deuda total 2T26</t>
  </si>
  <si>
    <t xml:space="preserve">(588 + 582) × 2 / 23,720.6 (deuda bancaria + arrendamientos al 2T26).</t>
  </si>
  <si>
    <t xml:space="preserve">Diferencia</t>
  </si>
  <si>
    <t xml:space="preserve">El 10% es consistente con el costo observado del 1S26.</t>
  </si>
  <si>
    <t xml:space="preserve">Referencia (NO usada): tasa implícita FY2025 = gastos financieros / deuda (WACC!B31)</t>
  </si>
  <si>
    <t xml:space="preserve">Incluye intereses de deuda ya amortizada en 2025; solo alimenta el WACC a valor de mercado (punto de partida).</t>
  </si>
  <si>
    <t xml:space="preserve">TRADING COMPS  (múltiplos de empresas públicas comparables)</t>
  </si>
  <si>
    <t xml:space="preserve">1. GRUPO COMPARABLE: datos CIQ y revisión de comparabilidad</t>
  </si>
  <si>
    <t xml:space="preserve">Empresa (CIQ)</t>
  </si>
  <si>
    <t xml:space="preserve">País</t>
  </si>
  <si>
    <t xml:space="preserve">Industria primaria (CIQ)</t>
  </si>
  <si>
    <t xml:space="preserve">Modelo de negocio</t>
  </si>
  <si>
    <t xml:space="preserve">TEV USD mm</t>
  </si>
  <si>
    <t xml:space="preserve">Ventas LTM USD mm</t>
  </si>
  <si>
    <t xml:space="preserve">Mg EBITDA</t>
  </si>
  <si>
    <t xml:space="preserve">Crec. ventas</t>
  </si>
  <si>
    <t xml:space="preserve">Deuda/ EBITDA</t>
  </si>
  <si>
    <t xml:space="preserve">Clasificación</t>
  </si>
  <si>
    <t xml:space="preserve">Incluir (1/0)</t>
  </si>
  <si>
    <t xml:space="preserve">Razón</t>
  </si>
  <si>
    <t xml:space="preserve">EV/Ventas LTM</t>
  </si>
  <si>
    <t xml:space="preserve">EV/EBITDA LTM</t>
  </si>
  <si>
    <t xml:space="preserve">EV/EBIT LTM</t>
  </si>
  <si>
    <t xml:space="preserve">P/U LTM</t>
  </si>
  <si>
    <t xml:space="preserve">P/VL tangible</t>
  </si>
  <si>
    <t xml:space="preserve">EV/EBITDA NTM</t>
  </si>
  <si>
    <t xml:space="preserve">P/U NTM</t>
  </si>
  <si>
    <t xml:space="preserve">Grupo Comercial Chedraui, S.A.B. de C.V. (BMV:CHDRAUI B)</t>
  </si>
  <si>
    <t xml:space="preserve">Mexico</t>
  </si>
  <si>
    <t xml:space="preserve">Food Retail</t>
  </si>
  <si>
    <t xml:space="preserve">Autoservicio multiformato</t>
  </si>
  <si>
    <t xml:space="preserve">Incluir</t>
  </si>
  <si>
    <t xml:space="preserve">Par más cercano: mismo formato y país; margen EBITDA (6.4%) y crecimiento (−3.4%) casi iguales a los de Soriana.</t>
  </si>
  <si>
    <t xml:space="preserve">Grupo Mateus S.A. (BOVESPA:GMAT3)</t>
  </si>
  <si>
    <t xml:space="preserve">Brazil</t>
  </si>
  <si>
    <t xml:space="preserve">Consumer Staples Merchandise Retail</t>
  </si>
  <si>
    <t xml:space="preserve">Supermercados y mayoreo</t>
  </si>
  <si>
    <t xml:space="preserve">Incluir con reserva</t>
  </si>
  <si>
    <t xml:space="preserve">Formato comparable; geografía (Brasil) y crecimiento (18.7%) distintos; P/U 4.7x atípico.</t>
  </si>
  <si>
    <t xml:space="preserve">El Puerto de Liverpool, S.A.B. de C.V. (BMV:LIVEPOL C-1)</t>
  </si>
  <si>
    <t xml:space="preserve">Broadline Retail</t>
  </si>
  <si>
    <t xml:space="preserve">Departamentales + crédito + inmobiliario</t>
  </si>
  <si>
    <t xml:space="preserve">Excluir</t>
  </si>
  <si>
    <t xml:space="preserve">Industria distinta (Broadline Retail); negocio financiero; margen EBITDA del doble (14.2%).</t>
  </si>
  <si>
    <t xml:space="preserve">Wal-Mart de México, S.A.B. de C.V. (BMV:WALMEX *)</t>
  </si>
  <si>
    <t xml:space="preserve">Autoservicio, descuento y club</t>
  </si>
  <si>
    <t xml:space="preserve">Competidor directo; 12 veces el tamaño de Soriana y líder del mercado (prima de múltiplo).</t>
  </si>
  <si>
    <t xml:space="preserve">La Comer, S.A.B. de C.V. (BMV:LACOMER UBC)</t>
  </si>
  <si>
    <t xml:space="preserve">Autoservicio premium</t>
  </si>
  <si>
    <t xml:space="preserve">Competidor directo; más pequeña, formato premium, más rentable (10.0%) y sin deuda neta.</t>
  </si>
  <si>
    <t xml:space="preserve">Sendas Distribuidora S.A. (BOVESPA:ASAI3)</t>
  </si>
  <si>
    <t xml:space="preserve">Mayoreo cash &amp; carry</t>
  </si>
  <si>
    <t xml:space="preserve">Formato comparable a City Club; Brasil; apalancamiento alto (4.0x) distorsiona P/U.</t>
  </si>
  <si>
    <t xml:space="preserve">Cencosud S.A. (SNSE:CENCOSUD)</t>
  </si>
  <si>
    <t xml:space="preserve">Chile</t>
  </si>
  <si>
    <t xml:space="preserve">Supermercados + mejoramiento del hogar + departamentales + centros comerciales</t>
  </si>
  <si>
    <t xml:space="preserve">Diversificada (Chile); EBITDA LTM −29.5% infla EV/EBITDA y EV/EBIT.</t>
  </si>
  <si>
    <t xml:space="preserve">InRetail Perú Corp. (BVL:INRETC1)</t>
  </si>
  <si>
    <t xml:space="preserve">Peru</t>
  </si>
  <si>
    <t xml:space="preserve">Supermercados, farmacias, centros comerciales</t>
  </si>
  <si>
    <t xml:space="preserve">Multiformato (Perú) con negocios no comparables (farmacia, inmobiliario).</t>
  </si>
  <si>
    <t xml:space="preserve">Fomento Económico Mexicano, S.A.B. de C.V. (BMV:FEMSA UBD)</t>
  </si>
  <si>
    <t xml:space="preserve">Soft Drinks and Non-alcoholic Beverages</t>
  </si>
  <si>
    <t xml:space="preserve">Embotellador Coca-Cola + OXXO + salud + combustible</t>
  </si>
  <si>
    <t xml:space="preserve">Industria distinta (Soft Drinks); P/U 25.9x.</t>
  </si>
  <si>
    <t xml:space="preserve">Falabella S.A. (SNSE:FALABELLA)</t>
  </si>
  <si>
    <t xml:space="preserve">Departamentales, mejoramiento del hogar, banca</t>
  </si>
  <si>
    <t xml:space="preserve">Industria distinta (Broadline Retail); negocio financiero.</t>
  </si>
  <si>
    <t xml:space="preserve">Organización Soriana, S. A. B. de C. V. (BMV:SORIANA B) - empresa objetivo (no forma parte de la muestra)</t>
  </si>
  <si>
    <t xml:space="preserve">2. MÉTRICAS DE SORIANA</t>
  </si>
  <si>
    <t xml:space="preserve">Ventas LTM (mdp)</t>
  </si>
  <si>
    <t xml:space="preserve">EBIT LTM (mdp)</t>
  </si>
  <si>
    <t xml:space="preserve">D&amp;A LTM (mdp)</t>
  </si>
  <si>
    <t xml:space="preserve">EBITDA LTM (mdp) = EBIT + D&amp;A</t>
  </si>
  <si>
    <t xml:space="preserve">Utilidad neta LTM (mdp)</t>
  </si>
  <si>
    <t xml:space="preserve">UPA LTM (MXN)</t>
  </si>
  <si>
    <t xml:space="preserve">(−) Interés minoritario</t>
  </si>
  <si>
    <t xml:space="preserve">(−) Capital preferente</t>
  </si>
  <si>
    <t xml:space="preserve">Ajuste neto EV → capital (mdp)</t>
  </si>
  <si>
    <t xml:space="preserve">MÚLTIPLOS: selección</t>
  </si>
  <si>
    <t xml:space="preserve">Múltiplo</t>
  </si>
  <si>
    <t xml:space="preserve">Tipo</t>
  </si>
  <si>
    <t xml:space="preserve">Métrica de Soriana</t>
  </si>
  <si>
    <t xml:space="preserve">Usar (1/0)</t>
  </si>
  <si>
    <t xml:space="preserve">Estado</t>
  </si>
  <si>
    <t xml:space="preserve">EV</t>
  </si>
  <si>
    <t xml:space="preserve">Usado</t>
  </si>
  <si>
    <t xml:space="preserve">P</t>
  </si>
  <si>
    <t xml:space="preserve">Excluido</t>
  </si>
  <si>
    <t xml:space="preserve">NA</t>
  </si>
  <si>
    <t xml:space="preserve">ESTADÍSTICOS DE LA MUESTRA</t>
  </si>
  <si>
    <t xml:space="preserve">Empresa</t>
  </si>
  <si>
    <t xml:space="preserve">EV/Ventas</t>
  </si>
  <si>
    <t xml:space="preserve">EV/EBITDA</t>
  </si>
  <si>
    <t xml:space="preserve">EV/EBIT</t>
  </si>
  <si>
    <t xml:space="preserve">PRECIOS IMPLICITOS POR ACCION</t>
  </si>
  <si>
    <t xml:space="preserve">Estadístico (múltiplo)</t>
  </si>
  <si>
    <t xml:space="preserve">Precio: EV/Ventas</t>
  </si>
  <si>
    <t xml:space="preserve">Precio: EV/EBITDA</t>
  </si>
  <si>
    <t xml:space="preserve">Precio: EV/EBIT</t>
  </si>
  <si>
    <t xml:space="preserve">Precio: P/U</t>
  </si>
  <si>
    <t xml:space="preserve">Mínimo</t>
  </si>
  <si>
    <t xml:space="preserve">Percentil 25</t>
  </si>
  <si>
    <t xml:space="preserve">Mediana</t>
  </si>
  <si>
    <t xml:space="preserve">Percentil 75</t>
  </si>
  <si>
    <t xml:space="preserve">Máximo</t>
  </si>
  <si>
    <t xml:space="preserve">Detalle a la MEDIA</t>
  </si>
  <si>
    <t xml:space="preserve">Métrica de Soriana (mdp o MXN/acción)</t>
  </si>
  <si>
    <t xml:space="preserve">EV implícito (mdp)</t>
  </si>
  <si>
    <t xml:space="preserve">n.a. (múltiplo de precio)</t>
  </si>
  <si>
    <t xml:space="preserve">Equity Value implícito (mdp)</t>
  </si>
  <si>
    <t xml:space="preserve">Precio implícito (MXN/acción)</t>
  </si>
  <si>
    <t xml:space="preserve">VALOR DE TRADING COMPS</t>
  </si>
  <si>
    <t xml:space="preserve">TRADING COMPS — precio por acción (MXN)</t>
  </si>
  <si>
    <t xml:space="preserve">Rango P25 (promedio de precios a P25 de los múltiplos usados)</t>
  </si>
  <si>
    <t xml:space="preserve">Rango P75 (promedio de precios a P75 de los múltiplos usados)</t>
  </si>
  <si>
    <t xml:space="preserve">Precio de mercado de referencia (MXN)</t>
  </si>
  <si>
    <t xml:space="preserve">Potencial vs. precio</t>
  </si>
  <si>
    <t xml:space="preserve">Número de múltiplos usados</t>
  </si>
  <si>
    <t xml:space="preserve">VALUACION POR TRANSACCIONES</t>
  </si>
  <si>
    <t xml:space="preserve">PARÁMETROS DE SELECCIÓN</t>
  </si>
  <si>
    <t xml:space="preserve">Ventana (años)</t>
  </si>
  <si>
    <t xml:space="preserve">Inicio de la ventana</t>
  </si>
  <si>
    <t xml:space="preserve">Geografía de la empresa objetivo</t>
  </si>
  <si>
    <t xml:space="preserve">México</t>
  </si>
  <si>
    <t xml:space="preserve">Mínimo de múltiplos por operación</t>
  </si>
  <si>
    <t xml:space="preserve">2. OPERACIONES (datos CIQ) Y EVALUACIÓN DE CRITERIOS</t>
  </si>
  <si>
    <t xml:space="preserve">Anunciada</t>
  </si>
  <si>
    <t xml:space="preserve">ID CIQ</t>
  </si>
  <si>
    <t xml:space="preserve">Objetivo</t>
  </si>
  <si>
    <t xml:space="preserve">Comprador</t>
  </si>
  <si>
    <t xml:space="preserve">Vendedor</t>
  </si>
  <si>
    <t xml:space="preserve">TEV objetivo (MXN mm)</t>
  </si>
  <si>
    <t xml:space="preserve">Tamaño (MXN mm)</t>
  </si>
  <si>
    <t xml:space="preserve">País del objetivo</t>
  </si>
  <si>
    <t xml:space="preserve">¿Ventana?</t>
  </si>
  <si>
    <t xml:space="preserve">¿Geografía?</t>
  </si>
  <si>
    <t xml:space="preserve">¿≥2 múltiplos?</t>
  </si>
  <si>
    <t xml:space="preserve">¿Control?</t>
  </si>
  <si>
    <t xml:space="preserve">Industria del objetivo</t>
  </si>
  <si>
    <t xml:space="preserve">IQTR1859160803</t>
  </si>
  <si>
    <t xml:space="preserve">Almacenes Éxito S.A.</t>
  </si>
  <si>
    <t xml:space="preserve">Super Selectos El Salvador</t>
  </si>
  <si>
    <t xml:space="preserve">Casino, Guichard-Perrachon S.A., Companhia Brasileira De Distribuicao, GÉAnt International B.V., Segisor S.A.S., Helicco Participações Ltda., GPA 2 Empreendimentos E Participacoes LTDA.</t>
  </si>
  <si>
    <t xml:space="preserve">Colombia</t>
  </si>
  <si>
    <t xml:space="preserve">Sí</t>
  </si>
  <si>
    <t xml:space="preserve">Oferta por el control de Éxito; varios vendedores del grupo Casino. Única operación dentro de la ventana (por 15 días).</t>
  </si>
  <si>
    <t xml:space="preserve">Supermercados / autoservicio (Grupo Éxito)</t>
  </si>
  <si>
    <t xml:space="preserve">IQTR629442326</t>
  </si>
  <si>
    <t xml:space="preserve">InRetail Perú Corp.</t>
  </si>
  <si>
    <t xml:space="preserve">-</t>
  </si>
  <si>
    <t xml:space="preserve">Nexus Group</t>
  </si>
  <si>
    <t xml:space="preserve">Perú</t>
  </si>
  <si>
    <t xml:space="preserve">Dudoso</t>
  </si>
  <si>
    <t xml:space="preserve">Comprador no identificado; tamaño 4,590 = 3.9% del TEV → probable venta minoritaria o secundaria, no de control. Fuera de la ventana.</t>
  </si>
  <si>
    <t xml:space="preserve">Supermercados, farmacias y centros comerciales</t>
  </si>
  <si>
    <t xml:space="preserve">IQTR626096522</t>
  </si>
  <si>
    <t xml:space="preserve">Sendas Distribuidora S.A.</t>
  </si>
  <si>
    <t xml:space="preserve">Casino, Guichard-Perrachon S.A.</t>
  </si>
  <si>
    <t xml:space="preserve">Vendedor Casino y comprador Sendas, ambos del grupo Casino según los datos → posible reestructura intra-grupo. Tamaño 130,645 &gt; TEV 56,675 (dato inconsistente). Fuera de la ventana.</t>
  </si>
  <si>
    <t xml:space="preserve">Cumplen la ventana</t>
  </si>
  <si>
    <t xml:space="preserve">Cumplen la geografía</t>
  </si>
  <si>
    <t xml:space="preserve">Operaciones de control claras</t>
  </si>
  <si>
    <t xml:space="preserve">Margen EBITDA implícito del objetivo (EV/Ventas ÷ EV/EBITDA)</t>
  </si>
  <si>
    <t xml:space="preserve">3. ESTADÍSTICOS (operaciones con Incluir = 1) Y PRECIO IMPLÍCITO (mismo puente al 2T26 que Trading Comps)</t>
  </si>
  <si>
    <t xml:space="preserve">Muestra filtrada (helper)</t>
  </si>
  <si>
    <t xml:space="preserve">Estadístico</t>
  </si>
  <si>
    <t xml:space="preserve">Precio EV/Ventas</t>
  </si>
  <si>
    <t xml:space="preserve">Precio EV/EBITDA</t>
  </si>
  <si>
    <t xml:space="preserve">Múltiplo (media de la muestra)</t>
  </si>
  <si>
    <t xml:space="preserve">Métrica de Soriana (mdp, LTM)</t>
  </si>
  <si>
    <t xml:space="preserve">(+/−) Ajuste neto EV → capital (mdp)</t>
  </si>
  <si>
    <t xml:space="preserve">4. VALOR DE PRECEDENT TRANSACTIONS</t>
  </si>
  <si>
    <t xml:space="preserve">Justificación</t>
  </si>
  <si>
    <t xml:space="preserve">Mismo criterio que Trading Comps.</t>
  </si>
  <si>
    <t xml:space="preserve">Mismo criterio que Trading Comps: ignora el margen; los márgenes implícitos de los objetivos van de 5.8% a 13.2% (fila de margen implícito).</t>
  </si>
  <si>
    <t xml:space="preserve">PRECEDENT TRANSACTIONS — precio por acción (MXN)</t>
  </si>
  <si>
    <t xml:space="preserve">Rango (mín–máx del EV/EBITDA)</t>
  </si>
  <si>
    <t xml:space="preserve">Solo 1 de 3 operaciones cumple la ventana de 3 años, ninguna la geografía, y 2 tienen carácter de control dudoso. Con n = 3 (o n = 1 dentro de la ventana) el resultado no es estadísticamente defendible. El método se calcula y se muestra como referencia, con peso 0% en la valuación combinada (decisión del proyecto)</t>
  </si>
  <si>
    <t xml:space="preserve">VALUACIÓN COMBINADA. DCF , Trading Comps y Precedent Transactions.</t>
  </si>
  <si>
    <t xml:space="preserve">Método</t>
  </si>
  <si>
    <t xml:space="preserve">Peso aplicado</t>
  </si>
  <si>
    <t xml:space="preserve">Peso regla de clase</t>
  </si>
  <si>
    <t xml:space="preserve">Contribución</t>
  </si>
  <si>
    <t xml:space="preserve">Origen del precio y del peso</t>
  </si>
  <si>
    <t xml:space="preserve">¿Contribuye?</t>
  </si>
  <si>
    <t xml:space="preserve">DCF (ValuFlow, precio objetivo a la fecha de valuación)</t>
  </si>
  <si>
    <t xml:space="preserve">Proyección Final Soriana!B265. Metodología principal existente. Peso: con Transactions en 0%, se conserva la regla de clase de pesos iguales entre los métodos activos (50/50).</t>
  </si>
  <si>
    <t xml:space="preserve">Trading Comps</t>
  </si>
  <si>
    <t xml:space="preserve">Trading Comps (sección 5). Metodología complementaria. Peso igual al DCF por la regla de pesos iguales de la diap. 18.</t>
  </si>
  <si>
    <t xml:space="preserve">Precedent Transactions (LSEG/SDC, mediana EV/EBITDA)</t>
  </si>
  <si>
    <t xml:space="preserve">Transacciones SDC (auditada): mediana de EV/EBITDA de las operaciones elegibles. Peso 0%: muestra global, sin operaciones mexicanas, control mixto y dispersión amplia. Se calcula y se muestra como referencia. La muestra CIQ (3 operaciones) queda como histórico.</t>
  </si>
  <si>
    <t xml:space="preserve">Suma de pesos</t>
  </si>
  <si>
    <t xml:space="preserve">PRECIO COMBINADO (MXN por acción)</t>
  </si>
  <si>
    <t xml:space="preserve">Precio de mercado (MXN, 25-sep-2026)</t>
  </si>
  <si>
    <t xml:space="preserve">Diferencia vs. precio (MXN)</t>
  </si>
  <si>
    <t xml:space="preserve">Potencial / (baja)</t>
  </si>
  <si>
    <t xml:space="preserve">Memo: resultado con la regla de clase (⅓ cada método)</t>
  </si>
  <si>
    <t xml:space="preserve">Solo como referencia de la regla de pesos iguales (⅓): incluye Precedent Transactions SDC (mediana), que no forma parte del precio oficial.</t>
  </si>
  <si>
    <t xml:space="preserve">RANGO POR MÉTODO (MXN por acción)</t>
  </si>
  <si>
    <t xml:space="preserve">Bajo</t>
  </si>
  <si>
    <t xml:space="preserve">Central</t>
  </si>
  <si>
    <t xml:space="preserve">Alto</t>
  </si>
  <si>
    <t xml:space="preserve">DCF</t>
  </si>
  <si>
    <t xml:space="preserve">Precedent Transactions (referencia SDC · P25–P75)</t>
  </si>
  <si>
    <t xml:space="preserve">Memo · Precedent Transactions CIQ (histórico, no defendible; 3 operaciones, media)</t>
  </si>
  <si>
    <t xml:space="preserve">VALUACIÓN POR TRANSACCIONES PRECEDENTES — muestra LSEG/SDC (pantalla del 19-oct-2026) · versión auditada</t>
  </si>
  <si>
    <t xml:space="preserve">Fuente: LSEG/SDC (Refinitiv), "GridExport_October_19_2026_9_29_57.pdf", Current Screen Template del 19-oct-2026 09:29:57, 166 operaciones, 23 columnas. Montos en USD mm tal como la pantalla; múltiplos en veces (x); precios en MXN por acción.</t>
  </si>
  <si>
    <t xml:space="preserve">Colores: amarillo = dato copiado de la pantalla (nombre de columna de origen en el encabezado) · naranja = juicio del analista · blanco = fórmula · azul = resultado. "NA" = dato no disponible en la fuente (nunca se trata como cero).</t>
  </si>
  <si>
    <t xml:space="preserve">1. PARÁMETROS Y PROCEDIMIENTO DE SELECCIÓN (metodología S&amp;P, art. 000045604, p. 9)</t>
  </si>
  <si>
    <t xml:space="preserve">Fecha de valuación (fin de la ventana)</t>
  </si>
  <si>
    <t xml:space="preserve">Mínimo de múltiplos de valor por operación</t>
  </si>
  <si>
    <t xml:space="preserve">Tipo de cambio de referencia (MXN por USD)</t>
  </si>
  <si>
    <t xml:space="preserve">Fecha y fuente del tipo de cambio</t>
  </si>
  <si>
    <t xml:space="preserve">Implícito en S&amp;P Capital IQ: capitalización 59,580 mdp / 3,223.7 USD mm al cierre del 7-oct-2026 (reporte comparativo, p. 1 y 25). Equivalente MXN solo informativo: los múltiplos no requieren conversión.</t>
  </si>
  <si>
    <t xml:space="preserve">Paso</t>
  </si>
  <si>
    <t xml:space="preserve">Criterio</t>
  </si>
  <si>
    <t xml:space="preserve">Resultado con la base SDC</t>
  </si>
  <si>
    <t xml:space="preserve">Búsqueda inicial</t>
  </si>
  <si>
    <t xml:space="preserve">M&amp;A de los últimos 3 años, autoservicio en México</t>
  </si>
  <si>
    <t xml:space="preserve">0 operaciones con múltiplos: solo FEMSA como comprador (Delek, objetivo en EE.UU.) y Nutrisa, sin múltiplos.</t>
  </si>
  <si>
    <t xml:space="preserve">Primera ampliación</t>
  </si>
  <si>
    <t xml:space="preserve">Subir un nivel en la industria (Retail: Food &amp; Beverage + Discount and Department Store)</t>
  </si>
  <si>
    <t xml:space="preserve">Sigue sin operaciones mexicanas con múltiplos.</t>
  </si>
  <si>
    <t xml:space="preserve">Segunda ampliación</t>
  </si>
  <si>
    <t xml:space="preserve">Eliminar el filtro geográfico → pantalla global</t>
  </si>
  <si>
    <t xml:space="preserve">166 operaciones en la pantalla (Retail: Food &amp; Beverage Retailing 130, Discount and Department Store Retailing 34, Food &amp; Beverage 2). La subindustria de SDC mezcla restaurantes, servicios de alimentos y departamentales.</t>
  </si>
  <si>
    <t xml:space="preserve">Filtro del analista</t>
  </si>
  <si>
    <t xml:space="preserve">Objetivo que opera autoservicio, supermercados o mayoreo de alimentos</t>
  </si>
  <si>
    <t xml:space="preserve">23 operaciones evaluadas abajo (19 de la versión original + 4 agregadas en la auditoría).</t>
  </si>
  <si>
    <t xml:space="preserve">Criterios objetivos</t>
  </si>
  <si>
    <t xml:space="preserve">Ventana de 3 años, ≥ 2 múltiplos, no recompra propia</t>
  </si>
  <si>
    <t xml:space="preserve">Columnas X–Z (fórmulas).</t>
  </si>
  <si>
    <t xml:space="preserve">Juicio del analista</t>
  </si>
  <si>
    <t xml:space="preserve">Adquisición real con control o participación estratégica relevante; calidad del dato; sin sanciones ni reestructura judicial</t>
  </si>
  <si>
    <t xml:space="preserve">Columna AA (naranja) y motivo.</t>
  </si>
  <si>
    <t xml:space="preserve">2. OPERACIONES EVALUADAS: DATOS DE LA PANTALLA LSEG/SDC Y CRITERIOS</t>
  </si>
  <si>
    <t xml:space="preserve">M&amp;A SDC Deal Number</t>
  </si>
  <si>
    <t xml:space="preserve">Date Announced</t>
  </si>
  <si>
    <t xml:space="preserve">Target Full Name</t>
  </si>
  <si>
    <t xml:space="preserve">Target Nation</t>
  </si>
  <si>
    <t xml:space="preserve">Target Mid Industry</t>
  </si>
  <si>
    <t xml:space="preserve">Target Public Status</t>
  </si>
  <si>
    <t xml:space="preserve">Acquiror Full Name</t>
  </si>
  <si>
    <t xml:space="preserve">Acquiror Nation</t>
  </si>
  <si>
    <t xml:space="preserve">Deal Status</t>
  </si>
  <si>
    <t xml:space="preserve">Rank Value inc. Net Debt of Target (USD mm) — valor de la operación</t>
  </si>
  <si>
    <t xml:space="preserve">Enterprise Value at Announcement (USD mm)</t>
  </si>
  <si>
    <t xml:space="preserve">Valor de la operación (MXN mm, informativo)</t>
  </si>
  <si>
    <t xml:space="preserve">EV al anuncio (MXN mm, informativo)</t>
  </si>
  <si>
    <t xml:space="preserve">Ratio of EV to EBITDA (x)</t>
  </si>
  <si>
    <t xml:space="preserve">Ratio of Offer Price to EPS (x)</t>
  </si>
  <si>
    <t xml:space="preserve">Ratio of EV to Sales (x)</t>
  </si>
  <si>
    <t xml:space="preserve">Premium Paid 1 Day Prior (%)</t>
  </si>
  <si>
    <t xml:space="preserve">Premium Paid 4 Weeks Prior (%)</t>
  </si>
  <si>
    <t xml:space="preserve">Target Net Sales LTM (USD mm)</t>
  </si>
  <si>
    <t xml:space="preserve"># múltiplos disponibles</t>
  </si>
  <si>
    <t xml:space="preserve">¿≥ 2 múltiplos?</t>
  </si>
  <si>
    <t xml:space="preserve">Autoservicio / alimentos (juicio)</t>
  </si>
  <si>
    <t xml:space="preserve">¿Recompra propia?</t>
  </si>
  <si>
    <t xml:space="preserve">¿Dentro de la ventana y ≥ 2 múlt.?</t>
  </si>
  <si>
    <t xml:space="preserve">Naturaleza de la operación (juicio)</t>
  </si>
  <si>
    <t xml:space="preserve">Motivo / observaciones</t>
  </si>
  <si>
    <t xml:space="preserve">Cambio en la auditoría</t>
  </si>
  <si>
    <t xml:space="preserve">EV/EBITDA elegible</t>
  </si>
  <si>
    <t xml:space="preserve">EV/Ventas elegible</t>
  </si>
  <si>
    <t xml:space="preserve">P/E elegible</t>
  </si>
  <si>
    <t xml:space="preserve">EV/EBITDA sin atípicos</t>
  </si>
  <si>
    <t xml:space="preserve">EV/Ventas sin atípicos</t>
  </si>
  <si>
    <t xml:space="preserve">P/E sin atípicos</t>
  </si>
  <si>
    <t xml:space="preserve">Sens.: Muestra auditada (oficial)</t>
  </si>
  <si>
    <t xml:space="preserve">Sens.: Sin Sun Art (empresa en dificultad)</t>
  </si>
  <si>
    <t xml:space="preserve">Sens.: Sin participaciones no de control (Lawson 50%, Yonghui ~29%)</t>
  </si>
  <si>
    <t xml:space="preserve">Sens.: Sin Chengdu Hongqi (control no verificable en la pantalla)</t>
  </si>
  <si>
    <t xml:space="preserve">Almacenes Exito SA</t>
  </si>
  <si>
    <t xml:space="preserve">Discount and Department Store Retailing</t>
  </si>
  <si>
    <t xml:space="preserve">Public</t>
  </si>
  <si>
    <t xml:space="preserve">Cama Commercial Group Corp</t>
  </si>
  <si>
    <t xml:space="preserve">Panama</t>
  </si>
  <si>
    <t xml:space="preserve">Completed</t>
  </si>
  <si>
    <t xml:space="preserve">Control (OPA)</t>
  </si>
  <si>
    <t xml:space="preserve">Elegible</t>
  </si>
  <si>
    <t xml:space="preserve">OPA por el control de Éxito (hiper y supermercados); vendedor grupo Casino. Comprador: Cama Commercial Group (vehículo de Grupo Calleja / Super Selectos). SDC clasifica al objetivo como "Discount and Department Store Retailing". Misma operación que la muestra CIQ.</t>
  </si>
  <si>
    <t xml:space="preserve">Profi Rom Food Srl</t>
  </si>
  <si>
    <t xml:space="preserve">Romania</t>
  </si>
  <si>
    <t xml:space="preserve">Food &amp; Beverage Retailing</t>
  </si>
  <si>
    <t xml:space="preserve">Subsidiary</t>
  </si>
  <si>
    <t xml:space="preserve">Koninklijke Ahold Delhaize NV</t>
  </si>
  <si>
    <t xml:space="preserve">Netherlands</t>
  </si>
  <si>
    <t xml:space="preserve">Control (100%)</t>
  </si>
  <si>
    <t xml:space="preserve">Compra del 100% de la cadena de supermercados Profi (Rumania). Múltiplo alto por crecimiento y sinergias: atípico estadístico (ver sección 3).</t>
  </si>
  <si>
    <t xml:space="preserve">Lawson Inc</t>
  </si>
  <si>
    <t xml:space="preserve">Japan</t>
  </si>
  <si>
    <t xml:space="preserve">KDDI CORP</t>
  </si>
  <si>
    <t xml:space="preserve">Estratégica (control conjunto 50%)</t>
  </si>
  <si>
    <t xml:space="preserve">OPA de KDDI; control conjunto 50/50 con Mitsubishi. Tiendas de conveniencia (formato de proximidad): comparabilidad con reserva.</t>
  </si>
  <si>
    <t xml:space="preserve">KANSAI FOOD MARKET LTD</t>
  </si>
  <si>
    <t xml:space="preserve">H2O RETAILING CORP</t>
  </si>
  <si>
    <t xml:space="preserve">OPA de H2O Retailing para consolidar el control del supermercado.</t>
  </si>
  <si>
    <t xml:space="preserve">Yonghui Superstores Co Ltd</t>
  </si>
  <si>
    <t xml:space="preserve">China (Mainland)</t>
  </si>
  <si>
    <t xml:space="preserve">Guangdong Juncai International Trading Co Ltd</t>
  </si>
  <si>
    <t xml:space="preserve">Estratégica (~29%)</t>
  </si>
  <si>
    <t xml:space="preserve">Compra de ~29% por Guangdong Juncai (filial de Miniso); queda como mayor accionista. Participación estratégica relevante, no control pleno.</t>
  </si>
  <si>
    <t xml:space="preserve">Sun Art Retail Group Ltd</t>
  </si>
  <si>
    <t xml:space="preserve">Hong Kong</t>
  </si>
  <si>
    <t xml:space="preserve">Paragon Shine Ltd</t>
  </si>
  <si>
    <t xml:space="preserve">Control (empresa en dificultad)</t>
  </si>
  <si>
    <t xml:space="preserve">Compra de control a Alibaba con descuento (prima 1 día −44.4%): operación en dificultad; se conserva y se cuantifica su efecto en la sección 4.</t>
  </si>
  <si>
    <t xml:space="preserve">METRO AG</t>
  </si>
  <si>
    <t xml:space="preserve">Germany</t>
  </si>
  <si>
    <t xml:space="preserve">EP Global Commerce GmbH</t>
  </si>
  <si>
    <t xml:space="preserve">Control (oferta y exclusión de bolsa)</t>
  </si>
  <si>
    <t xml:space="preserve">Oferta de EP Global Commerce (prima 1 día +38.8%). Mayoreo de alimentos (cash &amp; carry), comparable con City Club.</t>
  </si>
  <si>
    <t xml:space="preserve">Seiyu Co Ltd</t>
  </si>
  <si>
    <t xml:space="preserve">Trial Holdings Inc</t>
  </si>
  <si>
    <t xml:space="preserve">Control (vendedor KKR/Walmart)</t>
  </si>
  <si>
    <t xml:space="preserve">Compra de control por Trial Holdings. Sin EV/EBITDA: solo aporta EV/Ventas (no usado en el precio). P/E 3.88x distorsionado.</t>
  </si>
  <si>
    <t xml:space="preserve">Chengdu Hongqi Chain Co Ltd</t>
  </si>
  <si>
    <t xml:space="preserve">Sichuan Shangtou Investment Co Ltd</t>
  </si>
  <si>
    <t xml:space="preserve">Cambio de control (inversionista estatal)</t>
  </si>
  <si>
    <t xml:space="preserve">CORRECCIÓN: el objetivo es Chengdu Hongqi Chain (cadena de conveniencia y supermercados de Sichuan), no "Chongqing Department Store". Sichuan Shangtou Investment pasa a ser el accionista de control. La pantalla no reporta el % adquirido: decisión del analista con base en el anuncio.</t>
  </si>
  <si>
    <t xml:space="preserve">Corregido</t>
  </si>
  <si>
    <t xml:space="preserve">Seven &amp; i Holdings Co Ltd</t>
  </si>
  <si>
    <t xml:space="preserve">Recompra propia</t>
  </si>
  <si>
    <t xml:space="preserve">No elegible</t>
  </si>
  <si>
    <t xml:space="preserve">Recompra propia: no hay cambio de control.</t>
  </si>
  <si>
    <t xml:space="preserve">Carrefour SA</t>
  </si>
  <si>
    <t xml:space="preserve">France</t>
  </si>
  <si>
    <t xml:space="preserve">J Sainsbury PLC</t>
  </si>
  <si>
    <t xml:space="preserve">United Kingdom</t>
  </si>
  <si>
    <t xml:space="preserve">YAOKO Co Ltd</t>
  </si>
  <si>
    <t xml:space="preserve">Recompra propia de YAOKO (supermercados, Japón): no hay cambio de control.</t>
  </si>
  <si>
    <t xml:space="preserve">Agregada</t>
  </si>
  <si>
    <t xml:space="preserve">Magnit PJSC</t>
  </si>
  <si>
    <t xml:space="preserve">Russia</t>
  </si>
  <si>
    <t xml:space="preserve">Recompra propia en un mercado con sanciones (Rusia).</t>
  </si>
  <si>
    <t xml:space="preserve">Gorodskoi Supermarket OOO</t>
  </si>
  <si>
    <t xml:space="preserve">Private</t>
  </si>
  <si>
    <t xml:space="preserve">Tander AO</t>
  </si>
  <si>
    <t xml:space="preserve">Control (Rusia)</t>
  </si>
  <si>
    <t xml:space="preserve">Rusia: valuaciones distorsionadas por sanciones; además sin EV/EBITDA.</t>
  </si>
  <si>
    <t xml:space="preserve">Better Life Commercial Chain Share Co Ltd</t>
  </si>
  <si>
    <t xml:space="preserve">Investor Group</t>
  </si>
  <si>
    <t xml:space="preserve">Reestructura por insolvencia</t>
  </si>
  <si>
    <t xml:space="preserve">Better Life Commercial Chain (Bubugao, supermercados de Hunan) en reestructura judicial: EV/EBITDA 46.0x y EV/Ventas 5.6x no representan una adquisición en marcha.</t>
  </si>
  <si>
    <t xml:space="preserve">Wincommerce General Commercial Services JSC</t>
  </si>
  <si>
    <t xml:space="preserve">Vietnam</t>
  </si>
  <si>
    <t xml:space="preserve">Masan Consumer Holdings Co Ltd</t>
  </si>
  <si>
    <t xml:space="preserve">Reorganización intragrupo</t>
  </si>
  <si>
    <t xml:space="preserve">Wincommerce (WinMart, Vietnam) adquirida por otra empresa del grupo Masan: reorganización intragrupo; EV/EBITDA 323.1x por EBITDA cercano a cero.</t>
  </si>
  <si>
    <t xml:space="preserve">Prosol Gestion SAS</t>
  </si>
  <si>
    <t xml:space="preserve">Apollo Global Management Inc</t>
  </si>
  <si>
    <t xml:space="preserve">United States</t>
  </si>
  <si>
    <t xml:space="preserve">Control (fondo)</t>
  </si>
  <si>
    <t xml:space="preserve">Prosol (Grand Frais, alimentos frescos) adquirida por Apollo. Sin EV/EBITDA y EV/Ventas 44.5x incongruente con un minorista de alimentos: dato no confiable.</t>
  </si>
  <si>
    <t xml:space="preserve">Inageya Co Ltd</t>
  </si>
  <si>
    <t xml:space="preserve">AEON CO LTD</t>
  </si>
  <si>
    <t xml:space="preserve">Control</t>
  </si>
  <si>
    <t xml:space="preserve">Fuera de la ventana de 3 años.</t>
  </si>
  <si>
    <t xml:space="preserve">Casino Guichard-Perrachon SA</t>
  </si>
  <si>
    <t xml:space="preserve">Czech Republic</t>
  </si>
  <si>
    <t xml:space="preserve">Control (reestructura de deuda)</t>
  </si>
  <si>
    <t xml:space="preserve">Fuera de la ventana; reestructura de deuda.</t>
  </si>
  <si>
    <t xml:space="preserve">Dia Portugal Supermercados SA</t>
  </si>
  <si>
    <t xml:space="preserve">Portugal</t>
  </si>
  <si>
    <t xml:space="preserve">Auchan Retail Portugal Sa</t>
  </si>
  <si>
    <t xml:space="preserve">Fuera de la ventana; EBITDA deprimido (46.8x).</t>
  </si>
  <si>
    <t xml:space="preserve">Rimi Baltic AB</t>
  </si>
  <si>
    <t xml:space="preserve">Latvia</t>
  </si>
  <si>
    <t xml:space="preserve">Salling Group A/S</t>
  </si>
  <si>
    <t xml:space="preserve">Denmark</t>
  </si>
  <si>
    <t xml:space="preserve">Solo 1 múltiplo disponible.</t>
  </si>
  <si>
    <t xml:space="preserve">3. ESTADÍSTICOS (operaciones con Incluir = 1; NA excluido) Y PRECIO IMPLÍCITO — mismo puente EV → capital que Trading Comps</t>
  </si>
  <si>
    <t xml:space="preserve">EV/EBITDA (x)</t>
  </si>
  <si>
    <t xml:space="preserve">EV/Ventas (x)</t>
  </si>
  <si>
    <t xml:space="preserve">P/E (x)</t>
  </si>
  <si>
    <t xml:space="preserve">Precio implícito EV/EBITDA (MXN)</t>
  </si>
  <si>
    <t xml:space="preserve">Potencial vs. mercado</t>
  </si>
  <si>
    <t xml:space="preserve">Precio implícito EV/Ventas (MXN, referencia)</t>
  </si>
  <si>
    <t xml:space="preserve">n (observaciones)</t>
  </si>
  <si>
    <t xml:space="preserve">Límite inferior de atípicos (P25 − 1.5 × RIC)</t>
  </si>
  <si>
    <t xml:space="preserve">Límite superior de atípicos (P75 + 1.5 × RIC)</t>
  </si>
  <si>
    <t xml:space="preserve">Atípicos detectados (n)</t>
  </si>
  <si>
    <t xml:space="preserve">Media sin atípicos</t>
  </si>
  <si>
    <t xml:space="preserve">Mediana sin atípicos</t>
  </si>
  <si>
    <t xml:space="preserve">P/E: no se usa en el precio (pocas observaciones y utilidades distorsionadas en operaciones de control); se muestra para trazabilidad.</t>
  </si>
  <si>
    <t xml:space="preserve">EV/Ventas: excluido del precio por el mismo criterio que Trading Comps (ignora el margen). Se muestra como referencia.</t>
  </si>
  <si>
    <t xml:space="preserve">4. SENSIBILIDAD DE LA MUESTRA (efecto de las operaciones que requieren juicio) — EV/EBITDA</t>
  </si>
  <si>
    <t xml:space="preserve">Caso</t>
  </si>
  <si>
    <t xml:space="preserve">Mediana (x)</t>
  </si>
  <si>
    <t xml:space="preserve">Precio implícito mediana (MXN)</t>
  </si>
  <si>
    <t xml:space="preserve">Media sin atípicos (x)</t>
  </si>
  <si>
    <t xml:space="preserve">Precio implícito media sin atípicos (MXN)</t>
  </si>
  <si>
    <t xml:space="preserve">Operaciones retiradas</t>
  </si>
  <si>
    <t xml:space="preserve">Muestra auditada (oficial)</t>
  </si>
  <si>
    <t xml:space="preserve">Sin Sun Art (empresa en dificultad)</t>
  </si>
  <si>
    <t xml:space="preserve">Sin participaciones no de control (Lawson 50%, Yonghui ~29%)</t>
  </si>
  <si>
    <t xml:space="preserve">Lawson Inc, Yonghui Superstores Co Ltd</t>
  </si>
  <si>
    <t xml:space="preserve">Sin Chengdu Hongqi (control no verificable en la pantalla)</t>
  </si>
  <si>
    <t xml:space="preserve">Versión original del libro PRO (EV/EBITDA, n = 7, sin Hongqi)</t>
  </si>
  <si>
    <t xml:space="preserve">Valores registrados del libro original (mediana 5.11x → $24.17; media sin atípicos 5.99x → $29.95)</t>
  </si>
  <si>
    <t xml:space="preserve">5. VALOR DE PRECEDENT TRANSACTIONS (referencia) Y PESO EN LA VALUACIÓN COMBINADA</t>
  </si>
  <si>
    <t xml:space="preserve">Estadístico oficial</t>
  </si>
  <si>
    <t xml:space="preserve">Mediana de EV/EBITDA</t>
  </si>
  <si>
    <t xml:space="preserve">PRECEDENT TRANSACTIONS — precio de referencia (MXN por acción)</t>
  </si>
  <si>
    <t xml:space="preserve">Rango (P25 – P75 de EV/EBITDA) — bajo</t>
  </si>
  <si>
    <t xml:space="preserve">Rango (P25 – P75 de EV/EBITDA) — alto</t>
  </si>
  <si>
    <t xml:space="preserve">Alternativa: media sin atípicos (MXN)</t>
  </si>
  <si>
    <t xml:space="preserve">Peso en la valuación combinada</t>
  </si>
  <si>
    <t xml:space="preserve">Decisión: peso 0%. La muestra es global (ninguna operación mexicana), mezcla control pleno con participaciones estratégicas, incluye una operación en dificultad y un atípico, y su dispersión es muy amplia (P25–P75 de EV/EBITDA). El EBITDA de SDC no es homogéneo (normas locales; tratamiento de arrendamientos no verificable). Se usa como referencia de mercado y método de contraste; su conclusión (precio por debajo del mercado) es coherente con el consenso de analistas, pero no se incorpora al precio objetivo.</t>
  </si>
  <si>
    <t xml:space="preserve">Mediana (estadístico central robusto) en lugar de la media: con n pequeño y un atípico (Profi 21.3x) la media se desplaza al alza.</t>
  </si>
  <si>
    <t xml:space="preserve">6. TRIANGULACIÓN: MODELO, TRANSACCIONES Y OPINIÓN DE LOS EXPERTOS</t>
  </si>
  <si>
    <t xml:space="preserve">Fuente / método</t>
  </si>
  <si>
    <t xml:space="preserve">Precio (MXN)</t>
  </si>
  <si>
    <t xml:space="preserve">DCF (ValuFlow)</t>
  </si>
  <si>
    <t xml:space="preserve">Valor intrínseco del modelo del equipo.</t>
  </si>
  <si>
    <t xml:space="preserve">Múltiplos de empresas comparables (CIQ).</t>
  </si>
  <si>
    <t xml:space="preserve">Transacciones CIQ (hoja Transacciones, media, n = 3) — histórico</t>
  </si>
  <si>
    <t xml:space="preserve">Muestra no defendible (1 de 3 en ventana); incluye prima de control.</t>
  </si>
  <si>
    <t xml:space="preserve">Transacciones SDC — mediana (referencia oficial)</t>
  </si>
  <si>
    <t xml:space="preserve">Estadístico central robusto de la muestra auditada.</t>
  </si>
  <si>
    <t xml:space="preserve">Transacciones SDC — media sin atípicos</t>
  </si>
  <si>
    <t xml:space="preserve">Excluye atípicos por RIC.</t>
  </si>
  <si>
    <t xml:space="preserve">Consenso de analistas (precio objetivo, S&amp;P Capital IQ)</t>
  </si>
  <si>
    <t xml:space="preserve">Valuación combinada del proyecto (DCF 50% / Comps 50%)</t>
  </si>
  <si>
    <t xml:space="preserve">Precio objetivo del proyecto.</t>
  </si>
  <si>
    <t xml:space="preserve">Sensibilidad: DCF, Comps y Transacciones SDC (mediana) a ⅓</t>
  </si>
  <si>
    <t xml:space="preserve">Si se diera peso a transacciones con la nueva muestra.</t>
  </si>
  <si>
    <t xml:space="preserve">Precio de mercado de referencia (25-sep-2026)</t>
  </si>
  <si>
    <t xml:space="preserve">7. CONCLUSIÓN, VALUACIÓN Y RECOMENDACIÓN</t>
  </si>
  <si>
    <t xml:space="preserve">Umbral para COMPRAR (potencial mayor a)</t>
  </si>
  <si>
    <t xml:space="preserve">Umbral para VENDER (potencial menor a)</t>
  </si>
  <si>
    <t xml:space="preserve">Precio objetivo (valuación combinada)</t>
  </si>
  <si>
    <t xml:space="preserve">Potencial / (baja) vs. mercado</t>
  </si>
  <si>
    <t xml:space="preserve">Recomendación según el modelo</t>
  </si>
  <si>
    <t xml:space="preserve">Recomendación de los expertos</t>
  </si>
  <si>
    <t xml:space="preserve">Rango de valor razonable — bajo (mín. de DCF, Comps y SDC sin atípicos)</t>
  </si>
  <si>
    <t xml:space="preserve">Rango de valor razonable — alto</t>
  </si>
  <si>
    <t xml:space="preserve">Precio objetivo de consenso de analistas</t>
  </si>
  <si>
    <t xml:space="preserve">CONTRASTE EXTERNO — S&amp;P Capital IQ, LSEG Refinitiv y modelos propios (referencias; no entran al precio oficial salvo DCF y Trading Comps)</t>
  </si>
  <si>
    <t xml:space="preserve">Fuente: Soriana_Reporte_Valuacion_CapitalIQ_Refinitiv.pdf (19-oct-2026). Cifras tal como se reportan; las del modelo del equipo se vinculan a este libro. Potencial calculado contra el precio de referencia de cada fila.</t>
  </si>
  <si>
    <t xml:space="preserve">Clave</t>
  </si>
  <si>
    <t xml:space="preserve">Fecha de referencia</t>
  </si>
  <si>
    <t xml:space="preserve">Rango bajo</t>
  </si>
  <si>
    <t xml:space="preserve">Rango alto</t>
  </si>
  <si>
    <t xml:space="preserve">Diferencia vs. precio</t>
  </si>
  <si>
    <t xml:space="preserve">Supuestos principales</t>
  </si>
  <si>
    <t xml:space="preserve">Calidad y limitaciones</t>
  </si>
  <si>
    <t xml:space="preserve">¿Entra en la valuación oficial?</t>
  </si>
  <si>
    <t xml:space="preserve">Página del reporte</t>
  </si>
  <si>
    <t xml:space="preserve">team_dcf</t>
  </si>
  <si>
    <t xml:space="preserve">Modelo del equipo (este libro)</t>
  </si>
  <si>
    <t xml:space="preserve">DCF (FCFF, 50% Gordon / 50% múltiplo, a la fecha de valuación)</t>
  </si>
  <si>
    <t xml:space="preserve">01-oct-2026</t>
  </si>
  <si>
    <t xml:space="preserve">25-sep-2026</t>
  </si>
  <si>
    <t xml:space="preserve">βU 0.1705 (regresión semanal desapalancada; βL observada 0.2178), WACC iterado, g 3.5%, múltiplo de salida 5.81x</t>
  </si>
  <si>
    <t xml:space="preserve">Rango = escenarios de inflación Cautela–Alcista.</t>
  </si>
  <si>
    <t xml:space="preserve">Sí (50%)</t>
  </si>
  <si>
    <t xml:space="preserve">team_comps</t>
  </si>
  <si>
    <t xml:space="preserve">Trading Comps (7 pares CIQ, promedio de 3 múltiplos a la media)</t>
  </si>
  <si>
    <t xml:space="preserve">30-jun-2026</t>
  </si>
  <si>
    <t xml:space="preserve">EV/EBITDA, EV/EBIT y P/U LTM; puente al 2T26</t>
  </si>
  <si>
    <t xml:space="preserve">Múltiplos CIQ al 30-jun-2026; precio de mercado de otra fecha.</t>
  </si>
  <si>
    <t xml:space="preserve">team_sdc</t>
  </si>
  <si>
    <t xml:space="preserve">Precedent Transactions LSEG/SDC (mediana EV/EBITDA)</t>
  </si>
  <si>
    <t xml:space="preserve">19-oct-2026</t>
  </si>
  <si>
    <t xml:space="preserve">Muestra global auditada; rango P25–P75</t>
  </si>
  <si>
    <t xml:space="preserve">Sin operaciones mexicanas; control mixto; dispersión amplia.</t>
  </si>
  <si>
    <t xml:space="preserve">No (0%, referencia)</t>
  </si>
  <si>
    <t xml:space="preserve">team_ciq_trans</t>
  </si>
  <si>
    <t xml:space="preserve">Precedent Transactions CIQ (3 operaciones, media)</t>
  </si>
  <si>
    <t xml:space="preserve">Media de EV/EBITDA 7.63x</t>
  </si>
  <si>
    <t xml:space="preserve">Histórico: 1 de 3 en la ventana; no defendible.</t>
  </si>
  <si>
    <t xml:space="preserve">No (histórico)</t>
  </si>
  <si>
    <t xml:space="preserve">team_combined</t>
  </si>
  <si>
    <t xml:space="preserve">Valuación combinada (DCF 50% / Comps 50%)</t>
  </si>
  <si>
    <t xml:space="preserve">Transacciones 0%</t>
  </si>
  <si>
    <t xml:space="preserve">Sí (precio objetivo)</t>
  </si>
  <si>
    <t xml:space="preserve">indiv_dcf</t>
  </si>
  <si>
    <t xml:space="preserve">Modelo individual del autor del reporte (SORIANA_FINAL)</t>
  </si>
  <si>
    <t xml:space="preserve">07-oct-2026</t>
  </si>
  <si>
    <t xml:space="preserve">βU 0.1705 (regresión, no significativa al 95%), WACC 9.63%, Ke 10.39%, g 3.5%</t>
  </si>
  <si>
    <t xml:space="preserve">Misma βU que el equipo desde el 19-oct-2026; la diferencia restante es proyección, fecha y precio de referencia.</t>
  </si>
  <si>
    <t xml:space="preserve">No (otro modelo)</t>
  </si>
  <si>
    <t xml:space="preserve">1, 5–7</t>
  </si>
  <si>
    <t xml:space="preserve">indiv_combined</t>
  </si>
  <si>
    <t xml:space="preserve">Modelo individual del autor del reporte</t>
  </si>
  <si>
    <t xml:space="preserve">Valuación combinada (50% DCF / 50% comps)</t>
  </si>
  <si>
    <t xml:space="preserve">Modelo distinto del equipo.</t>
  </si>
  <si>
    <t xml:space="preserve">No</t>
  </si>
  <si>
    <t xml:space="preserve">8</t>
  </si>
  <si>
    <t xml:space="preserve">app_hist</t>
  </si>
  <si>
    <t xml:space="preserve">ValuFlow (app del equipo, versión anterior)</t>
  </si>
  <si>
    <t xml:space="preserve">βU 0.80 (heredada), WACC 11.88%, Ke 13.95%</t>
  </si>
  <si>
    <t xml:space="preserve">Salida histórica antes de esta actualización.</t>
  </si>
  <si>
    <t xml:space="preserve">9</t>
  </si>
  <si>
    <t xml:space="preserve">ciq_dcf_author</t>
  </si>
  <si>
    <t xml:space="preserve">S&amp;P Capital IQ (estimados de consenso; DCF construido por el autor)</t>
  </si>
  <si>
    <t xml:space="preserve">DCF con estimados CIQ</t>
  </si>
  <si>
    <t xml:space="preserve">WACC y g del modelo individual; horizonte de 4 años; sin capital de trabajo</t>
  </si>
  <si>
    <t xml:space="preserve">No es un DCF nativo de Capital IQ.</t>
  </si>
  <si>
    <t xml:space="preserve">12–13</t>
  </si>
  <si>
    <t xml:space="preserve">ciq_multiples</t>
  </si>
  <si>
    <t xml:space="preserve">S&amp;P Capital IQ</t>
  </si>
  <si>
    <t xml:space="preserve">Múltiplos (Implied Valuation: promedio de medianas de 4 múltiplos, 10 pares)</t>
  </si>
  <si>
    <t xml:space="preserve">EV/EBITDA y P/U, LTM y NTM; USD→MXN a 18.48</t>
  </si>
  <si>
    <t xml:space="preserve">3 de 10 pares de otra industria; selección de múltiplos del autor.</t>
  </si>
  <si>
    <t xml:space="preserve">15</t>
  </si>
  <si>
    <t xml:space="preserve">ciq_trans</t>
  </si>
  <si>
    <t xml:space="preserve">Transacciones (mediana 6.3x EV/EBITDA)</t>
  </si>
  <si>
    <t xml:space="preserve">Media 7.6x → $36.58; mín–máx</t>
  </si>
  <si>
    <t xml:space="preserve">Estadísticos calculados por el autor (CIQ los mostró vacíos).</t>
  </si>
  <si>
    <t xml:space="preserve">16</t>
  </si>
  <si>
    <t xml:space="preserve">ciq_combined</t>
  </si>
  <si>
    <t xml:space="preserve">Combinada (50% DCF consenso / 50% múltiplos)</t>
  </si>
  <si>
    <t xml:space="preserve">⅓ cada método: $32.17</t>
  </si>
  <si>
    <t xml:space="preserve">Construida por el autor.</t>
  </si>
  <si>
    <t xml:space="preserve">17</t>
  </si>
  <si>
    <t xml:space="preserve">ciq_consensus</t>
  </si>
  <si>
    <t xml:space="preserve">Precio objetivo de analistas (media; 7 analistas)</t>
  </si>
  <si>
    <t xml:space="preserve">Mediana 22.00; calificación media 4.14/5 (Underperform)</t>
  </si>
  <si>
    <t xml:space="preserve">Estimación de analistas a 12 meses, no valor intrínseco.</t>
  </si>
  <si>
    <t xml:space="preserve">11</t>
  </si>
  <si>
    <t xml:space="preserve">ref_consensus</t>
  </si>
  <si>
    <t xml:space="preserve">LSEG Refinitiv</t>
  </si>
  <si>
    <t xml:space="preserve">Mediana 21.50; 6 venta / 1 mantener; calificación 3.86/5 (Sell)</t>
  </si>
  <si>
    <t xml:space="preserve">Sin máximo ni mínimo reportados. No es valor intrínseco.</t>
  </si>
  <si>
    <t xml:space="preserve">18</t>
  </si>
  <si>
    <t xml:space="preserve">starmine_iv</t>
  </si>
  <si>
    <t xml:space="preserve">LSEG Refinitiv · StarMine</t>
  </si>
  <si>
    <t xml:space="preserve">Valor intrínseco StarMine (aprox.)</t>
  </si>
  <si>
    <t xml:space="preserve">WACC y g no observables (paneles sin cargar)</t>
  </si>
  <si>
    <t xml:space="preserve">LEÍDO DE UNA GRÁFICA (±1.5): aproximado, no verificado numéricamente.</t>
  </si>
  <si>
    <t xml:space="preserve">17, 24</t>
  </si>
  <si>
    <t xml:space="preserve">StarMine relativo (solo puntajes): mercados emergentes 61, México 24, Consumer Staples 56, Food &amp; Staples Retailing 33 (p. 17). No se convierten a precio.</t>
  </si>
  <si>
    <t xml:space="preserve">Lectura: con la beta de regresión el DCF del equipo y el modelo individual usan la misma βU; las diferencias restantes vienen de la proyección, de la fecha y el precio de referencia (25-sep vs. 7-oct-2026), de la definición de EBITDA de CIQ y del estadístico usado (media vs. mediana).</t>
  </si>
  <si>
    <t xml:space="preserve">VALIDACIÓN — controles independientes del modelo integrado</t>
  </si>
  <si>
    <t xml:space="preserve">Cada control recalcula el resultado por una vía distinta y lo compara con el resultado del modelo. PASS = diferencia dentro de la tolerancia.</t>
  </si>
  <si>
    <t xml:space="preserve">Convención de colores: amarillo = dato o supuesto capturado (con fuente) · verde = vínculo a otra hoja o archivo fuente · azul = resultado clave · blanco = cálculo.</t>
  </si>
  <si>
    <t xml:space="preserve">A. TABLA DE ESCENARIOS (valores registrados al recalcular el libro con cada combinación de selectores)</t>
  </si>
  <si>
    <t xml:space="preserve">Combinación</t>
  </si>
  <si>
    <t xml:space="preserve">Celda de origen</t>
  </si>
  <si>
    <t xml:space="preserve">Histórico (Citi + βU 0.80)</t>
  </si>
  <si>
    <t xml:space="preserve">Referencia Citi (βU regresión)</t>
  </si>
  <si>
    <t xml:space="preserve">Base (oficial, βU regresión)</t>
  </si>
  <si>
    <t xml:space="preserve">Base con βU Damodaran 0.69 (referencia)</t>
  </si>
  <si>
    <t xml:space="preserve">Nota</t>
  </si>
  <si>
    <t xml:space="preserve">Inflación aplicada 2026</t>
  </si>
  <si>
    <t xml:space="preserve">'Inflación'!B13</t>
  </si>
  <si>
    <t xml:space="preserve">Valores registrados al recalcular el modelo completo con cada combinación (tools/excel/scenarios.py; columnas C..H = selectores (0,0) (0,2) (1,2) (2,2) (3,2) (2,1)). El control "combinación activa = tabla" verifica que el modelo vivo coincide con su columna.</t>
  </si>
  <si>
    <t xml:space="preserve">βU usada</t>
  </si>
  <si>
    <t xml:space="preserve">Beta y Kd'!B19</t>
  </si>
  <si>
    <t xml:space="preserve">Precio DCF final (MXN)</t>
  </si>
  <si>
    <t xml:space="preserve">'Proyección Final Soriana'!B265</t>
  </si>
  <si>
    <t xml:space="preserve">'Proyección Final Soriana'!B263</t>
  </si>
  <si>
    <t xml:space="preserve">'Proyección Final Soriana'!B245</t>
  </si>
  <si>
    <t xml:space="preserve">'Proyección Final Soriana'!B126</t>
  </si>
  <si>
    <t xml:space="preserve">'Proyección Final Soriana'!B221</t>
  </si>
  <si>
    <t xml:space="preserve">'Proyección Final Soriana'!E219</t>
  </si>
  <si>
    <t xml:space="preserve">WACC!B33</t>
  </si>
  <si>
    <t xml:space="preserve">WACC!B29</t>
  </si>
  <si>
    <t xml:space="preserve">FCF 2030E (mdp)</t>
  </si>
  <si>
    <t xml:space="preserve">'Proyección Final Soriana'!G117</t>
  </si>
  <si>
    <t xml:space="preserve">Ventas 2030E (mdp)</t>
  </si>
  <si>
    <t xml:space="preserve">'Proyección Final Soriana'!G67</t>
  </si>
  <si>
    <t xml:space="preserve">Valuación Combinada'!B9</t>
  </si>
  <si>
    <t xml:space="preserve">B. CONTROLES</t>
  </si>
  <si>
    <t xml:space="preserve">Valor del modelo</t>
  </si>
  <si>
    <t xml:space="preserve">Recalculo independiente / esperado</t>
  </si>
  <si>
    <t xml:space="preserve">Tolerancia</t>
  </si>
  <si>
    <t xml:space="preserve">Qué verifica</t>
  </si>
  <si>
    <t xml:space="preserve">DCF · balance proyectado cuadra 2025A–2030E</t>
  </si>
  <si>
    <t xml:space="preserve">Activo − pasivo − capital = 0.</t>
  </si>
  <si>
    <t xml:space="preserve">DCF · WACC &gt; g</t>
  </si>
  <si>
    <t xml:space="preserve">&gt;0</t>
  </si>
  <si>
    <t xml:space="preserve">Condición del modelo de Gordon.</t>
  </si>
  <si>
    <t xml:space="preserve">DCF · iteración del WACC convergió</t>
  </si>
  <si>
    <t xml:space="preserve">Última variación del WACC.</t>
  </si>
  <si>
    <t xml:space="preserve">DCF · Σ VP de FCF = SUMPRODUCT(FCF, factor)</t>
  </si>
  <si>
    <t xml:space="preserve">Descuento de flujos.</t>
  </si>
  <si>
    <t xml:space="preserve">DCF · factor año 5 = 1/(1+WACC)^5</t>
  </si>
  <si>
    <t xml:space="preserve">Fórmula de descuento.</t>
  </si>
  <si>
    <t xml:space="preserve">DCF · VT Gordon = FCF normalizado 2030 (NOPAT − ΔNWC) × (1+g) / (WACC − g)</t>
  </si>
  <si>
    <t xml:space="preserve">Valor terminal.</t>
  </si>
  <si>
    <t xml:space="preserve">DCF · FCF2030 = NOPAT + D&amp;A − Capex − ΔNWC</t>
  </si>
  <si>
    <t xml:space="preserve">Identidad del FCFF.</t>
  </si>
  <si>
    <t xml:space="preserve">DCF · Equity 2T26 = EV 2T26 − deuda − arrend. + caja</t>
  </si>
  <si>
    <t xml:space="preserve">Puente EV → capital.</t>
  </si>
  <si>
    <t xml:space="preserve">DCF · FCF de 1S26 restado del EV (signo)</t>
  </si>
  <si>
    <t xml:space="preserve">B257 = −(CFO − Capex) = +1,060.5 porque el FCF de 1S26 fue negativo.</t>
  </si>
  <si>
    <t xml:space="preserve">DCF · precio = Equity / acciones</t>
  </si>
  <si>
    <t xml:space="preserve">Precio por acción.</t>
  </si>
  <si>
    <t xml:space="preserve">DCF · escenario activo = tabla de escenarios</t>
  </si>
  <si>
    <t xml:space="preserve">Control de REGRESIÓN (no independiente): compara el resultado activo con el valor registrado en la tabla A.</t>
  </si>
  <si>
    <t xml:space="preserve">DCF · baseline histórico (Citi + βU 0.80) reproducible (registrado tras las correcciones)</t>
  </si>
  <si>
    <t xml:space="preserve">Control de REGRESIÓN (tautológico: compara el valor registrado consigo mismo); se conserva solo como registro histórico.</t>
  </si>
  <si>
    <t xml:space="preserve">DCF · escenarios ordenados: Cautela &lt; Base &lt; Alcista</t>
  </si>
  <si>
    <t xml:space="preserve">Control de REGRESIÓN sobre valores registrados (la tabla A se re-verificó en la auditoría recalculando las 6 combinaciones).</t>
  </si>
  <si>
    <t xml:space="preserve">Beta · control Damodaran: 0.87 desapalancada = 0.65</t>
  </si>
  <si>
    <t xml:space="preserve">βU = βL / [1 + (1 − t) × D/E] con los datos publicados.</t>
  </si>
  <si>
    <t xml:space="preserve">Beta · βU usada = selector (2 regresión desapalancada, oficial)</t>
  </si>
  <si>
    <t xml:space="preserve">WACC!B9 toma la βU seleccionada.</t>
  </si>
  <si>
    <t xml:space="preserve">Beta · βL de mercado = βU × [1 + (1 − t) × D/E]</t>
  </si>
  <si>
    <t xml:space="preserve">Reapalancamiento con la estructura de mercado.</t>
  </si>
  <si>
    <t xml:space="preserve">Beta · βL iterada = βU × [1 + (1 − t) × D/E del DCF]</t>
  </si>
  <si>
    <t xml:space="preserve">Reapalancamiento con la estructura del DCF.</t>
  </si>
  <si>
    <t xml:space="preserve">Beta · Ke iterado = Rf + βL × PRM</t>
  </si>
  <si>
    <t xml:space="preserve">CAPM.</t>
  </si>
  <si>
    <t xml:space="preserve">Kd · 10% consistente con intereses 1S26 / deuda 2T26 (±0.5 pp)</t>
  </si>
  <si>
    <t xml:space="preserve">Fuente del comentario de C61 y control con datos observados.</t>
  </si>
  <si>
    <t xml:space="preserve">Inflación · fila 10 del DCF = inflación aplicada</t>
  </si>
  <si>
    <t xml:space="preserve">Vínculo de la inflación al modelo.</t>
  </si>
  <si>
    <t xml:space="preserve">Inflación · Base = modelo trimestral redondeado</t>
  </si>
  <si>
    <t xml:space="preserve">Base = resultado de modelo.</t>
  </si>
  <si>
    <t xml:space="preserve">Inflación · modelo trimestral reproduce el Dossier (3.51%)</t>
  </si>
  <si>
    <t xml:space="preserve">Dossier: 4.0327e^(−0.028x) → 3.51%.</t>
  </si>
  <si>
    <t xml:space="preserve">Inflación · modelo inmediato reproduce el libro de clase (3.508%)</t>
  </si>
  <si>
    <t xml:space="preserve">Libro de clase INFLACION!H37.</t>
  </si>
  <si>
    <t xml:space="preserve">Inflación · construcción de clase S113 (3.268%)</t>
  </si>
  <si>
    <t xml:space="preserve">Libro de clase INFLACION!S113.</t>
  </si>
  <si>
    <t xml:space="preserve">Mercado · beta histórica = regresión sin ×10</t>
  </si>
  <si>
    <t xml:space="preserve">SORIANA!Y2 / 10.</t>
  </si>
  <si>
    <t xml:space="preserve">Comps · 10 empresas con EV/EBITDA y P/U transcritos de CIQ (20 cifras)</t>
  </si>
  <si>
    <t xml:space="preserve">Integridad de la transcripción: las 10 empresas de Multiplos!A5:A14 tienen EV/EBITDA y P/U LTM capturados del archivo CIQ (MULTIPLOS DE SORIANA Y COMPETIDORES.xls).</t>
  </si>
  <si>
    <t xml:space="preserve">Comps · media muestra (P/U) = SUMPRODUCT / SUM</t>
  </si>
  <si>
    <t xml:space="preserve">Estadístico recalculado por otra vía (igual que el control de EV/EBITDA).</t>
  </si>
  <si>
    <t xml:space="preserve">Comps · media muestra (EV/EBITDA) = SUMPRODUCT / SUM</t>
  </si>
  <si>
    <t xml:space="preserve">Estadístico recalculado por otra vía.</t>
  </si>
  <si>
    <t xml:space="preserve">Comps · precio EV/EBITDA recalculado</t>
  </si>
  <si>
    <t xml:space="preserve">Puente al capital y división entre acciones.</t>
  </si>
  <si>
    <t xml:space="preserve">Comps · valor = promedio de 3 precios a la media</t>
  </si>
  <si>
    <t xml:space="preserve">Regla de agregación de la diap. 9.</t>
  </si>
  <si>
    <t xml:space="preserve">Comps · n de la muestra = 7</t>
  </si>
  <si>
    <t xml:space="preserve">Muestra depurada.</t>
  </si>
  <si>
    <t xml:space="preserve">Transactions · media EV/EBITDA ≈ media publicada por CIQ (7.6x)</t>
  </si>
  <si>
    <t xml:space="preserve">Transcripción correcta.</t>
  </si>
  <si>
    <t xml:space="preserve">Transactions · media EV/Ventas ≈ media publicada por CIQ (0.7x)</t>
  </si>
  <si>
    <t xml:space="preserve">Ídem.</t>
  </si>
  <si>
    <t xml:space="preserve">Combinada · pesos suman 100%</t>
  </si>
  <si>
    <t xml:space="preserve">Pesos trazables.</t>
  </si>
  <si>
    <t xml:space="preserve">Combinada · precio = Σ peso × precio (recalculo)</t>
  </si>
  <si>
    <t xml:space="preserve">Combinación lineal con pesos que suman 100%.</t>
  </si>
  <si>
    <t xml:space="preserve">Transactions · precio EV/EBITDA = (múltiplo × EBITDA + ajuste) / acciones</t>
  </si>
  <si>
    <t xml:space="preserve">Mismo puente que Trading Comps.</t>
  </si>
  <si>
    <t xml:space="preserve">Transactions · equity implícito = EV + ajuste</t>
  </si>
  <si>
    <t xml:space="preserve">Detalle a la media.</t>
  </si>
  <si>
    <t xml:space="preserve">Comps · equity implícito (EV/EBITDA) = EV + ajuste</t>
  </si>
  <si>
    <t xml:space="preserve">Combinada · Transactions con peso 0%</t>
  </si>
  <si>
    <t xml:space="preserve">Decisión del proyecto.</t>
  </si>
  <si>
    <t xml:space="preserve">SDC · n EV/EBITDA por vía independiente (SUMPRODUCT)</t>
  </si>
  <si>
    <t xml:space="preserve">Cuenta solo elegibles con dato; NA no cuenta.</t>
  </si>
  <si>
    <t xml:space="preserve">SDC · media EV/EBITDA = SUMPRODUCT / n</t>
  </si>
  <si>
    <t xml:space="preserve">Recalcula la media por otra vía.</t>
  </si>
  <si>
    <t xml:space="preserve">SDC · mediana EV/EBITDA = percentil 50</t>
  </si>
  <si>
    <t xml:space="preserve">Dos funciones distintas sobre la muestra elegible.</t>
  </si>
  <si>
    <t xml:space="preserve">SDC · ninguna operación incluida tiene &lt; 2 múltiplos</t>
  </si>
  <si>
    <t xml:space="preserve">Criterio de datos mínimos.</t>
  </si>
  <si>
    <t xml:space="preserve">SDC · ninguna operación incluida está fuera de la ventana</t>
  </si>
  <si>
    <t xml:space="preserve">Ventana de 3 años hasta la fecha de valuación.</t>
  </si>
  <si>
    <t xml:space="preserve">SDC · ninguna recompra propia incluida</t>
  </si>
  <si>
    <t xml:space="preserve">Objetivo ≠ comprador.</t>
  </si>
  <si>
    <t xml:space="preserve">SDC · ningún NA se trata como cero</t>
  </si>
  <si>
    <t xml:space="preserve">Los NA quedan fuera de los estadísticos.</t>
  </si>
  <si>
    <t xml:space="preserve">SDC · precio mediana = (múltiplo × EBITDA + ajuste) / acciones</t>
  </si>
  <si>
    <t xml:space="preserve">Mismo puente EV → capital que Trading Comps.</t>
  </si>
  <si>
    <t xml:space="preserve">Combinada · Precedent Transactions = mediana SDC (peso 0%)</t>
  </si>
  <si>
    <t xml:space="preserve">La referencia de transacciones es la muestra auditada.</t>
  </si>
  <si>
    <t xml:space="preserve">DCF · centro de la sensibilidad del precio final = precio objetivo</t>
  </si>
  <si>
    <t xml:space="preserve">La tabla nueva reproduce el precio objetivo con Ke fijo.</t>
  </si>
  <si>
    <t xml:space="preserve">Referencia externa (informativa, no cuenta en el resumen) · EV/EBITDA media muestra vs. supermercados CIQ 2T26</t>
  </si>
  <si>
    <t xml:space="preserve">Seale &amp; Associates con datos de Capital IQ, 30-jun-2026, 9 supermercados (grupo distinto a nuestras 10 empresas): solo prueba de razonabilidad (±25%), no se presenta como la media CIQ de nuestra muestra.</t>
  </si>
  <si>
    <t xml:space="preserve">RESUMEN</t>
  </si>
  <si>
    <t xml:space="preserve">49 controles internos (39 originales + 10 de la auditoría). La fila 73 compara contra una referencia sectorial externa de CIQ solo como razonabilidad.</t>
  </si>
  <si>
    <t xml:space="preserve">FUENTES — registro de insumos del modelo integrado</t>
  </si>
  <si>
    <t xml:space="preserve">Tipo: Observado (dato publicado) · Modelo (resultado de un modelo) · Supuesto (decisión del analista con sustento) · Referencia (comparación, no escenario) · Pendiente (input heredado sin fuente verificada).</t>
  </si>
  <si>
    <t xml:space="preserve">Insumo</t>
  </si>
  <si>
    <t xml:space="preserve">Dónde se usa</t>
  </si>
  <si>
    <t xml:space="preserve">Unidad / moneda</t>
  </si>
  <si>
    <t xml:space="preserve">Inflación INPC quincenal</t>
  </si>
  <si>
    <t xml:space="preserve">Inflación!A60:B172</t>
  </si>
  <si>
    <t xml:space="preserve">113 obs.</t>
  </si>
  <si>
    <t xml:space="preserve">% anual</t>
  </si>
  <si>
    <t xml:space="preserve">Observado</t>
  </si>
  <si>
    <t xml:space="preserve">Banco de México, serie SP74833 (vía MODELO DE INFLACION EN LA VALUACION DE EMPRESAS.xlsx)</t>
  </si>
  <si>
    <t xml:space="preserve">Escenario Base 3.51%</t>
  </si>
  <si>
    <t xml:space="preserve">Inflación!B48</t>
  </si>
  <si>
    <t xml:space="preserve">3.51%</t>
  </si>
  <si>
    <t xml:space="preserve">Modelo exponencial trimestral de clase (calculado en Inflación!33)</t>
  </si>
  <si>
    <t xml:space="preserve">Escenario Cautela 3.26%</t>
  </si>
  <si>
    <t xml:space="preserve">Inflación!B47</t>
  </si>
  <si>
    <t xml:space="preserve">3.26%</t>
  </si>
  <si>
    <t xml:space="preserve">Supuesto</t>
  </si>
  <si>
    <t xml:space="preserve">Escenario derivado de la tendencia larga: Dossier de Soriana / Avances; construcción de clase más cercana Inflación!G36 (3.268%)</t>
  </si>
  <si>
    <t xml:space="preserve">Escenario Alcista 4.00%</t>
  </si>
  <si>
    <t xml:space="preserve">Inflación!B49</t>
  </si>
  <si>
    <t xml:space="preserve">4.00%</t>
  </si>
  <si>
    <t xml:space="preserve">Supuesto de escenario de Avances de valuación intrínseca (no es pronóstico estadístico)</t>
  </si>
  <si>
    <t xml:space="preserve">Trayectoria Citi 2026–2030 — Referencia</t>
  </si>
  <si>
    <t xml:space="preserve">Inflación!B9:F9</t>
  </si>
  <si>
    <t xml:space="preserve">3.93/3.83/3.75%</t>
  </si>
  <si>
    <t xml:space="preserve">22-sep-2026</t>
  </si>
  <si>
    <t xml:space="preserve">Referencia</t>
  </si>
  <si>
    <t xml:space="preserve">Encuesta Citi de Expectativas (comentario original de Proyección Final!C10). Referencia histórica del modelo anterior; no es escenario.</t>
  </si>
  <si>
    <t xml:space="preserve">Beta desapalancada (βU) · regresión semanal desapalancada (oficial)</t>
  </si>
  <si>
    <t xml:space="preserve">WACC!B9 ← 'Beta y Kd'!B19 ← H8</t>
  </si>
  <si>
    <t xml:space="preserve">7-oct-2026</t>
  </si>
  <si>
    <t xml:space="preserve">x</t>
  </si>
  <si>
    <t xml:space="preserve">Regresión semanal de rendimientos Soriana B vs. S&amp;P/BMV IPC (Investing.com): βL observada 0.2178 (p = 0.087, no significativa al 95%), desapalancada con D/E 23,618 / 59,580 y t 30% → βU 0.1705. Referencia (no usada): Damodaran, Betas by Sector (Global), ene-2026, Retail (Grocery and Food), βU corregida por caja 0.69.</t>
  </si>
  <si>
    <t xml:space="preserve">Beta heredada (histórico)</t>
  </si>
  <si>
    <t xml:space="preserve">'Beta y Kd'!B26</t>
  </si>
  <si>
    <t xml:space="preserve">0.80</t>
  </si>
  <si>
    <t xml:space="preserve">Excel anterior / Material Maestro; solo para reproducir el baseline $31.16.</t>
  </si>
  <si>
    <t xml:space="preserve">Kd antes de impuestos (iteración)</t>
  </si>
  <si>
    <t xml:space="preserve">Proyección Final!C61</t>
  </si>
  <si>
    <t xml:space="preserve">10.00%</t>
  </si>
  <si>
    <t xml:space="preserve">%</t>
  </si>
  <si>
    <t xml:space="preserve">Comentario original de C61: Encuesta Citi (tasa Banxico 6.50% a fin de 2026 y 2027) y gastos financieros 1S26. Control: intereses 1S26 anualizados / deuda 2T26 = 9.87% ('Beta y Kd'!B58).</t>
  </si>
  <si>
    <t xml:space="preserve">Rf Bono M 10 años</t>
  </si>
  <si>
    <t xml:space="preserve">WACC!B5</t>
  </si>
  <si>
    <t xml:space="preserve">9.517%</t>
  </si>
  <si>
    <t xml:space="preserve">Cierre del Bono M 10 años el 25-sep-2026 (misma fecha que el precio de Soriana, WACC!B14): 9.517%. Fuente consultada: Investing.com, histórico Mexico 10Y (no oficial); confirmar en Banxico SIE (vector de precios de valores gubernamentales). Al usar el Bono M en pesos, el Rf ya incorpora el riesgo soberano de México.</t>
  </si>
  <si>
    <t xml:space="preserve">WACC!B6</t>
  </si>
  <si>
    <t xml:space="preserve">4.23%</t>
  </si>
  <si>
    <t xml:space="preserve">ene-2026</t>
  </si>
  <si>
    <t xml:space="preserve">Damodaran, Historical Implied Equity Risk Premiums (ene-2026): ERP implícita del S&amp;P 500 = 4.23%. La prima país México (2.46%, Damodaran Country Risk Premiums, 5-ene-2026) queda solo como referencia en WACC!B7 para no duplicar el riesgo país ya incluido en el Rf en pesos.</t>
  </si>
  <si>
    <t xml:space="preserve">Crecimiento perpetuo g</t>
  </si>
  <si>
    <t xml:space="preserve">Proyección Final!B123</t>
  </si>
  <si>
    <t xml:space="preserve">3.50%</t>
  </si>
  <si>
    <t xml:space="preserve">oct-2026</t>
  </si>
  <si>
    <t xml:space="preserve">g nominal = inflación de largo plazo (escenario Base 3.51%, Inflación!B48; meta de Banxico 3% ±1 pp) → crecimiento real ≈ 0%, prudente para un autoservicio maduro con ventas a la baja. g &lt; Rf (9.52%) y g &lt; WACC; FCF terminal normalizado con capex = D&amp;A (Proyección Final!B127).</t>
  </si>
  <si>
    <t xml:space="preserve">Múltiplos de comparables</t>
  </si>
  <si>
    <t xml:space="preserve">10 empresas</t>
  </si>
  <si>
    <t xml:space="preserve">S&amp;P Capital IQ, MULTIPLOS DE SORIANA Y COMPETIDORES.xls</t>
  </si>
  <si>
    <t xml:space="preserve">Transacciones</t>
  </si>
  <si>
    <t xml:space="preserve">Precedent Transactions</t>
  </si>
  <si>
    <t xml:space="preserve">3 operaciones</t>
  </si>
  <si>
    <t xml:space="preserve">x / MXN mm</t>
  </si>
  <si>
    <t xml:space="preserve">S&amp;P Capital IQ, TRANSACCIONES INDUSTRIA RETAIL.xls</t>
  </si>
  <si>
    <t xml:space="preserve">Métricas LTM y balance 2T26 de Soriana</t>
  </si>
  <si>
    <t xml:space="preserve">Trading Comps sección 2</t>
  </si>
  <si>
    <t xml:space="preserve">mdp</t>
  </si>
  <si>
    <t xml:space="preserve">MXN</t>
  </si>
  <si>
    <t xml:space="preserve">Hoja Datos (reportes trimestrales de Soriana)</t>
  </si>
  <si>
    <t xml:space="preserve">Pesos de la combinada</t>
  </si>
  <si>
    <t xml:space="preserve">Valuación Combinada!C4:C6</t>
  </si>
  <si>
    <t xml:space="preserve">50/50/0</t>
  </si>
  <si>
    <t xml:space="preserve">Pesos iguales entre métodos activos (diap. 18). Precedent Transactions = 0%: la muestra CIQ (3 operaciones) no es defendible y la muestra LSEG/SDC auditada es global, de control mixto y muy dispersa; se muestra como referencia.</t>
  </si>
  <si>
    <t xml:space="preserve">Transacciones LSEG/SDC</t>
  </si>
  <si>
    <t xml:space="preserve">Transacciones SDC</t>
  </si>
  <si>
    <t xml:space="preserve">23 evaluadas · 166 en pantalla</t>
  </si>
  <si>
    <t xml:space="preserve">USD mm / x</t>
  </si>
  <si>
    <t xml:space="preserve">LSEG/SDC (Refinitiv), GridExport_October_19_2026_9_29_57.pdf (Current Screen Template, 19-oct-2026 09:29:57). Juicio del analista separado en columnas naranjas.</t>
  </si>
  <si>
    <t xml:space="preserve">Contraste S&amp;P Capital IQ / LSEG Refinitiv</t>
  </si>
  <si>
    <t xml:space="preserve">Contraste externo</t>
  </si>
  <si>
    <t xml:space="preserve">13 referencias</t>
  </si>
  <si>
    <t xml:space="preserve">MXN por acción / x</t>
  </si>
  <si>
    <t xml:space="preserve">Soriana_Reporte_Valuacion_CapitalIQ_Refinitiv.pdf (consulta 19-oct-2026; último cierre en CIQ 7-oct-2026). No se incorpora al precio oficial.</t>
  </si>
  <si>
    <t xml:space="preserve">Tipo de cambio de referencia</t>
  </si>
  <si>
    <t xml:space="preserve">NOTAS METODOLÓGICAS</t>
  </si>
  <si>
    <t xml:space="preserve">DCF principal: el DCF de ValuFlow (Proyección Final Soriana): descuento de fin de periodo, valor terminal 50% Gordon / 50% múltiplo de salida, WACC iterado al valor DCF y traslado a la fecha de valuación.</t>
  </si>
  <si>
    <t xml:space="preserve">Referencia de Capital IQ (no reemplaza el DCF principal): la metodología de clase de CIQ usa convención de medio año (mid-year) y valor terminal por múltiplo de salida. Se documenta solo como referencia metodológica.</t>
  </si>
  <si>
    <t xml:space="preserve">Trading Comps y Precedent Transactions: metodología de la presentación de clase (CIQ Valuations): 6 estadísticos, percentiles inclusivos, puente EV → capital, NM/NA y promedio de precios implícitos a la media.</t>
  </si>
  <si>
    <t xml:space="preserve">Valuación combinada: DCF 50% + Trading Comps 50% + Precedent Transactions 0% (referencia). Los pesos son editables y deben sumar 100%.</t>
  </si>
  <si>
    <t xml:space="preserve">AUDITORÍA DEL EXCEL PRO DEFINITIVO — hallazgos, decisiones y registro de cambios</t>
  </si>
  <si>
    <t xml:space="preserve">Original: "EXCEL FINAL PRO DEFINITIVO SORIANA.xlsx" (se conserva sin cambios). Este libro se genera con tools/excel/audit_pro.py. Recálculo independiente en LibreOffice: todas las fórmulas del original coinciden con sus valores guardados, salvo las 16 con FILTER de la hoja SDC (#NAME? fuera de Excel 365), que se sustituyen.</t>
  </si>
  <si>
    <t xml:space="preserve">Hoja / área</t>
  </si>
  <si>
    <t xml:space="preserve">Hallazgo</t>
  </si>
  <si>
    <t xml:space="preserve">Impacto</t>
  </si>
  <si>
    <t xml:space="preserve">Corrección / decisión</t>
  </si>
  <si>
    <t xml:space="preserve">Prueba</t>
  </si>
  <si>
    <t xml:space="preserve">Compatibilidad</t>
  </si>
  <si>
    <t xml:space="preserve">Estadísticos con FILTER (Excel 365): en LibreOffice/Excel anterior dan #NAME? y n = 0.</t>
  </si>
  <si>
    <t xml:space="preserve">El modelo de transacciones no se recalcula fuera de Excel 365.</t>
  </si>
  <si>
    <t xml:space="preserve">Columnas auxiliares AE:AG y MIN/PERCENTILE/AVERAGE/MEDIAN.</t>
  </si>
  <si>
    <t xml:space="preserve">Validación: controles SDC (fila 62 en adelante).</t>
  </si>
  <si>
    <t xml:space="preserve">La columna "EV (USD mm)" es el Enterprise Value at Announcement; la pantalla también trae el Rank Value (valor de la operación), que no estaba.</t>
  </si>
  <si>
    <t xml:space="preserve">No se podía distinguir el tamaño de la operación de su EV.</t>
  </si>
  <si>
    <t xml:space="preserve">Se muestran ambos por separado (USD mm) con equivalente MXN informativo.</t>
  </si>
  <si>
    <t xml:space="preserve">Cotejo campo por campo contra la pantalla (19 + 4 operaciones).</t>
  </si>
  <si>
    <t xml:space="preserve">Error de dato</t>
  </si>
  <si>
    <t xml:space="preserve">Operación 4172416040 rotulada "Chongqing Department Store / inversionista financiero". En la pantalla es Chengdu Hongqi Chain Co Ltd adquirida por Sichuan Shangtou Investment (Food &amp; Beverage Retailing).</t>
  </si>
  <si>
    <t xml:space="preserve">El motivo de exclusión ("formato departamental") no correspondía a la operación.</t>
  </si>
  <si>
    <t xml:space="preserve">Se corrige la identidad y se reaplican los criterios: elegible (cambio de control). Efecto cuantificado en la sección 4.</t>
  </si>
  <si>
    <t xml:space="preserve">Sección 4 de la hoja.</t>
  </si>
  <si>
    <t xml:space="preserve">Criterios</t>
  </si>
  <si>
    <t xml:space="preserve">"Incluir" era un 1/0 capturado a mano, sin comprobar contra las columnas de criterios.</t>
  </si>
  <si>
    <t xml:space="preserve">Riesgo de inconsistencia entre criterio y decisión.</t>
  </si>
  <si>
    <t xml:space="preserve">Incluir = fórmula: ventana + ≥2 múltiplos + autoservicio + no recompra + juicio del analista (columna separada).</t>
  </si>
  <si>
    <t xml:space="preserve">Controles de criterios en Validación.</t>
  </si>
  <si>
    <t xml:space="preserve">Cobertura</t>
  </si>
  <si>
    <t xml:space="preserve">Cuatro operaciones de autoservicio de la pantalla no estaban evaluadas (YAOKO, Better Life/Bubugao, Wincommerce/WinMart, Prosol/Grand Frais).</t>
  </si>
  <si>
    <t xml:space="preserve">Embudo de selección incompleto.</t>
  </si>
  <si>
    <t xml:space="preserve">Se agregan con su motivo de exclusión (recompra, reestructura judicial, reorganización intragrupo, dato no confiable).</t>
  </si>
  <si>
    <t xml:space="preserve">Filas marcadas "Agregada".</t>
  </si>
  <si>
    <t xml:space="preserve">La ventana solo verificaba el inicio; no el fin (fecha de valuación).</t>
  </si>
  <si>
    <t xml:space="preserve">Sin efecto en esta muestra.</t>
  </si>
  <si>
    <t xml:space="preserve">Ventana = [inicio, fecha de valuación].</t>
  </si>
  <si>
    <t xml:space="preserve">Control de ventana.</t>
  </si>
  <si>
    <t xml:space="preserve">Estadística</t>
  </si>
  <si>
    <t xml:space="preserve">El límite de atípicos solo era superior; la media sin atípicos no tenía mediana equivalente.</t>
  </si>
  <si>
    <t xml:space="preserve">Tratamiento estadístico incompleto.</t>
  </si>
  <si>
    <t xml:space="preserve">Límites inferior y superior (RIC) y mediana sin atípicos.</t>
  </si>
  <si>
    <t xml:space="preserve">Sección 3.</t>
  </si>
  <si>
    <t xml:space="preserve">Valuación Combinada</t>
  </si>
  <si>
    <t xml:space="preserve">Metodología</t>
  </si>
  <si>
    <t xml:space="preserve">La referencia de Precedent Transactions seguía siendo la muestra CIQ (3 operaciones, declarada no defendible).</t>
  </si>
  <si>
    <t xml:space="preserve">El rango y la regla de ⅓ usaban un dato no defendible.</t>
  </si>
  <si>
    <t xml:space="preserve">Referencia = mediana SDC auditada (peso 0%); CIQ como memo histórico. El precio combinado oficial no cambia.</t>
  </si>
  <si>
    <t xml:space="preserve">Control "Combinada · PT = mediana SDC".</t>
  </si>
  <si>
    <t xml:space="preserve">Proyección Final</t>
  </si>
  <si>
    <t xml:space="preserve">Presentación</t>
  </si>
  <si>
    <t xml:space="preserve">La tabla de sensibilidad (sección 7) mide el precio Gordon al cierre de 2025 (centro $29.19), no el precio objetivo final (B265).</t>
  </si>
  <si>
    <t xml:space="preserve">Lectura equivocada del rango del precio objetivo.</t>
  </si>
  <si>
    <t xml:space="preserve">Se rotula y se agrega la sección 12: sensibilidad del precio objetivo final (Ke fijo), igual a la de ValuFlow.</t>
  </si>
  <si>
    <t xml:space="preserve">Control "centro = B265".</t>
  </si>
  <si>
    <t xml:space="preserve">Validación</t>
  </si>
  <si>
    <t xml:space="preserve">Filas 33–35 comparan contra valores registrados; la 34 compara un valor registrado consigo mismo (tautológica).</t>
  </si>
  <si>
    <t xml:space="preserve">Aparentan ser pruebas independientes.</t>
  </si>
  <si>
    <t xml:space="preserve">Se rotulan como controles de regresión. La tabla A se re-verificó recalculando las 6 combinaciones en LibreOffice: coinciden.</t>
  </si>
  <si>
    <t xml:space="preserve">tools/excel/audit_checks.py.</t>
  </si>
  <si>
    <t xml:space="preserve">Las etiquetas de ventana (C189:C192) usan TEXT(fecha,"mmm-yy"): en Excel en español el código "yy" no existe y se muestra literal ("nov-yy a sep-yy").</t>
  </si>
  <si>
    <t xml:space="preserve">Etiqueta ilegible; no afecta cálculos.</t>
  </si>
  <si>
    <t xml:space="preserve">Se sustituye por una fórmula independiente del idioma (CHOOSE(MONTH) &amp; año).</t>
  </si>
  <si>
    <t xml:space="preserve">Recálculo: "nov-24 a sep-26".</t>
  </si>
  <si>
    <t xml:space="preserve">Fuentes</t>
  </si>
  <si>
    <t xml:space="preserve">La fila de pesos apuntaba a "Valuación Combinada!C6:C8" (los pesos están en C4:C6) y no había registro de LSEG/SDC ni del contraste externo.</t>
  </si>
  <si>
    <t xml:space="preserve">Trazabilidad incompleta.</t>
  </si>
  <si>
    <t xml:space="preserve">Se corrige y se agregan 3 registros.</t>
  </si>
  <si>
    <t xml:space="preserve">WACC / Beta</t>
  </si>
  <si>
    <t xml:space="preserve">Cambio de supuesto (decisión del equipo, 19-oct-2026)</t>
  </si>
  <si>
    <t xml:space="preserve">La βU oficial pasa de Damodaran 0.69 (corregida por caja) a la beta desapalancada de la regresión semanal de Soriana B contra el IPC: βL observada 0.2178 (p = 0.087, no significativa al 95%) desapalancada con D/E 23,618 / 59,580 y t 30% → βU 0.1705 (fórmula en Beta y Kd §2). Se reapalanca con la estructura de capital de este libro (WACC!B23 a mercado; D/E del DCF en la iteración), sin volver a usar la βL observada.</t>
  </si>
  <si>
    <t xml:space="preserve">Resultados anteriores con βU 0.69 (para trazabilidad): DCF $31.62, Ke 13.35%, WACC iterado 11.38%, precio combinado $32.55, MANTENER. Los nuevos resultados salen de las fórmulas (tabla A, columna F).</t>
  </si>
  <si>
    <t xml:space="preserve">Selector 'Beta y Kd'!B18 = 2 (regresión, oficial); 1 = Damodaran 0.69 (referencia, tabla A columna H); 0 = heredada 0.80 (histórico).</t>
  </si>
  <si>
    <t xml:space="preserve">Tabla A recalculada en LibreOffice con cada combinación; control βU usada = selector.</t>
  </si>
  <si>
    <t xml:space="preserve">Revisado, sin cambio</t>
  </si>
  <si>
    <t xml:space="preserve">Secuencia ventas → EBIT → NOPAT → FCFF → WACC → VT (Gordon con FCF normalizado capex = D&amp;A; múltiplo 5.81x) → EV → puente al 2T26 → Equity a la fecha de valuación. FCFF descontado al WACC (no se mezclan flujos al accionista). Balance cuadra; iteración converge.</t>
  </si>
  <si>
    <t xml:space="preserve">Sin cambios.</t>
  </si>
  <si>
    <t xml:space="preserve">Recálculo independiente y controles 23–32.</t>
  </si>
  <si>
    <t xml:space="preserve">Fechas</t>
  </si>
  <si>
    <t xml:space="preserve">Fecha de valuación 01-oct-2026; precio 33.48 MXN del 25-sep-2026 (último cierre antes de la valuación); balance 2T26; comparables CIQ al 30-jun-2026; pantalla SDC 19-oct-2026; reporte comparativo 19-oct-2026 con precio 33.10 MXN del 7-oct-2026.</t>
  </si>
  <si>
    <t xml:space="preserve">Cada fecha cumple una función distinta.</t>
  </si>
  <si>
    <t xml:space="preserve">Se rotulan en cada salida; el precio nunca se presenta como "del día".</t>
  </si>
</sst>
</file>

<file path=xl/styles.xml><?xml version="1.0" encoding="utf-8"?>
<styleSheet xmlns="http://schemas.openxmlformats.org/spreadsheetml/2006/main">
  <numFmts count="38">
    <numFmt numFmtId="164" formatCode="General"/>
    <numFmt numFmtId="165" formatCode="0.00%"/>
    <numFmt numFmtId="166" formatCode="#,##0.0;\(#,##0.0\);\-"/>
    <numFmt numFmtId="167" formatCode="\$#,##0.00"/>
    <numFmt numFmtId="168" formatCode="0.0%;\(0.0%\);\-"/>
    <numFmt numFmtId="169" formatCode="0.00\x"/>
    <numFmt numFmtId="170" formatCode="0.0%"/>
    <numFmt numFmtId="171" formatCode="0.0"/>
    <numFmt numFmtId="172" formatCode="#,##0"/>
    <numFmt numFmtId="173" formatCode="#,##0.0"/>
    <numFmt numFmtId="174" formatCode="\$#,##0.0000"/>
    <numFmt numFmtId="175" formatCode="@"/>
    <numFmt numFmtId="176" formatCode="0.0%;\(0.0%\)"/>
    <numFmt numFmtId="177" formatCode="0.000"/>
    <numFmt numFmtId="178" formatCode="0.00"/>
    <numFmt numFmtId="179" formatCode="#,##0.00"/>
    <numFmt numFmtId="180" formatCode="d\-mmm\-yy"/>
    <numFmt numFmtId="181" formatCode="mmm\-yy"/>
    <numFmt numFmtId="182" formatCode="0.000\x"/>
    <numFmt numFmtId="183" formatCode="0"/>
    <numFmt numFmtId="184" formatCode="0.0000"/>
    <numFmt numFmtId="185" formatCode="\$#,##0.00;&quot;($&quot;#,##0.00\);\-"/>
    <numFmt numFmtId="186" formatCode="0.00%;\(0.00%\);\-"/>
    <numFmt numFmtId="187" formatCode="0.0;\(0.0\);0.0"/>
    <numFmt numFmtId="188" formatCode="#,##0;\(#,##0\);\-"/>
    <numFmt numFmtId="189" formatCode="\$0.00"/>
    <numFmt numFmtId="190" formatCode="0.0\x"/>
    <numFmt numFmtId="191" formatCode="dd\-mmm\-yyyy"/>
    <numFmt numFmtId="192" formatCode="0.000000"/>
    <numFmt numFmtId="193" formatCode="0.0000%"/>
    <numFmt numFmtId="194" formatCode="0.00000"/>
    <numFmt numFmtId="195" formatCode="mmm\-yyyy"/>
    <numFmt numFmtId="196" formatCode="0%"/>
    <numFmt numFmtId="197" formatCode="0.0E+00"/>
    <numFmt numFmtId="198" formatCode="\$#,##0.00"/>
    <numFmt numFmtId="199" formatCode="0.00\x"/>
    <numFmt numFmtId="200" formatCode="\$#,##0.0000"/>
    <numFmt numFmtId="201" formatCode="0.00000000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i val="true"/>
      <sz val="9"/>
      <color theme="1"/>
      <name val="Calibri"/>
      <family val="2"/>
      <charset val="1"/>
    </font>
    <font>
      <sz val="11"/>
      <name val="Calibri"/>
      <family val="2"/>
      <charset val="1"/>
    </font>
    <font>
      <sz val="9"/>
      <color theme="1"/>
      <name val="Calibri"/>
      <family val="2"/>
      <charset val="1"/>
    </font>
    <font>
      <sz val="10"/>
      <name val="Arial"/>
      <family val="2"/>
    </font>
    <font>
      <sz val="9"/>
      <color rgb="FF595959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4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name val="Cambria"/>
      <family val="0"/>
      <charset val="1"/>
    </font>
    <font>
      <b val="true"/>
      <sz val="14"/>
      <color rgb="FF00276F"/>
      <name val="Cambria"/>
      <family val="1"/>
      <charset val="1"/>
    </font>
    <font>
      <i val="true"/>
      <sz val="9"/>
      <color rgb="FF5D5D60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sz val="11"/>
      <name val="Cambria"/>
      <family val="1"/>
      <charset val="1"/>
    </font>
    <font>
      <i val="true"/>
      <sz val="9"/>
      <color theme="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2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color rgb="FF000000"/>
      <name val="Cambria"/>
      <family val="1"/>
      <charset val="1"/>
    </font>
    <font>
      <i val="true"/>
      <sz val="9"/>
      <color rgb="FF000000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b val="true"/>
      <sz val="14"/>
      <color rgb="FF00276F"/>
      <name val="Cambria"/>
      <family val="0"/>
      <charset val="1"/>
    </font>
    <font>
      <i val="true"/>
      <sz val="9"/>
      <color rgb="FF5D5D6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7998"/>
        <bgColor rgb="FFD8E3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EEF3FC"/>
        <bgColor rgb="FFFFFFFF"/>
      </patternFill>
    </fill>
    <fill>
      <patternFill patternType="solid">
        <fgColor rgb="FFE2EFDA"/>
        <bgColor rgb="FFDAE3F3"/>
      </patternFill>
    </fill>
    <fill>
      <patternFill patternType="solid">
        <fgColor rgb="FF0039A6"/>
        <bgColor rgb="FF00276F"/>
      </patternFill>
    </fill>
    <fill>
      <patternFill patternType="solid">
        <fgColor rgb="FFD8E3F8"/>
        <bgColor rgb="FFDAE3F3"/>
      </patternFill>
    </fill>
    <fill>
      <patternFill patternType="solid">
        <fgColor theme="0"/>
        <bgColor rgb="FFEEF3FC"/>
      </patternFill>
    </fill>
    <fill>
      <patternFill patternType="solid">
        <fgColor rgb="FFFCE4D6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1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6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91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91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3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2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80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1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C"/>
      <rgbColor rgb="FF660066"/>
      <rgbColor rgb="FFFF8080"/>
      <rgbColor rgb="FF0066CC"/>
      <rgbColor rgb="FFD8E3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D5D60"/>
      <rgbColor rgb="FF969696"/>
      <rgbColor rgb="FF00276F"/>
      <rgbColor rgb="FF339966"/>
      <rgbColor rgb="FF003300"/>
      <rgbColor rgb="FF333300"/>
      <rgbColor rgb="FF993300"/>
      <rgbColor rgb="FF993366"/>
      <rgbColor rgb="FF0039A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J49"/>
  <sheetViews>
    <sheetView showFormulas="false" showGridLines="tru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D11" activeCellId="0" sqref="D11"/>
    </sheetView>
  </sheetViews>
  <sheetFormatPr defaultColWidth="11.4453125" defaultRowHeight="14.25" zeroHeight="false" outlineLevelRow="0" outlineLevelCol="0"/>
  <cols>
    <col collapsed="false" customWidth="true" hidden="false" outlineLevel="0" max="1" min="1" style="0" width="61.11"/>
    <col collapsed="false" customWidth="true" hidden="false" outlineLevel="0" max="5" min="2" style="0" width="22.11"/>
  </cols>
  <sheetData>
    <row r="4" customFormat="false" ht="14.2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/>
      <c r="G4" s="2"/>
      <c r="H4" s="2"/>
      <c r="I4" s="2"/>
      <c r="J4" s="2"/>
    </row>
    <row r="5" customFormat="false" ht="14.25" hidden="false" customHeight="false" outlineLevel="0" collapsed="false">
      <c r="A5" s="3" t="s">
        <v>5</v>
      </c>
      <c r="B5" s="4" t="n">
        <f aca="false">Valuación!B15</f>
        <v>0.100630184051038</v>
      </c>
      <c r="C5" s="4" t="n">
        <f aca="false">Valuación!B53</f>
        <v>0.10255746705138</v>
      </c>
      <c r="D5" s="4" t="n">
        <f aca="false">Valuación!B91</f>
        <v>0.0829959605012468</v>
      </c>
      <c r="E5" s="4" t="n">
        <f aca="false">Valuación!B129</f>
        <v>0.100977204437906</v>
      </c>
    </row>
    <row r="6" customFormat="false" ht="14.25" hidden="false" customHeight="false" outlineLevel="0" collapsed="false">
      <c r="A6" s="3" t="s">
        <v>6</v>
      </c>
      <c r="B6" s="4" t="n">
        <f aca="false">Valuación!B16</f>
        <v>0.035</v>
      </c>
      <c r="C6" s="4" t="n">
        <f aca="false">Valuación!B54</f>
        <v>0.035</v>
      </c>
      <c r="D6" s="4" t="n">
        <f aca="false">Valuación!B92</f>
        <v>0.035</v>
      </c>
      <c r="E6" s="4" t="n">
        <f aca="false">Valuación!B130</f>
        <v>0.035</v>
      </c>
    </row>
    <row r="7" customFormat="false" ht="14.25" hidden="false" customHeight="false" outlineLevel="0" collapsed="false">
      <c r="A7" s="3" t="s">
        <v>7</v>
      </c>
      <c r="B7" s="5" t="n">
        <f aca="false">Valuación!B27</f>
        <v>6761.4</v>
      </c>
      <c r="C7" s="5" t="n">
        <f aca="false">Valuación!B65</f>
        <v>40916.76</v>
      </c>
      <c r="D7" s="5" t="n">
        <f aca="false">Valuación!B103</f>
        <v>12113.9</v>
      </c>
      <c r="E7" s="5" t="n">
        <f aca="false">Valuación!B141</f>
        <v>302.924418660537</v>
      </c>
    </row>
    <row r="8" customFormat="false" ht="14.25" hidden="false" customHeight="false" outlineLevel="0" collapsed="false">
      <c r="A8" s="3" t="s">
        <v>8</v>
      </c>
      <c r="B8" s="5" t="n">
        <f aca="false">Valuación!B31</f>
        <v>27698.2061852259</v>
      </c>
      <c r="C8" s="5" t="n">
        <f aca="false">Valuación!B69</f>
        <v>169911.769988972</v>
      </c>
      <c r="D8" s="5" t="n">
        <f aca="false">Valuación!B107</f>
        <v>52976.896830264</v>
      </c>
      <c r="E8" s="5" t="n">
        <f aca="false">Valuación!B145</f>
        <v>1263.12835555576</v>
      </c>
    </row>
    <row r="9" customFormat="false" ht="14.25" hidden="false" customHeight="false" outlineLevel="0" collapsed="false">
      <c r="A9" s="3" t="s">
        <v>9</v>
      </c>
      <c r="B9" s="5" t="n">
        <f aca="false">Valuación!B33</f>
        <v>124303.410482692</v>
      </c>
      <c r="C9" s="5" t="n">
        <f aca="false">Valuación!B71</f>
        <v>744509.043367592</v>
      </c>
      <c r="D9" s="5" t="n">
        <f aca="false">Valuación!B109</f>
        <v>310256.862083591</v>
      </c>
      <c r="E9" s="5" t="n">
        <f aca="false">Valuación!B147</f>
        <v>5643.9410898159</v>
      </c>
    </row>
    <row r="10" customFormat="false" ht="14.25" hidden="false" customHeight="false" outlineLevel="0" collapsed="false">
      <c r="A10" s="3" t="s">
        <v>10</v>
      </c>
      <c r="B10" s="5" t="n">
        <f aca="false">Valuación!B34</f>
        <v>76961.9299902015</v>
      </c>
      <c r="C10" s="5" t="n">
        <f aca="false">Valuación!B72</f>
        <v>456944.86701005</v>
      </c>
      <c r="D10" s="5" t="n">
        <f aca="false">Valuación!B110</f>
        <v>208251.055877846</v>
      </c>
      <c r="E10" s="5" t="n">
        <f aca="false">Valuación!B148</f>
        <v>3488.91859739948</v>
      </c>
    </row>
    <row r="11" customFormat="false" ht="14.25" hidden="false" customHeight="false" outlineLevel="0" collapsed="false">
      <c r="A11" s="3" t="s">
        <v>11</v>
      </c>
      <c r="B11" s="5" t="n">
        <f aca="false">Valuación!B35</f>
        <v>104660.136175427</v>
      </c>
      <c r="C11" s="5" t="n">
        <f aca="false">Valuación!B73</f>
        <v>626856.636999021</v>
      </c>
      <c r="D11" s="5" t="n">
        <f aca="false">Valuación!B111</f>
        <v>261227.952708109</v>
      </c>
      <c r="E11" s="5" t="n">
        <f aca="false">Valuación!B149</f>
        <v>4752.04695295524</v>
      </c>
    </row>
    <row r="12" customFormat="false" ht="14.25" hidden="false" customHeight="false" outlineLevel="0" collapsed="false">
      <c r="A12" s="3" t="s">
        <v>12</v>
      </c>
      <c r="B12" s="5" t="n">
        <f aca="false">-Valuación!B36</f>
        <v>23618</v>
      </c>
      <c r="C12" s="5" t="n">
        <f aca="false">-Valuación!B74</f>
        <v>80848.1</v>
      </c>
      <c r="D12" s="5" t="n">
        <f aca="false">-Valuación!B112</f>
        <v>56744.34</v>
      </c>
      <c r="E12" s="5" t="n">
        <f aca="false">-Valuación!B150</f>
        <v>2441.8</v>
      </c>
    </row>
    <row r="13" customFormat="false" ht="14.25" hidden="false" customHeight="false" outlineLevel="0" collapsed="false">
      <c r="A13" s="3" t="s">
        <v>13</v>
      </c>
      <c r="B13" s="5" t="n">
        <f aca="false">Valuación!B37</f>
        <v>9295</v>
      </c>
      <c r="C13" s="5" t="n">
        <f aca="false">Valuación!B75</f>
        <v>28591.2</v>
      </c>
      <c r="D13" s="5" t="n">
        <f aca="false">Valuación!B113</f>
        <v>14640.16</v>
      </c>
      <c r="E13" s="5" t="n">
        <f aca="false">Valuación!B151</f>
        <v>2962.8</v>
      </c>
    </row>
    <row r="14" customFormat="false" ht="14.25" hidden="false" customHeight="false" outlineLevel="0" collapsed="false">
      <c r="A14" s="3" t="s">
        <v>14</v>
      </c>
      <c r="B14" s="5" t="n">
        <f aca="false">Valuación!B39</f>
        <v>90337.1361754274</v>
      </c>
      <c r="C14" s="5" t="n">
        <f aca="false">Valuación!B77</f>
        <v>574599.736999021</v>
      </c>
      <c r="D14" s="5" t="n">
        <f aca="false">Valuación!B115</f>
        <v>219123.772708109</v>
      </c>
      <c r="E14" s="5" t="n">
        <f aca="false">Valuación!B153</f>
        <v>5273.04695295524</v>
      </c>
    </row>
    <row r="15" customFormat="false" ht="14.25" hidden="false" customHeight="false" outlineLevel="0" collapsed="false">
      <c r="A15" s="3" t="s">
        <v>15</v>
      </c>
      <c r="B15" s="6" t="n">
        <f aca="false">Valuación!B41</f>
        <v>50.1872978752374</v>
      </c>
      <c r="C15" s="6" t="n">
        <f aca="false">Valuación!B79</f>
        <v>32.9100342039227</v>
      </c>
      <c r="D15" s="6" t="n">
        <f aca="false">Valuación!B117</f>
        <v>228.193505981165</v>
      </c>
      <c r="E15" s="6" t="n">
        <f aca="false">Valuación!B155</f>
        <v>4.94762638931864</v>
      </c>
    </row>
    <row r="16" customFormat="false" ht="14.25" hidden="false" customHeight="false" outlineLevel="0" collapsed="false">
      <c r="A16" s="3" t="s">
        <v>16</v>
      </c>
      <c r="B16" s="6" t="n">
        <f aca="false">Valuación!B42</f>
        <v>33.48</v>
      </c>
      <c r="C16" s="6" t="n">
        <f aca="false">Valuación!B80</f>
        <v>46.6</v>
      </c>
      <c r="D16" s="6" t="n">
        <f aca="false">Valuación!B118</f>
        <v>92.94</v>
      </c>
      <c r="E16" s="6" t="n">
        <f aca="false">Valuación!B156</f>
        <v>32.08</v>
      </c>
    </row>
    <row r="17" customFormat="false" ht="14.25" hidden="false" customHeight="false" outlineLevel="0" collapsed="false">
      <c r="A17" s="3" t="s">
        <v>17</v>
      </c>
      <c r="B17" s="7" t="n">
        <f aca="false">Valuación!B43</f>
        <v>0.499023234027403</v>
      </c>
      <c r="C17" s="7" t="n">
        <f aca="false">Valuación!B81</f>
        <v>-0.293776090044576</v>
      </c>
      <c r="D17" s="7" t="n">
        <f aca="false">Valuación!B119</f>
        <v>1.45527766280574</v>
      </c>
      <c r="E17" s="7" t="n">
        <f aca="false">Valuación!B157</f>
        <v>-0.845772244721988</v>
      </c>
    </row>
    <row r="18" customFormat="false" ht="14.25" hidden="false" customHeight="false" outlineLevel="0" collapsed="false">
      <c r="A18" s="3" t="s">
        <v>18</v>
      </c>
      <c r="B18" s="6" t="n">
        <f aca="false">Generales!B24</f>
        <v>23.357</v>
      </c>
      <c r="C18" s="6" t="n">
        <v>60.094</v>
      </c>
      <c r="D18" s="6" t="n">
        <v>128.933</v>
      </c>
      <c r="E18" s="6" t="n">
        <v>47.67</v>
      </c>
    </row>
    <row r="19" customFormat="false" ht="14.25" hidden="false" customHeight="false" outlineLevel="0" collapsed="false">
      <c r="A19" s="3" t="s">
        <v>19</v>
      </c>
      <c r="B19" s="8" t="s">
        <v>20</v>
      </c>
      <c r="C19" s="8" t="s">
        <v>21</v>
      </c>
      <c r="D19" s="8" t="s">
        <v>22</v>
      </c>
      <c r="E19" s="8" t="s">
        <v>23</v>
      </c>
    </row>
    <row r="20" customFormat="false" ht="14.25" hidden="false" customHeight="false" outlineLevel="0" collapsed="false">
      <c r="B20" s="9"/>
      <c r="C20" s="9"/>
      <c r="D20" s="9"/>
      <c r="E20" s="9"/>
    </row>
    <row r="21" customFormat="false" ht="14.25" hidden="false" customHeight="false" outlineLevel="0" collapsed="false">
      <c r="A21" s="1" t="s">
        <v>24</v>
      </c>
      <c r="B21" s="1" t="s">
        <v>1</v>
      </c>
      <c r="C21" s="1" t="s">
        <v>2</v>
      </c>
      <c r="D21" s="1" t="s">
        <v>3</v>
      </c>
      <c r="E21" s="1" t="s">
        <v>4</v>
      </c>
      <c r="F21" s="2"/>
      <c r="G21" s="2"/>
      <c r="H21" s="2"/>
      <c r="I21" s="2"/>
      <c r="J21" s="2"/>
    </row>
    <row r="22" customFormat="false" ht="14.25" hidden="false" customHeight="false" outlineLevel="0" collapsed="false">
      <c r="A22" s="3" t="s">
        <v>25</v>
      </c>
      <c r="B22" s="10" t="n">
        <f aca="false">Razones!G7</f>
        <v>1.25418892001401</v>
      </c>
      <c r="C22" s="10" t="n">
        <f aca="false">Razones!G23</f>
        <v>0.976875895293384</v>
      </c>
      <c r="D22" s="10" t="n">
        <f aca="false">Razones!G39</f>
        <v>0.933732004803489</v>
      </c>
      <c r="E22" s="10" t="n">
        <f aca="false">Razones!G55</f>
        <v>1.22904633256153</v>
      </c>
    </row>
    <row r="23" customFormat="false" ht="14.25" hidden="false" customHeight="false" outlineLevel="0" collapsed="false">
      <c r="A23" s="3" t="s">
        <v>26</v>
      </c>
      <c r="B23" s="10" t="n">
        <f aca="false">Razones!G8</f>
        <v>0.354737814602396</v>
      </c>
      <c r="C23" s="10" t="n">
        <f aca="false">Razones!G24</f>
        <v>0.347045108009281</v>
      </c>
      <c r="D23" s="10" t="n">
        <f aca="false">Razones!G40</f>
        <v>0.406756413708896</v>
      </c>
      <c r="E23" s="10" t="n">
        <f aca="false">Razones!G56</f>
        <v>0.480415765868067</v>
      </c>
    </row>
    <row r="24" customFormat="false" ht="14.25" hidden="false" customHeight="false" outlineLevel="0" collapsed="false">
      <c r="A24" s="3" t="s">
        <v>27</v>
      </c>
      <c r="B24" s="11" t="n">
        <f aca="false">Razones!G9</f>
        <v>0.455053782765908</v>
      </c>
      <c r="C24" s="11" t="n">
        <f aca="false">Razones!G25</f>
        <v>0.528557762871997</v>
      </c>
      <c r="D24" s="11" t="n">
        <f aca="false">Razones!G41</f>
        <v>0.663102687084851</v>
      </c>
      <c r="E24" s="11" t="n">
        <f aca="false">Razones!G57</f>
        <v>0.257837797646854</v>
      </c>
    </row>
    <row r="25" customFormat="false" ht="14.25" hidden="false" customHeight="false" outlineLevel="0" collapsed="false">
      <c r="A25" s="3" t="s">
        <v>28</v>
      </c>
      <c r="B25" s="11" t="n">
        <f aca="false">Razones!G10</f>
        <v>0.206542067671418</v>
      </c>
      <c r="C25" s="11" t="n">
        <f aca="false">Razones!G26</f>
        <v>0.18040972193492</v>
      </c>
      <c r="D25" s="11" t="n">
        <f aca="false">Razones!G42</f>
        <v>0.380129883946277</v>
      </c>
      <c r="E25" s="11" t="n">
        <f aca="false">Razones!G58</f>
        <v>0.0645470020444197</v>
      </c>
    </row>
    <row r="26" customFormat="false" ht="14.25" hidden="false" customHeight="false" outlineLevel="0" collapsed="false">
      <c r="A26" s="3" t="s">
        <v>29</v>
      </c>
      <c r="B26" s="10" t="n">
        <f aca="false">Razones!G11</f>
        <v>2.89841957405126</v>
      </c>
      <c r="C26" s="10" t="n">
        <f aca="false">Razones!G27</f>
        <v>6.64533154492505</v>
      </c>
      <c r="D26" s="10" t="n">
        <f aca="false">Razones!G43</f>
        <v>4.15041856863133</v>
      </c>
      <c r="E26" s="10" t="n">
        <f aca="false">Razones!G59</f>
        <v>11.8447463750953</v>
      </c>
    </row>
    <row r="27" customFormat="false" ht="14.25" hidden="false" customHeight="false" outlineLevel="0" collapsed="false">
      <c r="A27" s="3" t="s">
        <v>30</v>
      </c>
      <c r="B27" s="10" t="n">
        <f aca="false">Razones!G12</f>
        <v>0.95612726248195</v>
      </c>
      <c r="C27" s="10" t="n">
        <f aca="false">Razones!G28</f>
        <v>1.77521332887847</v>
      </c>
      <c r="D27" s="10" t="n">
        <f aca="false">Razones!G44</f>
        <v>2.38335037627841</v>
      </c>
      <c r="E27" s="10" t="n">
        <f aca="false">Razones!G60</f>
        <v>1.34886945490829</v>
      </c>
    </row>
    <row r="28" customFormat="false" ht="14.25" hidden="false" customHeight="false" outlineLevel="0" collapsed="false">
      <c r="A28" s="3" t="s">
        <v>31</v>
      </c>
      <c r="B28" s="12" t="n">
        <f aca="false">Razones!G13</f>
        <v>96.0324359169449</v>
      </c>
      <c r="C28" s="12" t="n">
        <f aca="false">Razones!G29</f>
        <v>51.6580422556317</v>
      </c>
      <c r="D28" s="12" t="n">
        <f aca="false">Razones!G45</f>
        <v>38.3800881212528</v>
      </c>
      <c r="E28" s="12" t="n">
        <f aca="false">Razones!G61</f>
        <v>67.8506811030141</v>
      </c>
    </row>
    <row r="29" customFormat="false" ht="14.25" hidden="false" customHeight="false" outlineLevel="0" collapsed="false">
      <c r="A29" s="3" t="s">
        <v>32</v>
      </c>
      <c r="B29" s="10" t="n">
        <f aca="false">Razones!G14</f>
        <v>0.281664068510104</v>
      </c>
      <c r="C29" s="10" t="n">
        <f aca="false">Razones!G30</f>
        <v>0.51157675075635</v>
      </c>
      <c r="D29" s="10" t="n">
        <f aca="false">Razones!G46</f>
        <v>0.463653361438474</v>
      </c>
      <c r="E29" s="10" t="n">
        <f aca="false">Razones!G62</f>
        <v>0.27644939756534</v>
      </c>
    </row>
    <row r="30" customFormat="false" ht="14.25" hidden="false" customHeight="false" outlineLevel="0" collapsed="false">
      <c r="A30" s="3" t="s">
        <v>33</v>
      </c>
      <c r="B30" s="11" t="n">
        <f aca="false">Razones!G15</f>
        <v>0.245661529453551</v>
      </c>
      <c r="C30" s="11" t="n">
        <f aca="false">Razones!G31</f>
        <v>0.242350153950201</v>
      </c>
      <c r="D30" s="11" t="n">
        <f aca="false">Razones!G47</f>
        <v>0.235275479519844</v>
      </c>
      <c r="E30" s="11" t="n">
        <f aca="false">Razones!G63</f>
        <v>0.296720686789468</v>
      </c>
    </row>
    <row r="31" customFormat="false" ht="14.25" hidden="false" customHeight="false" outlineLevel="0" collapsed="false">
      <c r="A31" s="3" t="s">
        <v>34</v>
      </c>
      <c r="B31" s="11" t="n">
        <f aca="false">Razones!G16</f>
        <v>0.0206059352199188</v>
      </c>
      <c r="C31" s="11" t="n">
        <f aca="false">Razones!G32</f>
        <v>0.0482605376650122</v>
      </c>
      <c r="D31" s="11" t="n">
        <f aca="false">Razones!G48</f>
        <v>0.0234187860283346</v>
      </c>
      <c r="E31" s="11" t="n">
        <f aca="false">Razones!G64</f>
        <v>0.054882539722843</v>
      </c>
    </row>
    <row r="32" customFormat="false" ht="14.25" hidden="false" customHeight="false" outlineLevel="0" collapsed="false">
      <c r="A32" s="3" t="s">
        <v>35</v>
      </c>
      <c r="B32" s="4" t="n">
        <f aca="false">Razones!G17</f>
        <v>0.00584301903428532</v>
      </c>
      <c r="C32" s="4" t="n">
        <f aca="false">Razones!G33</f>
        <v>0.0247284817302854</v>
      </c>
      <c r="D32" s="4" t="n">
        <f aca="false">Razones!G49</f>
        <v>0.0108672015701412</v>
      </c>
      <c r="E32" s="4" t="n">
        <f aca="false">Razones!G65</f>
        <v>0.0151568685075889</v>
      </c>
    </row>
    <row r="33" customFormat="false" ht="14.25" hidden="false" customHeight="false" outlineLevel="0" collapsed="false">
      <c r="A33" s="3" t="s">
        <v>36</v>
      </c>
      <c r="B33" s="4" t="n">
        <f aca="false">Razones!G18</f>
        <v>0.0107033889520413</v>
      </c>
      <c r="C33" s="4" t="n">
        <f aca="false">Razones!G34</f>
        <v>0.0524769212384537</v>
      </c>
      <c r="D33" s="4" t="n">
        <f aca="false">Razones!G50</f>
        <v>0.0322403315207314</v>
      </c>
      <c r="E33" s="4" t="n">
        <f aca="false">Razones!G66</f>
        <v>0.0204396504412437</v>
      </c>
    </row>
    <row r="34" customFormat="false" ht="14.25" hidden="false" customHeight="false" outlineLevel="0" collapsed="false">
      <c r="A34" s="3" t="s">
        <v>37</v>
      </c>
      <c r="B34" s="4" t="n">
        <f aca="false">Razones!G19</f>
        <v>0.0120314355406303</v>
      </c>
      <c r="C34" s="4" t="n">
        <f aca="false">Razones!G35</f>
        <v>0.0424320224854647</v>
      </c>
      <c r="D34" s="4" t="n">
        <f aca="false">Razones!G51</f>
        <v>0.0242902936444572</v>
      </c>
      <c r="E34" s="4" t="n">
        <f aca="false">Razones!G67</f>
        <v>0.0178614151514322</v>
      </c>
    </row>
    <row r="35" customFormat="false" ht="14.25" hidden="false" customHeight="false" outlineLevel="0" collapsed="false">
      <c r="B35" s="9"/>
      <c r="C35" s="9"/>
      <c r="D35" s="9"/>
      <c r="E35" s="9"/>
    </row>
    <row r="36" customFormat="false" ht="14.25" hidden="false" customHeight="false" outlineLevel="0" collapsed="false">
      <c r="A36" s="1" t="s">
        <v>38</v>
      </c>
      <c r="B36" s="1" t="s">
        <v>1</v>
      </c>
      <c r="C36" s="1" t="s">
        <v>2</v>
      </c>
      <c r="D36" s="1" t="s">
        <v>3</v>
      </c>
      <c r="E36" s="1" t="s">
        <v>4</v>
      </c>
      <c r="F36" s="2"/>
      <c r="G36" s="2"/>
      <c r="H36" s="2"/>
      <c r="I36" s="2"/>
      <c r="J36" s="2"/>
    </row>
    <row r="37" customFormat="false" ht="14.25" hidden="false" customHeight="false" outlineLevel="0" collapsed="false">
      <c r="A37" s="3" t="s">
        <v>25</v>
      </c>
      <c r="B37" s="10" t="n">
        <f aca="false">IFERROR(Datos!G19/Datos!G21,"n.d.")</f>
        <v>1.23738494097249</v>
      </c>
      <c r="C37" s="10" t="n">
        <f aca="false">IFERROR(Datos!G45/Datos!G47,"n.d.")</f>
        <v>0.966960823537106</v>
      </c>
      <c r="D37" s="10" t="n">
        <f aca="false">IFERROR(Datos!G71/Datos!G73,"n.d.")</f>
        <v>0.920796669614483</v>
      </c>
      <c r="E37" s="10" t="n">
        <f aca="false">IFERROR(Datos!G97/Datos!G99,"n.d.")</f>
        <v>1.20703724410292</v>
      </c>
    </row>
    <row r="38" customFormat="false" ht="14.25" hidden="false" customHeight="false" outlineLevel="0" collapsed="false">
      <c r="A38" s="3" t="s">
        <v>26</v>
      </c>
      <c r="B38" s="10" t="n">
        <f aca="false">IFERROR((Datos!G19-Datos!G18)/Datos!G21,"n.d.")</f>
        <v>0.414237996889263</v>
      </c>
      <c r="C38" s="10" t="n">
        <f aca="false">IFERROR((Datos!G45-Datos!G44)/Datos!G47,"n.d.")</f>
        <v>0.333841631377466</v>
      </c>
      <c r="D38" s="10" t="n">
        <f aca="false">IFERROR((Datos!G71-Datos!G70)/Datos!G73,"n.d.")</f>
        <v>0.437355231355408</v>
      </c>
      <c r="E38" s="10" t="n">
        <f aca="false">IFERROR((Datos!G97-Datos!G96)/Datos!G99,"n.d.")</f>
        <v>0.500089214555057</v>
      </c>
    </row>
    <row r="39" customFormat="false" ht="14.25" hidden="false" customHeight="false" outlineLevel="0" collapsed="false">
      <c r="A39" s="3" t="s">
        <v>27</v>
      </c>
      <c r="B39" s="11" t="n">
        <f aca="false">IFERROR(Datos!G23/Datos!G20,"n.d.")</f>
        <v>0.45697842833156</v>
      </c>
      <c r="C39" s="11" t="n">
        <f aca="false">IFERROR(Datos!G49/Datos!G46,"n.d.")</f>
        <v>0.52434322625508</v>
      </c>
      <c r="D39" s="11" t="n">
        <f aca="false">IFERROR(Datos!G75/Datos!G72,"n.d.")</f>
        <v>0.673566388163133</v>
      </c>
      <c r="E39" s="11" t="n">
        <f aca="false">IFERROR(Datos!G101/Datos!G98,"n.d.")</f>
        <v>0.254482501103228</v>
      </c>
    </row>
    <row r="40" customFormat="false" ht="14.25" hidden="false" customHeight="false" outlineLevel="0" collapsed="false">
      <c r="A40" s="3" t="s">
        <v>28</v>
      </c>
      <c r="B40" s="11" t="n">
        <f aca="false">IFERROR(Datos!G22/Datos!G20,"n.d.")</f>
        <v>0.205629397967162</v>
      </c>
      <c r="C40" s="11" t="n">
        <f aca="false">IFERROR(Datos!G48/Datos!G46,"n.d.")</f>
        <v>0.181670402987603</v>
      </c>
      <c r="D40" s="11" t="n">
        <f aca="false">IFERROR(Datos!G74/Datos!G72,"n.d.")</f>
        <v>0.371348721647642</v>
      </c>
      <c r="E40" s="11" t="n">
        <f aca="false">IFERROR(Datos!G100/Datos!G98,"n.d.")</f>
        <v>0.0642361700442423</v>
      </c>
    </row>
    <row r="41" customFormat="false" ht="14.25" hidden="false" customHeight="false" outlineLevel="0" collapsed="false">
      <c r="A41" s="3" t="s">
        <v>29</v>
      </c>
      <c r="B41" s="10" t="n">
        <f aca="false">IFERROR(Datos!G9/Datos!G10,"n.d.")</f>
        <v>2.45673389720234</v>
      </c>
      <c r="C41" s="10" t="n">
        <f aca="false">IFERROR(Datos!G35/Datos!G36,"n.d.")</f>
        <v>6.84656380018666</v>
      </c>
      <c r="D41" s="10" t="n">
        <f aca="false">IFERROR(Datos!G61/Datos!G62,"n.d.")</f>
        <v>3.92470281188181</v>
      </c>
      <c r="E41" s="10" t="n">
        <f aca="false">IFERROR(Datos!G87/Datos!G88,"n.d.")</f>
        <v>13.4007369529253</v>
      </c>
    </row>
    <row r="42" customFormat="false" ht="14.25" hidden="false" customHeight="false" outlineLevel="0" collapsed="false">
      <c r="A42" s="3" t="s">
        <v>39</v>
      </c>
      <c r="B42" s="10" t="n">
        <f aca="false">IFERROR(Datos!G7/Datos!G18,"n.d.")</f>
        <v>4.17408543196109</v>
      </c>
      <c r="C42" s="10" t="n">
        <f aca="false">IFERROR(Datos!G33/Datos!G44,"n.d.")</f>
        <v>7.13256008092999</v>
      </c>
      <c r="D42" s="10" t="n">
        <f aca="false">IFERROR(Datos!G59/Datos!G70,"n.d.")</f>
        <v>9.71023018879762</v>
      </c>
      <c r="E42" s="10" t="n">
        <f aca="false">IFERROR(Datos!G85/Datos!G96,"n.d.")</f>
        <v>5.62686308492201</v>
      </c>
    </row>
    <row r="43" customFormat="false" ht="14.25" hidden="false" customHeight="false" outlineLevel="0" collapsed="false">
      <c r="A43" s="3" t="s">
        <v>40</v>
      </c>
      <c r="B43" s="12" t="n">
        <f aca="false">IFERROR(365*Datos!G18/Datos!G7,"n.d.")</f>
        <v>87.4443050938019</v>
      </c>
      <c r="C43" s="12" t="n">
        <f aca="false">IFERROR(365*Datos!G44/Datos!G33,"n.d.")</f>
        <v>51.1737715292276</v>
      </c>
      <c r="D43" s="12" t="n">
        <f aca="false">IFERROR(365*Datos!G70/Datos!G59,"n.d.")</f>
        <v>37.5892221814771</v>
      </c>
      <c r="E43" s="12" t="n">
        <f aca="false">IFERROR(365*Datos!G96/Datos!G85,"n.d.")</f>
        <v>64.8674038254227</v>
      </c>
    </row>
    <row r="44" customFormat="false" ht="14.25" hidden="false" customHeight="false" outlineLevel="0" collapsed="false">
      <c r="A44" s="3" t="s">
        <v>41</v>
      </c>
      <c r="B44" s="10" t="n">
        <f aca="false">IFERROR(Datos!G6/Datos!G20,"n.d.")</f>
        <v>1.13763954934055</v>
      </c>
      <c r="C44" s="10" t="n">
        <f aca="false">IFERROR(Datos!G32/Datos!G46,"n.d.")</f>
        <v>2.04250441120085</v>
      </c>
      <c r="D44" s="10" t="n">
        <f aca="false">IFERROR(Datos!G58/Datos!G72,"n.d.")</f>
        <v>1.84150466113609</v>
      </c>
      <c r="E44" s="10" t="n">
        <f aca="false">IFERROR(Datos!G84/Datos!G98,"n.d.")</f>
        <v>1.07554318431266</v>
      </c>
    </row>
    <row r="45" customFormat="false" ht="14.25" hidden="false" customHeight="false" outlineLevel="0" collapsed="false">
      <c r="A45" s="3" t="s">
        <v>33</v>
      </c>
      <c r="B45" s="11" t="n">
        <f aca="false">IFERROR(Datos!G8/Datos!G6,"n.d.")</f>
        <v>0.240903585612483</v>
      </c>
      <c r="C45" s="11" t="n">
        <f aca="false">IFERROR(Datos!G34/Datos!G32,"n.d.")</f>
        <v>0.242386723025028</v>
      </c>
      <c r="D45" s="11" t="n">
        <f aca="false">IFERROR(Datos!G60/Datos!G58,"n.d.")</f>
        <v>0.229592638200097</v>
      </c>
      <c r="E45" s="11" t="n">
        <f aca="false">IFERROR(Datos!G86/Datos!G84,"n.d.")</f>
        <v>0.296373360288041</v>
      </c>
    </row>
    <row r="46" customFormat="false" ht="14.25" hidden="false" customHeight="false" outlineLevel="0" collapsed="false">
      <c r="A46" s="3" t="s">
        <v>34</v>
      </c>
      <c r="B46" s="11" t="n">
        <f aca="false">IFERROR(Datos!G13/Datos!G6,"n.d.")</f>
        <v>0.01878151142157</v>
      </c>
      <c r="C46" s="11" t="n">
        <f aca="false">IFERROR(Datos!G39/Datos!G32,"n.d.")</f>
        <v>0.0493187065730366</v>
      </c>
      <c r="D46" s="11" t="n">
        <f aca="false">IFERROR(Datos!G65/Datos!G58,"n.d.")</f>
        <v>0.0224170132332183</v>
      </c>
      <c r="E46" s="11" t="n">
        <f aca="false">IFERROR(Datos!G91/Datos!G84,"n.d.")</f>
        <v>0.0564887397888847</v>
      </c>
    </row>
    <row r="47" customFormat="false" ht="14.25" hidden="false" customHeight="false" outlineLevel="0" collapsed="false">
      <c r="A47" s="3" t="s">
        <v>42</v>
      </c>
      <c r="B47" s="4" t="n">
        <f aca="false">IFERROR(Datos!G13/Datos!G20,"n.d.")</f>
        <v>0.0213665901895692</v>
      </c>
      <c r="C47" s="4" t="n">
        <f aca="false">IFERROR(Datos!G39/Datos!G46,"n.d.")</f>
        <v>0.100733675730147</v>
      </c>
      <c r="D47" s="4" t="n">
        <f aca="false">IFERROR(Datos!G65/Datos!G72,"n.d.")</f>
        <v>0.0412810343577209</v>
      </c>
      <c r="E47" s="4" t="n">
        <f aca="false">IFERROR(Datos!G91/Datos!G98,"n.d.")</f>
        <v>0.0607560790703464</v>
      </c>
    </row>
    <row r="48" customFormat="false" ht="14.25" hidden="false" customHeight="false" outlineLevel="0" collapsed="false">
      <c r="A48" s="3" t="s">
        <v>43</v>
      </c>
      <c r="B48" s="4" t="n">
        <f aca="false">IFERROR(Datos!G13/Datos!G24,"n.d.")</f>
        <v>0.0393475900486239</v>
      </c>
      <c r="C48" s="4" t="n">
        <f aca="false">IFERROR(Datos!G39/Datos!G50,"n.d.")</f>
        <v>0.211778074633638</v>
      </c>
      <c r="D48" s="4" t="n">
        <f aca="false">IFERROR(Datos!G65/Datos!G76,"n.d.")</f>
        <v>0.126460734620523</v>
      </c>
      <c r="E48" s="4" t="n">
        <f aca="false">IFERROR(Datos!G91/Datos!G102,"n.d.")</f>
        <v>0.0814951750431802</v>
      </c>
    </row>
    <row r="49" customFormat="false" ht="14.25" hidden="false" customHeight="false" outlineLevel="0" collapsed="false">
      <c r="A49" s="3" t="s">
        <v>44</v>
      </c>
      <c r="B49" s="4" t="n">
        <f aca="false">IFERROR(Datos!G9*(1-WACC!$B$10)/(Datos!G24+Datos!G29),"n.d.")</f>
        <v>0.0487900323027227</v>
      </c>
      <c r="C49" s="4" t="n">
        <f aca="false">IFERROR(Datos!G35*(1-WACC!$B$10)/(Datos!G50+Datos!G55),"n.d.")</f>
        <v>0.173643373125404</v>
      </c>
      <c r="D49" s="4" t="n">
        <f aca="false">IFERROR(Datos!G61*(1-WACC!$B$10)/(Datos!G76+Datos!G81),"n.d.")</f>
        <v>0.0968763348702483</v>
      </c>
      <c r="E49" s="4" t="n">
        <f aca="false">IFERROR(Datos!G87*(1-WACC!$B$10)/(Datos!G102+Datos!G107),"n.d.")</f>
        <v>0.0705054387298609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B107" activeCellId="0" sqref="B107"/>
    </sheetView>
  </sheetViews>
  <sheetFormatPr defaultColWidth="11.4453125" defaultRowHeight="14.25" zeroHeight="false" outlineLevelRow="0" outlineLevelCol="0"/>
  <cols>
    <col collapsed="false" customWidth="true" hidden="false" outlineLevel="0" max="1" min="1" style="0" width="61.11"/>
    <col collapsed="false" customWidth="true" hidden="false" outlineLevel="0" max="2" min="2" style="0" width="50.67"/>
    <col collapsed="false" customWidth="true" hidden="false" outlineLevel="0" max="3" min="3" style="0" width="70.33"/>
    <col collapsed="false" customWidth="true" hidden="false" outlineLevel="0" max="5" min="4" style="0" width="22.11"/>
  </cols>
  <sheetData>
    <row r="1" customFormat="false" ht="18.75" hidden="false" customHeight="true" outlineLevel="0" collapsed="false">
      <c r="A1" s="13"/>
    </row>
    <row r="2" customFormat="false" ht="14.25" hidden="false" customHeight="false" outlineLevel="0" collapsed="false">
      <c r="A2" s="14"/>
    </row>
    <row r="4" customFormat="false" ht="14.25" hidden="false" customHeight="false" outlineLevel="0" collapsed="false">
      <c r="A4" s="1" t="s">
        <v>45</v>
      </c>
      <c r="B4" s="1" t="s">
        <v>46</v>
      </c>
      <c r="C4" s="2"/>
      <c r="D4" s="2"/>
      <c r="E4" s="2"/>
      <c r="F4" s="2"/>
      <c r="G4" s="2"/>
      <c r="H4" s="2"/>
      <c r="I4" s="2"/>
      <c r="J4" s="2"/>
    </row>
    <row r="5" customFormat="false" ht="14.25" hidden="false" customHeight="false" outlineLevel="0" collapsed="false">
      <c r="A5" s="3" t="s">
        <v>47</v>
      </c>
      <c r="B5" s="3" t="s">
        <v>48</v>
      </c>
    </row>
    <row r="6" customFormat="false" ht="14.25" hidden="false" customHeight="false" outlineLevel="0" collapsed="false">
      <c r="A6" s="3" t="s">
        <v>49</v>
      </c>
      <c r="B6" s="3" t="s">
        <v>50</v>
      </c>
    </row>
    <row r="7" customFormat="false" ht="14.25" hidden="false" customHeight="false" outlineLevel="0" collapsed="false">
      <c r="A7" s="3" t="s">
        <v>51</v>
      </c>
      <c r="B7" s="3" t="s">
        <v>52</v>
      </c>
    </row>
    <row r="8" customFormat="false" ht="14.25" hidden="false" customHeight="false" outlineLevel="0" collapsed="false">
      <c r="A8" s="3" t="s">
        <v>53</v>
      </c>
      <c r="B8" s="3" t="s">
        <v>54</v>
      </c>
    </row>
    <row r="9" customFormat="false" ht="14.25" hidden="false" customHeight="false" outlineLevel="0" collapsed="false">
      <c r="A9" s="3" t="s">
        <v>55</v>
      </c>
      <c r="B9" s="15" t="n">
        <v>812</v>
      </c>
    </row>
    <row r="10" customFormat="false" ht="14.25" hidden="false" customHeight="false" outlineLevel="0" collapsed="false">
      <c r="A10" s="3" t="s">
        <v>56</v>
      </c>
      <c r="B10" s="15" t="n">
        <v>82064</v>
      </c>
    </row>
    <row r="11" customFormat="false" ht="14.25" hidden="false" customHeight="false" outlineLevel="0" collapsed="false">
      <c r="A11" s="3" t="s">
        <v>57</v>
      </c>
      <c r="B11" s="16" t="n">
        <f aca="false">WACC!B17</f>
        <v>1800</v>
      </c>
    </row>
    <row r="12" customFormat="false" ht="14.25" hidden="false" customHeight="false" outlineLevel="0" collapsed="false">
      <c r="A12" s="3" t="s">
        <v>58</v>
      </c>
      <c r="B12" s="16" t="n">
        <f aca="false">WACC!B18</f>
        <v>60264</v>
      </c>
    </row>
    <row r="13" customFormat="false" ht="14.25" hidden="false" customHeight="false" outlineLevel="0" collapsed="false">
      <c r="B13" s="9"/>
    </row>
    <row r="14" customFormat="false" ht="14.25" hidden="false" customHeight="false" outlineLevel="0" collapsed="false">
      <c r="A14" s="1" t="s">
        <v>59</v>
      </c>
      <c r="B14" s="17" t="s">
        <v>60</v>
      </c>
      <c r="C14" s="2"/>
      <c r="D14" s="2"/>
      <c r="E14" s="2"/>
      <c r="F14" s="2"/>
      <c r="G14" s="2"/>
      <c r="H14" s="2"/>
      <c r="I14" s="2"/>
      <c r="J14" s="2"/>
    </row>
    <row r="15" customFormat="false" ht="14.25" hidden="false" customHeight="false" outlineLevel="0" collapsed="false">
      <c r="A15" s="3" t="s">
        <v>61</v>
      </c>
      <c r="B15" s="16" t="s">
        <v>62</v>
      </c>
    </row>
    <row r="16" customFormat="false" ht="14.25" hidden="false" customHeight="false" outlineLevel="0" collapsed="false">
      <c r="A16" s="3" t="s">
        <v>63</v>
      </c>
      <c r="B16" s="16" t="s">
        <v>64</v>
      </c>
    </row>
    <row r="17" customFormat="false" ht="14.25" hidden="false" customHeight="false" outlineLevel="0" collapsed="false">
      <c r="A17" s="3" t="s">
        <v>65</v>
      </c>
      <c r="B17" s="16" t="s">
        <v>66</v>
      </c>
    </row>
    <row r="18" customFormat="false" ht="14.25" hidden="false" customHeight="false" outlineLevel="0" collapsed="false">
      <c r="A18" s="3" t="s">
        <v>67</v>
      </c>
      <c r="B18" s="16" t="s">
        <v>68</v>
      </c>
    </row>
    <row r="19" customFormat="false" ht="14.25" hidden="false" customHeight="false" outlineLevel="0" collapsed="false">
      <c r="A19" s="3" t="s">
        <v>69</v>
      </c>
      <c r="B19" s="16" t="s">
        <v>70</v>
      </c>
    </row>
    <row r="20" customFormat="false" ht="14.25" hidden="false" customHeight="false" outlineLevel="0" collapsed="false">
      <c r="A20" s="18"/>
      <c r="B20" s="19"/>
    </row>
    <row r="21" customFormat="false" ht="14.25" hidden="false" customHeight="false" outlineLevel="0" collapsed="false">
      <c r="A21" s="1" t="s">
        <v>71</v>
      </c>
      <c r="B21" s="1" t="s">
        <v>46</v>
      </c>
      <c r="C21" s="2"/>
      <c r="D21" s="2"/>
      <c r="E21" s="2"/>
      <c r="F21" s="2"/>
      <c r="G21" s="2"/>
      <c r="H21" s="2"/>
      <c r="I21" s="2"/>
      <c r="J21" s="2"/>
    </row>
    <row r="22" customFormat="false" ht="14.25" hidden="false" customHeight="false" outlineLevel="0" collapsed="false">
      <c r="A22" s="3" t="s">
        <v>72</v>
      </c>
      <c r="B22" s="3" t="s">
        <v>73</v>
      </c>
    </row>
    <row r="23" customFormat="false" ht="14.25" hidden="false" customHeight="false" outlineLevel="0" collapsed="false">
      <c r="A23" s="3" t="s">
        <v>74</v>
      </c>
      <c r="B23" s="3" t="s">
        <v>75</v>
      </c>
    </row>
    <row r="24" customFormat="false" ht="14.25" hidden="false" customHeight="false" outlineLevel="0" collapsed="false">
      <c r="A24" s="3" t="s">
        <v>76</v>
      </c>
      <c r="B24" s="3" t="n">
        <v>23.357</v>
      </c>
    </row>
    <row r="25" customFormat="false" ht="14.25" hidden="false" customHeight="false" outlineLevel="0" collapsed="false">
      <c r="A25" s="18"/>
      <c r="B25" s="18"/>
    </row>
    <row r="26" customFormat="false" ht="14.25" hidden="false" customHeight="false" outlineLevel="0" collapsed="false">
      <c r="A26" s="1" t="s">
        <v>77</v>
      </c>
      <c r="B26" s="1" t="s">
        <v>78</v>
      </c>
      <c r="C26" s="2"/>
      <c r="D26" s="2"/>
      <c r="E26" s="2"/>
      <c r="F26" s="2"/>
      <c r="G26" s="2"/>
      <c r="H26" s="2"/>
      <c r="I26" s="2"/>
      <c r="J26" s="2"/>
    </row>
    <row r="27" customFormat="false" ht="14.25" hidden="false" customHeight="false" outlineLevel="0" collapsed="false">
      <c r="A27" s="3" t="s">
        <v>79</v>
      </c>
      <c r="B27" s="5" t="n">
        <f aca="false">Datos!G6</f>
        <v>177515</v>
      </c>
    </row>
    <row r="28" customFormat="false" ht="14.25" hidden="false" customHeight="false" outlineLevel="0" collapsed="false">
      <c r="A28" s="3" t="s">
        <v>80</v>
      </c>
      <c r="B28" s="5" t="n">
        <f aca="false">Datos!G8</f>
        <v>42764</v>
      </c>
    </row>
    <row r="29" customFormat="false" ht="14.25" hidden="false" customHeight="false" outlineLevel="0" collapsed="false">
      <c r="A29" s="3" t="s">
        <v>81</v>
      </c>
      <c r="B29" s="5" t="n">
        <f aca="false">Datos!G9</f>
        <v>7552</v>
      </c>
    </row>
    <row r="30" customFormat="false" ht="14.25" hidden="false" customHeight="false" outlineLevel="0" collapsed="false">
      <c r="A30" s="3" t="s">
        <v>82</v>
      </c>
      <c r="B30" s="5" t="n">
        <f aca="false">Datos!G13</f>
        <v>3334</v>
      </c>
    </row>
    <row r="31" customFormat="false" ht="14.25" hidden="false" customHeight="false" outlineLevel="0" collapsed="false">
      <c r="A31" s="3" t="s">
        <v>33</v>
      </c>
      <c r="B31" s="11" t="n">
        <f aca="false">Datos!G8/Datos!G6</f>
        <v>0.240903585612483</v>
      </c>
    </row>
    <row r="32" customFormat="false" ht="14.25" hidden="false" customHeight="false" outlineLevel="0" collapsed="false">
      <c r="A32" s="3" t="s">
        <v>83</v>
      </c>
      <c r="B32" s="11" t="n">
        <f aca="false">Datos!G9/Datos!G6</f>
        <v>0.042542883699969</v>
      </c>
    </row>
    <row r="33" customFormat="false" ht="14.25" hidden="false" customHeight="false" outlineLevel="0" collapsed="false">
      <c r="A33" s="3" t="s">
        <v>34</v>
      </c>
      <c r="B33" s="11" t="n">
        <f aca="false">Datos!G13/Datos!G6</f>
        <v>0.01878151142157</v>
      </c>
    </row>
    <row r="34" customFormat="false" ht="14.25" hidden="false" customHeight="false" outlineLevel="0" collapsed="false">
      <c r="B34" s="9"/>
    </row>
    <row r="35" customFormat="false" ht="14.25" hidden="false" customHeight="false" outlineLevel="0" collapsed="false">
      <c r="A35" s="1" t="s">
        <v>84</v>
      </c>
      <c r="B35" s="1" t="s">
        <v>85</v>
      </c>
      <c r="C35" s="2"/>
      <c r="D35" s="2"/>
      <c r="E35" s="2"/>
      <c r="F35" s="2"/>
      <c r="G35" s="2"/>
      <c r="H35" s="2"/>
      <c r="I35" s="2"/>
      <c r="J35" s="2"/>
    </row>
    <row r="36" customFormat="false" ht="14.25" hidden="false" customHeight="false" outlineLevel="0" collapsed="false">
      <c r="A36" s="3" t="s">
        <v>79</v>
      </c>
      <c r="B36" s="5" t="n">
        <f aca="false">Datos!F6</f>
        <v>43559</v>
      </c>
    </row>
    <row r="37" customFormat="false" ht="14.25" hidden="false" customHeight="false" outlineLevel="0" collapsed="false">
      <c r="A37" s="3" t="s">
        <v>86</v>
      </c>
      <c r="B37" s="5" t="n">
        <f aca="false">Datos!F7</f>
        <v>32919</v>
      </c>
    </row>
    <row r="38" customFormat="false" ht="14.25" hidden="false" customHeight="false" outlineLevel="0" collapsed="false">
      <c r="A38" s="3" t="s">
        <v>80</v>
      </c>
      <c r="B38" s="5" t="n">
        <f aca="false">Datos!F8</f>
        <v>10640</v>
      </c>
    </row>
    <row r="39" customFormat="false" ht="14.25" hidden="false" customHeight="false" outlineLevel="0" collapsed="false">
      <c r="A39" s="3" t="s">
        <v>87</v>
      </c>
      <c r="B39" s="5" t="n">
        <f aca="false">Datos!F9</f>
        <v>1855</v>
      </c>
    </row>
    <row r="40" customFormat="false" ht="14.25" hidden="false" customHeight="false" outlineLevel="0" collapsed="false">
      <c r="A40" s="3" t="s">
        <v>88</v>
      </c>
      <c r="B40" s="5" t="n">
        <f aca="false">Datos!F10</f>
        <v>582</v>
      </c>
    </row>
    <row r="41" customFormat="false" ht="14.25" hidden="false" customHeight="false" outlineLevel="0" collapsed="false">
      <c r="A41" s="3" t="s">
        <v>89</v>
      </c>
      <c r="B41" s="5" t="n">
        <f aca="false">Datos!F13</f>
        <v>1090</v>
      </c>
    </row>
    <row r="42" customFormat="false" ht="14.25" hidden="false" customHeight="false" outlineLevel="0" collapsed="false">
      <c r="B42" s="9"/>
    </row>
    <row r="43" customFormat="false" ht="14.25" hidden="false" customHeight="false" outlineLevel="0" collapsed="false">
      <c r="A43" s="1" t="s">
        <v>90</v>
      </c>
      <c r="B43" s="1" t="s">
        <v>91</v>
      </c>
      <c r="C43" s="2"/>
      <c r="D43" s="2"/>
      <c r="E43" s="2"/>
      <c r="F43" s="2"/>
      <c r="G43" s="2"/>
      <c r="H43" s="2"/>
      <c r="I43" s="2"/>
      <c r="J43" s="2"/>
    </row>
    <row r="44" customFormat="false" ht="14.25" hidden="false" customHeight="false" outlineLevel="0" collapsed="false">
      <c r="A44" s="3" t="s">
        <v>92</v>
      </c>
      <c r="B44" s="5" t="n">
        <f aca="false">Datos!G20</f>
        <v>156038</v>
      </c>
    </row>
    <row r="45" customFormat="false" ht="14.25" hidden="false" customHeight="false" outlineLevel="0" collapsed="false">
      <c r="A45" s="3" t="s">
        <v>93</v>
      </c>
      <c r="B45" s="5" t="n">
        <f aca="false">Datos!G23</f>
        <v>71306</v>
      </c>
    </row>
    <row r="46" customFormat="false" ht="14.25" hidden="false" customHeight="false" outlineLevel="0" collapsed="false">
      <c r="A46" s="3" t="s">
        <v>94</v>
      </c>
      <c r="B46" s="5" t="n">
        <f aca="false">Datos!G24</f>
        <v>84732</v>
      </c>
    </row>
    <row r="47" customFormat="false" ht="14.25" hidden="false" customHeight="false" outlineLevel="0" collapsed="false">
      <c r="A47" s="3" t="s">
        <v>95</v>
      </c>
      <c r="B47" s="5" t="n">
        <f aca="false">Datos!G25+Datos!G26</f>
        <v>11500</v>
      </c>
    </row>
    <row r="48" customFormat="false" ht="14.25" hidden="false" customHeight="false" outlineLevel="0" collapsed="false">
      <c r="A48" s="3" t="s">
        <v>96</v>
      </c>
      <c r="B48" s="5" t="n">
        <f aca="false">Datos!G17</f>
        <v>9295</v>
      </c>
    </row>
    <row r="49" customFormat="false" ht="14.25" hidden="false" customHeight="false" outlineLevel="0" collapsed="false">
      <c r="B49" s="9"/>
    </row>
    <row r="50" customFormat="false" ht="14.25" hidden="false" customHeight="false" outlineLevel="0" collapsed="false">
      <c r="A50" s="1" t="s">
        <v>97</v>
      </c>
      <c r="B50" s="1" t="s">
        <v>78</v>
      </c>
      <c r="C50" s="2"/>
      <c r="D50" s="2"/>
      <c r="E50" s="2"/>
      <c r="F50" s="2"/>
      <c r="G50" s="2"/>
      <c r="H50" s="2"/>
      <c r="I50" s="2"/>
      <c r="J50" s="2"/>
    </row>
    <row r="51" customFormat="false" ht="14.25" hidden="false" customHeight="false" outlineLevel="0" collapsed="false">
      <c r="A51" s="3" t="s">
        <v>98</v>
      </c>
      <c r="B51" s="5" t="n">
        <f aca="false">Datos!G15</f>
        <v>13738</v>
      </c>
    </row>
    <row r="52" customFormat="false" ht="14.25" hidden="false" customHeight="false" outlineLevel="0" collapsed="false">
      <c r="A52" s="3" t="s">
        <v>99</v>
      </c>
      <c r="B52" s="5" t="n">
        <f aca="false">Datos!G16</f>
        <v>2867</v>
      </c>
    </row>
    <row r="53" customFormat="false" ht="14.25" hidden="false" customHeight="false" outlineLevel="0" collapsed="false">
      <c r="A53" s="3" t="s">
        <v>100</v>
      </c>
      <c r="B53" s="5" t="n">
        <f aca="false">B51-B52</f>
        <v>10871</v>
      </c>
    </row>
    <row r="54" customFormat="false" ht="14.25" hidden="false" customHeight="false" outlineLevel="0" collapsed="false">
      <c r="B54" s="9"/>
    </row>
    <row r="55" customFormat="false" ht="14.25" hidden="false" customHeight="false" outlineLevel="0" collapsed="false">
      <c r="A55" s="1" t="s">
        <v>101</v>
      </c>
      <c r="B55" s="1" t="s">
        <v>78</v>
      </c>
      <c r="C55" s="2"/>
      <c r="D55" s="2"/>
      <c r="E55" s="2"/>
      <c r="F55" s="2"/>
      <c r="G55" s="2"/>
      <c r="H55" s="2"/>
      <c r="I55" s="2"/>
      <c r="J55" s="2"/>
    </row>
    <row r="56" customFormat="false" ht="14.25" hidden="false" customHeight="false" outlineLevel="0" collapsed="false">
      <c r="A56" s="3" t="s">
        <v>102</v>
      </c>
      <c r="B56" s="10" t="n">
        <f aca="false">WACC!B13/(Datos!G13/WACC!B17)</f>
        <v>18.0755848830234</v>
      </c>
    </row>
    <row r="57" customFormat="false" ht="14.25" hidden="false" customHeight="false" outlineLevel="0" collapsed="false">
      <c r="A57" s="3" t="s">
        <v>103</v>
      </c>
      <c r="B57" s="6" t="n">
        <f aca="false">Datos!G24/WACC!B17</f>
        <v>47.0733333333333</v>
      </c>
    </row>
    <row r="58" customFormat="false" ht="14.25" hidden="false" customHeight="false" outlineLevel="0" collapsed="false">
      <c r="A58" s="3" t="s">
        <v>104</v>
      </c>
      <c r="B58" s="10" t="n">
        <f aca="false">WACC!B13/B57</f>
        <v>0.711230703866308</v>
      </c>
    </row>
    <row r="59" customFormat="false" ht="14.25" hidden="false" customHeight="false" outlineLevel="0" collapsed="false">
      <c r="A59" s="3" t="s">
        <v>105</v>
      </c>
      <c r="B59" s="11" t="n">
        <f aca="false">Comparativo!B48</f>
        <v>0.0393475900486239</v>
      </c>
    </row>
    <row r="60" customFormat="false" ht="14.25" hidden="false" customHeight="false" outlineLevel="0" collapsed="false">
      <c r="B60" s="9"/>
    </row>
    <row r="61" customFormat="false" ht="14.25" hidden="false" customHeight="false" outlineLevel="0" collapsed="false">
      <c r="A61" s="1" t="s">
        <v>106</v>
      </c>
      <c r="B61" s="1" t="s">
        <v>78</v>
      </c>
      <c r="C61" s="2"/>
      <c r="D61" s="2"/>
      <c r="E61" s="2"/>
      <c r="F61" s="2"/>
      <c r="G61" s="2"/>
      <c r="H61" s="2"/>
      <c r="I61" s="2"/>
      <c r="J61" s="2"/>
    </row>
    <row r="62" customFormat="false" ht="14.25" hidden="false" customHeight="false" outlineLevel="0" collapsed="false">
      <c r="A62" s="3" t="s">
        <v>107</v>
      </c>
      <c r="B62" s="20" t="n">
        <v>0.5556</v>
      </c>
    </row>
    <row r="63" customFormat="false" ht="14.25" hidden="false" customHeight="false" outlineLevel="0" collapsed="false">
      <c r="A63" s="3" t="s">
        <v>108</v>
      </c>
      <c r="B63" s="4" t="n">
        <f aca="false">B62/WACC!B13</f>
        <v>0.016594982078853</v>
      </c>
    </row>
    <row r="64" customFormat="false" ht="14.25" hidden="false" customHeight="false" outlineLevel="0" collapsed="false">
      <c r="B64" s="9"/>
    </row>
    <row r="65" customFormat="false" ht="14.25" hidden="false" customHeight="false" outlineLevel="0" collapsed="false">
      <c r="A65" s="1" t="s">
        <v>109</v>
      </c>
      <c r="B65" s="1"/>
      <c r="C65" s="2"/>
      <c r="D65" s="2"/>
      <c r="E65" s="2"/>
      <c r="F65" s="2"/>
      <c r="G65" s="2"/>
      <c r="H65" s="2"/>
      <c r="I65" s="2"/>
      <c r="J65" s="2"/>
    </row>
    <row r="66" customFormat="false" ht="14.25" hidden="false" customHeight="false" outlineLevel="0" collapsed="false">
      <c r="A66" s="3" t="s">
        <v>110</v>
      </c>
      <c r="B66" s="3" t="s">
        <v>111</v>
      </c>
    </row>
    <row r="67" customFormat="false" ht="14.25" hidden="false" customHeight="false" outlineLevel="0" collapsed="false">
      <c r="A67" s="3" t="s">
        <v>112</v>
      </c>
      <c r="B67" s="11" t="n">
        <f aca="false">Datos!F8/Datos!F6</f>
        <v>0.244266397300214</v>
      </c>
    </row>
    <row r="68" customFormat="false" ht="14.25" hidden="false" customHeight="false" outlineLevel="0" collapsed="false">
      <c r="A68" s="3" t="s">
        <v>113</v>
      </c>
      <c r="B68" s="15" t="n">
        <v>477</v>
      </c>
    </row>
    <row r="69" customFormat="false" ht="14.25" hidden="false" customHeight="false" outlineLevel="0" collapsed="false">
      <c r="A69" s="3" t="s">
        <v>114</v>
      </c>
      <c r="B69" s="15" t="n">
        <f aca="false">Datos!F25+Datos!F26-Datos!F17</f>
        <v>4624.616</v>
      </c>
    </row>
    <row r="70" customFormat="false" ht="14.25" hidden="false" customHeight="false" outlineLevel="0" collapsed="false">
      <c r="A70" s="3" t="s">
        <v>115</v>
      </c>
      <c r="B70" s="15" t="n">
        <f aca="false">Datos!E16+Datos!F16</f>
        <v>1410.9</v>
      </c>
    </row>
    <row r="71" customFormat="false" ht="14.25" hidden="false" customHeight="false" outlineLevel="0" collapsed="false">
      <c r="B71" s="9"/>
    </row>
    <row r="72" customFormat="false" ht="14.25" hidden="false" customHeight="false" outlineLevel="0" collapsed="false">
      <c r="A72" s="1" t="s">
        <v>116</v>
      </c>
      <c r="B72" s="1" t="s">
        <v>78</v>
      </c>
      <c r="C72" s="2"/>
      <c r="D72" s="2"/>
      <c r="E72" s="2"/>
      <c r="F72" s="2"/>
      <c r="G72" s="2"/>
      <c r="H72" s="2"/>
      <c r="I72" s="2"/>
      <c r="J72" s="2"/>
    </row>
    <row r="73" customFormat="false" ht="14.25" hidden="false" customHeight="false" outlineLevel="0" collapsed="false">
      <c r="A73" s="3" t="s">
        <v>117</v>
      </c>
      <c r="B73" s="21" t="s">
        <v>118</v>
      </c>
    </row>
    <row r="74" customFormat="false" ht="14.25" hidden="false" customHeight="false" outlineLevel="0" collapsed="false">
      <c r="A74" s="3" t="s">
        <v>119</v>
      </c>
      <c r="B74" s="22" t="n">
        <f aca="false">B24/WACC!B13-1</f>
        <v>-0.302359617682198</v>
      </c>
    </row>
    <row r="75" customFormat="false" ht="14.25" hidden="false" customHeight="false" outlineLevel="0" collapsed="false">
      <c r="A75" s="3" t="s">
        <v>120</v>
      </c>
      <c r="B75" s="15" t="n">
        <v>196480</v>
      </c>
    </row>
    <row r="76" customFormat="false" ht="14.25" hidden="false" customHeight="false" outlineLevel="0" collapsed="false">
      <c r="B76" s="9"/>
    </row>
    <row r="77" customFormat="false" ht="14.25" hidden="false" customHeight="false" outlineLevel="0" collapsed="false">
      <c r="A77" s="1" t="s">
        <v>121</v>
      </c>
      <c r="B77" s="1" t="s">
        <v>78</v>
      </c>
      <c r="C77" s="2"/>
      <c r="D77" s="2"/>
      <c r="E77" s="2"/>
      <c r="F77" s="2"/>
      <c r="G77" s="2"/>
      <c r="H77" s="2"/>
      <c r="I77" s="2"/>
      <c r="J77" s="2"/>
    </row>
    <row r="78" customFormat="false" ht="14.25" hidden="false" customHeight="false" outlineLevel="0" collapsed="false">
      <c r="A78" s="3" t="s">
        <v>122</v>
      </c>
      <c r="B78" s="6" t="n">
        <f aca="false">WACC!B13</f>
        <v>33.48</v>
      </c>
    </row>
    <row r="79" customFormat="false" ht="14.25" hidden="false" customHeight="false" outlineLevel="0" collapsed="false">
      <c r="A79" s="3" t="s">
        <v>123</v>
      </c>
      <c r="B79" s="3" t="s">
        <v>124</v>
      </c>
    </row>
    <row r="80" customFormat="false" ht="14.25" hidden="false" customHeight="false" outlineLevel="0" collapsed="false">
      <c r="A80" s="3" t="s">
        <v>125</v>
      </c>
      <c r="B80" s="11" t="n">
        <v>0.2127</v>
      </c>
    </row>
    <row r="81" customFormat="false" ht="14.25" hidden="false" customHeight="false" outlineLevel="0" collapsed="false">
      <c r="A81" s="3" t="s">
        <v>126</v>
      </c>
      <c r="B81" s="3" t="s">
        <v>127</v>
      </c>
    </row>
    <row r="82" customFormat="false" ht="14.25" hidden="false" customHeight="false" outlineLevel="0" collapsed="false">
      <c r="A82" s="3" t="s">
        <v>128</v>
      </c>
      <c r="B82" s="12" t="n">
        <v>75</v>
      </c>
    </row>
    <row r="83" customFormat="false" ht="14.25" hidden="false" customHeight="false" outlineLevel="0" collapsed="false">
      <c r="A83" s="3" t="s">
        <v>129</v>
      </c>
      <c r="B83" s="23" t="n">
        <v>1.154</v>
      </c>
    </row>
    <row r="84" customFormat="false" ht="14.25" hidden="false" customHeight="false" outlineLevel="0" collapsed="false">
      <c r="A84" s="3" t="s">
        <v>130</v>
      </c>
      <c r="B84" s="6" t="n">
        <v>29.68</v>
      </c>
    </row>
    <row r="85" customFormat="false" ht="14.25" hidden="false" customHeight="false" outlineLevel="0" collapsed="false">
      <c r="A85" s="3" t="s">
        <v>131</v>
      </c>
      <c r="B85" s="6" t="n">
        <v>29.71</v>
      </c>
    </row>
    <row r="88" customFormat="false" ht="14.25" hidden="false" customHeight="false" outlineLevel="0" collapsed="false">
      <c r="A88" s="1" t="s">
        <v>132</v>
      </c>
      <c r="B88" s="1" t="s">
        <v>1</v>
      </c>
      <c r="C88" s="1" t="s">
        <v>2</v>
      </c>
      <c r="D88" s="1" t="s">
        <v>3</v>
      </c>
      <c r="E88" s="1" t="s">
        <v>4</v>
      </c>
      <c r="F88" s="2"/>
      <c r="G88" s="2"/>
      <c r="H88" s="2"/>
      <c r="I88" s="2"/>
      <c r="J88" s="2"/>
    </row>
    <row r="89" customFormat="false" ht="14.25" hidden="false" customHeight="false" outlineLevel="0" collapsed="false">
      <c r="A89" s="3" t="s">
        <v>133</v>
      </c>
      <c r="B89" s="6" t="n">
        <f aca="false">WACC!B13</f>
        <v>33.48</v>
      </c>
      <c r="C89" s="6" t="n">
        <f aca="false">WACC!C13</f>
        <v>46.6</v>
      </c>
      <c r="D89" s="6" t="n">
        <f aca="false">WACC!D13</f>
        <v>92.94</v>
      </c>
      <c r="E89" s="6" t="n">
        <f aca="false">WACC!E13</f>
        <v>32.08</v>
      </c>
    </row>
    <row r="90" customFormat="false" ht="14.25" hidden="false" customHeight="false" outlineLevel="0" collapsed="false">
      <c r="A90" s="3" t="s">
        <v>134</v>
      </c>
      <c r="B90" s="10" t="n">
        <f aca="false">B56</f>
        <v>18.0755848830234</v>
      </c>
      <c r="C90" s="10" t="n">
        <f aca="false">WACC!C13/(Datos!G39/WACC!C17)</f>
        <v>16.3081016006914</v>
      </c>
      <c r="D90" s="10" t="n">
        <f aca="false">WACC!D13/(Datos!G65/WACC!D17)</f>
        <v>13.4811709005336</v>
      </c>
      <c r="E90" s="10" t="n">
        <f aca="false">WACC!E13/(Datos!G91/WACC!E17)</f>
        <v>12.7350338210316</v>
      </c>
    </row>
    <row r="91" customFormat="false" ht="14.25" hidden="false" customHeight="false" outlineLevel="0" collapsed="false">
      <c r="A91" s="3" t="s">
        <v>135</v>
      </c>
      <c r="B91" s="11" t="n">
        <f aca="false">B63</f>
        <v>0.016594982078853</v>
      </c>
      <c r="C91" s="11" t="n">
        <v>0.0253</v>
      </c>
      <c r="D91" s="11" t="n">
        <v>0.0249</v>
      </c>
      <c r="E91" s="11" t="n">
        <v>0.0088</v>
      </c>
    </row>
    <row r="92" customFormat="false" ht="14.25" hidden="false" customHeight="false" outlineLevel="0" collapsed="false">
      <c r="A92" s="3" t="s">
        <v>125</v>
      </c>
      <c r="B92" s="11" t="n">
        <f aca="false">B80</f>
        <v>0.2127</v>
      </c>
      <c r="C92" s="11" t="n">
        <v>-0.1686</v>
      </c>
      <c r="D92" s="11" t="n">
        <v>-0.4125</v>
      </c>
      <c r="E92" s="11" t="n">
        <v>-0.2051</v>
      </c>
    </row>
    <row r="93" customFormat="false" ht="14.25" hidden="false" customHeight="false" outlineLevel="0" collapsed="false">
      <c r="A93" s="3" t="s">
        <v>136</v>
      </c>
      <c r="B93" s="24" t="n">
        <v>-0.24</v>
      </c>
      <c r="C93" s="24" t="n">
        <v>0.03</v>
      </c>
      <c r="D93" s="24" t="n">
        <v>-0.06</v>
      </c>
      <c r="E93" s="24" t="n">
        <v>0.17</v>
      </c>
    </row>
    <row r="94" customFormat="false" ht="14.25" hidden="false" customHeight="false" outlineLevel="0" collapsed="false">
      <c r="A94" s="3" t="s">
        <v>137</v>
      </c>
      <c r="B94" s="3" t="s">
        <v>127</v>
      </c>
      <c r="C94" s="3" t="s">
        <v>127</v>
      </c>
      <c r="D94" s="3" t="s">
        <v>127</v>
      </c>
      <c r="E94" s="3" t="s">
        <v>127</v>
      </c>
    </row>
    <row r="95" customFormat="false" ht="14.25" hidden="false" customHeight="false" outlineLevel="0" collapsed="false">
      <c r="A95" s="3" t="s">
        <v>128</v>
      </c>
      <c r="B95" s="12" t="n">
        <f aca="false">B82</f>
        <v>75</v>
      </c>
      <c r="C95" s="12" t="n">
        <v>41.07</v>
      </c>
      <c r="D95" s="12" t="n">
        <v>60.23</v>
      </c>
      <c r="E95" s="12" t="n">
        <v>40.03</v>
      </c>
    </row>
    <row r="96" customFormat="false" ht="14.25" hidden="false" customHeight="false" outlineLevel="0" collapsed="false">
      <c r="A96" s="3" t="s">
        <v>74</v>
      </c>
      <c r="B96" s="3" t="s">
        <v>75</v>
      </c>
      <c r="C96" s="3" t="s">
        <v>138</v>
      </c>
      <c r="D96" s="3" t="s">
        <v>138</v>
      </c>
      <c r="E96" s="3" t="s">
        <v>139</v>
      </c>
    </row>
    <row r="97" customFormat="false" ht="14.25" hidden="false" customHeight="false" outlineLevel="0" collapsed="false">
      <c r="A97" s="3" t="s">
        <v>140</v>
      </c>
      <c r="B97" s="6" t="n">
        <f aca="false">Comparativo!B18</f>
        <v>23.357</v>
      </c>
      <c r="C97" s="6" t="n">
        <f aca="false">Comparativo!C18</f>
        <v>60.094</v>
      </c>
      <c r="D97" s="6" t="n">
        <f aca="false">Comparativo!D18</f>
        <v>128.933</v>
      </c>
      <c r="E97" s="6" t="n">
        <f aca="false">Comparativo!E18</f>
        <v>47.67</v>
      </c>
    </row>
    <row r="98" customFormat="false" ht="14.25" hidden="false" customHeight="false" outlineLevel="0" collapsed="false">
      <c r="A98" s="3" t="s">
        <v>141</v>
      </c>
      <c r="B98" s="3" t="s">
        <v>142</v>
      </c>
      <c r="C98" s="3" t="s">
        <v>143</v>
      </c>
      <c r="D98" s="3" t="s">
        <v>144</v>
      </c>
      <c r="E98" s="3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9" colorId="64" zoomScale="87" zoomScaleNormal="87" zoomScalePageLayoutView="100" workbookViewId="0">
      <selection pane="topLeft" activeCell="A37" activeCellId="0" sqref="A37"/>
    </sheetView>
  </sheetViews>
  <sheetFormatPr defaultColWidth="11.4453125" defaultRowHeight="14.25" zeroHeight="false" outlineLevelRow="0" outlineLevelCol="0"/>
  <cols>
    <col collapsed="false" customWidth="true" hidden="false" outlineLevel="0" max="1" min="1" style="0" width="48.11"/>
    <col collapsed="false" customWidth="true" hidden="false" outlineLevel="0" max="9" min="2" style="0" width="14.44"/>
    <col collapsed="false" customWidth="true" hidden="false" outlineLevel="0" max="10" min="10" style="0" width="48.11"/>
  </cols>
  <sheetData>
    <row r="1" customFormat="false" ht="18.75" hidden="false" customHeight="true" outlineLevel="0" collapsed="false">
      <c r="A1" s="13"/>
    </row>
    <row r="2" customFormat="false" ht="14.25" hidden="false" customHeight="false" outlineLevel="0" collapsed="false">
      <c r="A2" s="14"/>
    </row>
    <row r="5" customFormat="false" ht="14.25" hidden="false" customHeight="false" outlineLevel="0" collapsed="false">
      <c r="A5" s="1" t="s">
        <v>145</v>
      </c>
      <c r="B5" s="1" t="s">
        <v>146</v>
      </c>
      <c r="C5" s="1" t="s">
        <v>147</v>
      </c>
      <c r="D5" s="1" t="s">
        <v>148</v>
      </c>
      <c r="E5" s="1" t="s">
        <v>149</v>
      </c>
      <c r="F5" s="1" t="s">
        <v>85</v>
      </c>
      <c r="G5" s="1" t="s">
        <v>150</v>
      </c>
      <c r="H5" s="2"/>
      <c r="I5" s="2"/>
      <c r="J5" s="2"/>
    </row>
    <row r="6" customFormat="false" ht="14.25" hidden="false" customHeight="false" outlineLevel="0" collapsed="false">
      <c r="A6" s="3" t="s">
        <v>79</v>
      </c>
      <c r="B6" s="5" t="n">
        <v>45810</v>
      </c>
      <c r="C6" s="5" t="n">
        <v>42683</v>
      </c>
      <c r="D6" s="5" t="n">
        <v>47592</v>
      </c>
      <c r="E6" s="5" t="n">
        <v>40444</v>
      </c>
      <c r="F6" s="5" t="n">
        <v>43559</v>
      </c>
      <c r="G6" s="5" t="n">
        <v>177515</v>
      </c>
    </row>
    <row r="7" customFormat="false" ht="14.25" hidden="false" customHeight="false" outlineLevel="0" collapsed="false">
      <c r="A7" s="3" t="s">
        <v>86</v>
      </c>
      <c r="B7" s="5" t="n">
        <v>34856</v>
      </c>
      <c r="C7" s="5" t="n">
        <v>31998</v>
      </c>
      <c r="D7" s="5" t="n">
        <v>35795</v>
      </c>
      <c r="E7" s="5" t="n">
        <v>30466</v>
      </c>
      <c r="F7" s="5" t="n">
        <v>32919</v>
      </c>
      <c r="G7" s="5" t="n">
        <v>134752</v>
      </c>
      <c r="H7" s="9"/>
      <c r="I7" s="9"/>
    </row>
    <row r="8" customFormat="false" ht="14.25" hidden="false" customHeight="false" outlineLevel="0" collapsed="false">
      <c r="A8" s="3" t="s">
        <v>80</v>
      </c>
      <c r="B8" s="5" t="n">
        <v>10954</v>
      </c>
      <c r="C8" s="5" t="n">
        <v>10685</v>
      </c>
      <c r="D8" s="5" t="n">
        <v>11797</v>
      </c>
      <c r="E8" s="5" t="n">
        <v>9978</v>
      </c>
      <c r="F8" s="5" t="n">
        <v>10640</v>
      </c>
      <c r="G8" s="5" t="n">
        <v>42764</v>
      </c>
      <c r="H8" s="9"/>
      <c r="I8" s="9"/>
    </row>
    <row r="9" customFormat="false" ht="14.25" hidden="false" customHeight="false" outlineLevel="0" collapsed="false">
      <c r="A9" s="3" t="s">
        <v>81</v>
      </c>
      <c r="B9" s="5" t="n">
        <v>1909</v>
      </c>
      <c r="C9" s="5" t="n">
        <v>1468</v>
      </c>
      <c r="D9" s="5" t="n">
        <v>2486</v>
      </c>
      <c r="E9" s="5" t="n">
        <v>1822</v>
      </c>
      <c r="F9" s="5" t="n">
        <v>1855</v>
      </c>
      <c r="G9" s="5" t="n">
        <v>7552</v>
      </c>
      <c r="H9" s="9"/>
      <c r="I9" s="9"/>
    </row>
    <row r="10" customFormat="false" ht="14.25" hidden="false" customHeight="false" outlineLevel="0" collapsed="false">
      <c r="A10" s="3" t="s">
        <v>151</v>
      </c>
      <c r="B10" s="5" t="n">
        <v>829</v>
      </c>
      <c r="C10" s="5" t="n">
        <v>786</v>
      </c>
      <c r="D10" s="5" t="n">
        <v>616</v>
      </c>
      <c r="E10" s="5" t="n">
        <v>588</v>
      </c>
      <c r="F10" s="5" t="n">
        <v>582</v>
      </c>
      <c r="G10" s="5" t="n">
        <v>3074</v>
      </c>
      <c r="H10" s="9"/>
      <c r="I10" s="9"/>
    </row>
    <row r="11" customFormat="false" ht="14.25" hidden="false" customHeight="false" outlineLevel="0" collapsed="false">
      <c r="A11" s="3" t="s">
        <v>152</v>
      </c>
      <c r="B11" s="5" t="n">
        <v>1203</v>
      </c>
      <c r="C11" s="5" t="n">
        <v>764</v>
      </c>
      <c r="D11" s="5" t="n">
        <v>1763</v>
      </c>
      <c r="E11" s="5" t="n">
        <v>1326</v>
      </c>
      <c r="F11" s="5" t="n">
        <v>1372</v>
      </c>
      <c r="G11" s="5" t="n">
        <v>4766</v>
      </c>
      <c r="H11" s="9"/>
      <c r="I11" s="9"/>
    </row>
    <row r="12" customFormat="false" ht="14.25" hidden="false" customHeight="false" outlineLevel="0" collapsed="false">
      <c r="A12" s="3" t="s">
        <v>153</v>
      </c>
      <c r="B12" s="5" t="n">
        <v>461</v>
      </c>
      <c r="C12" s="5" t="n">
        <v>179</v>
      </c>
      <c r="D12" s="5" t="n">
        <v>455</v>
      </c>
      <c r="E12" s="5" t="n">
        <v>492</v>
      </c>
      <c r="F12" s="5" t="n">
        <v>282</v>
      </c>
      <c r="G12" s="5" t="n">
        <v>1433</v>
      </c>
      <c r="H12" s="9"/>
      <c r="I12" s="9"/>
    </row>
    <row r="13" customFormat="false" ht="14.25" hidden="false" customHeight="false" outlineLevel="0" collapsed="false">
      <c r="A13" s="3" t="s">
        <v>82</v>
      </c>
      <c r="B13" s="5" t="n">
        <v>743</v>
      </c>
      <c r="C13" s="5" t="n">
        <v>584</v>
      </c>
      <c r="D13" s="5" t="n">
        <v>1308</v>
      </c>
      <c r="E13" s="5" t="n">
        <v>834</v>
      </c>
      <c r="F13" s="5" t="n">
        <v>1090</v>
      </c>
      <c r="G13" s="5" t="n">
        <v>3334</v>
      </c>
      <c r="H13" s="9"/>
      <c r="I13" s="9"/>
    </row>
    <row r="14" customFormat="false" ht="14.25" hidden="false" customHeight="false" outlineLevel="0" collapsed="false">
      <c r="A14" s="3" t="s">
        <v>154</v>
      </c>
      <c r="B14" s="5" t="n">
        <v>1105.905</v>
      </c>
      <c r="C14" s="5" t="n">
        <v>1049.349</v>
      </c>
      <c r="D14" s="5" t="n">
        <v>1051</v>
      </c>
      <c r="E14" s="5" t="n">
        <v>1048.889</v>
      </c>
      <c r="F14" s="5" t="n">
        <v>1030.633</v>
      </c>
      <c r="G14" s="5" t="n">
        <v>4342</v>
      </c>
      <c r="H14" s="9"/>
      <c r="I14" s="9"/>
    </row>
    <row r="15" customFormat="false" ht="14.25" hidden="false" customHeight="false" outlineLevel="0" collapsed="false">
      <c r="A15" s="3" t="s">
        <v>98</v>
      </c>
      <c r="B15" s="5" t="n">
        <v>4013.113</v>
      </c>
      <c r="C15" s="5" t="n">
        <v>-205.9</v>
      </c>
      <c r="D15" s="5" t="n">
        <v>13017</v>
      </c>
      <c r="E15" s="5" t="n">
        <v>-3565.6</v>
      </c>
      <c r="F15" s="5" t="n">
        <v>3916.003</v>
      </c>
      <c r="G15" s="5" t="n">
        <v>13738</v>
      </c>
      <c r="H15" s="9"/>
      <c r="I15" s="9"/>
    </row>
    <row r="16" customFormat="false" ht="14.25" hidden="false" customHeight="false" outlineLevel="0" collapsed="false">
      <c r="A16" s="3" t="s">
        <v>155</v>
      </c>
      <c r="B16" s="5" t="n">
        <f aca="false">SUM(B110:B112)</f>
        <v>663.2</v>
      </c>
      <c r="C16" s="5" t="n">
        <f aca="false">SUM(C110:C112)</f>
        <v>775.2</v>
      </c>
      <c r="D16" s="5" t="n">
        <f aca="false">SUM(D110:D112)</f>
        <v>816</v>
      </c>
      <c r="E16" s="5" t="n">
        <f aca="false">SUM(E110:E112)</f>
        <v>501</v>
      </c>
      <c r="F16" s="5" t="n">
        <f aca="false">SUM(F110:F112)</f>
        <v>909.9</v>
      </c>
      <c r="G16" s="5" t="n">
        <v>2867</v>
      </c>
      <c r="H16" s="9"/>
      <c r="I16" s="9"/>
    </row>
    <row r="17" customFormat="false" ht="14.25" hidden="false" customHeight="false" outlineLevel="0" collapsed="false">
      <c r="A17" s="3" t="s">
        <v>13</v>
      </c>
      <c r="B17" s="5" t="n">
        <v>7540</v>
      </c>
      <c r="C17" s="5" t="n">
        <v>5798</v>
      </c>
      <c r="D17" s="5" t="n">
        <v>9295</v>
      </c>
      <c r="E17" s="5" t="n">
        <v>4589</v>
      </c>
      <c r="F17" s="5" t="n">
        <v>6875.384</v>
      </c>
      <c r="G17" s="5" t="n">
        <f aca="false">D17</f>
        <v>9295</v>
      </c>
      <c r="H17" s="9"/>
      <c r="I17" s="9"/>
    </row>
    <row r="18" customFormat="false" ht="14.25" hidden="false" customHeight="false" outlineLevel="0" collapsed="false">
      <c r="A18" s="3" t="s">
        <v>156</v>
      </c>
      <c r="B18" s="5" t="n">
        <v>37421</v>
      </c>
      <c r="C18" s="5" t="n">
        <v>36394</v>
      </c>
      <c r="D18" s="5" t="n">
        <v>32283</v>
      </c>
      <c r="E18" s="5" t="n">
        <v>32635</v>
      </c>
      <c r="F18" s="5" t="n">
        <v>35486.661</v>
      </c>
      <c r="G18" s="5" t="n">
        <f aca="false">D18</f>
        <v>32283</v>
      </c>
      <c r="H18" s="9"/>
      <c r="I18" s="9"/>
    </row>
    <row r="19" customFormat="false" ht="14.25" hidden="false" customHeight="false" outlineLevel="0" collapsed="false">
      <c r="A19" s="3" t="s">
        <v>157</v>
      </c>
      <c r="B19" s="5" t="n">
        <v>52131</v>
      </c>
      <c r="C19" s="5" t="n">
        <v>49767</v>
      </c>
      <c r="D19" s="5" t="n">
        <v>48529</v>
      </c>
      <c r="E19" s="5" t="n">
        <v>43562</v>
      </c>
      <c r="F19" s="5" t="n">
        <v>49259.847</v>
      </c>
      <c r="G19" s="5" t="n">
        <f aca="false">D19</f>
        <v>48529</v>
      </c>
      <c r="H19" s="9"/>
      <c r="I19" s="9"/>
    </row>
    <row r="20" customFormat="false" ht="14.25" hidden="false" customHeight="false" outlineLevel="0" collapsed="false">
      <c r="A20" s="3" t="s">
        <v>92</v>
      </c>
      <c r="B20" s="5" t="n">
        <v>159842</v>
      </c>
      <c r="C20" s="5" t="n">
        <v>157502</v>
      </c>
      <c r="D20" s="5" t="n">
        <v>156038</v>
      </c>
      <c r="E20" s="5" t="n">
        <v>150941</v>
      </c>
      <c r="F20" s="5" t="n">
        <f aca="false">F23+F24</f>
        <v>156813</v>
      </c>
      <c r="G20" s="5" t="n">
        <f aca="false">D20</f>
        <v>156038</v>
      </c>
      <c r="H20" s="9"/>
      <c r="I20" s="9"/>
    </row>
    <row r="21" customFormat="false" ht="14.25" hidden="false" customHeight="false" outlineLevel="0" collapsed="false">
      <c r="A21" s="3" t="s">
        <v>158</v>
      </c>
      <c r="B21" s="5" t="n">
        <v>41065</v>
      </c>
      <c r="C21" s="5" t="n">
        <v>38190</v>
      </c>
      <c r="D21" s="5" t="n">
        <v>39219</v>
      </c>
      <c r="E21" s="5" t="n">
        <v>33850</v>
      </c>
      <c r="F21" s="5" t="n">
        <v>41957.933</v>
      </c>
      <c r="G21" s="5" t="n">
        <f aca="false">D21</f>
        <v>39219</v>
      </c>
      <c r="H21" s="9"/>
      <c r="I21" s="9"/>
    </row>
    <row r="22" customFormat="false" ht="14.25" hidden="false" customHeight="false" outlineLevel="0" collapsed="false">
      <c r="A22" s="3" t="s">
        <v>159</v>
      </c>
      <c r="B22" s="5" t="n">
        <v>34801</v>
      </c>
      <c r="C22" s="5" t="n">
        <v>34753</v>
      </c>
      <c r="D22" s="5" t="n">
        <v>32086</v>
      </c>
      <c r="E22" s="5" t="n">
        <v>31527</v>
      </c>
      <c r="F22" s="5" t="n">
        <f aca="false">F23-F21</f>
        <v>28201.067</v>
      </c>
      <c r="G22" s="5" t="n">
        <f aca="false">D22</f>
        <v>32086</v>
      </c>
      <c r="H22" s="9"/>
      <c r="I22" s="9"/>
    </row>
    <row r="23" customFormat="false" ht="14.25" hidden="false" customHeight="false" outlineLevel="0" collapsed="false">
      <c r="A23" s="3" t="s">
        <v>93</v>
      </c>
      <c r="B23" s="5" t="n">
        <v>75866</v>
      </c>
      <c r="C23" s="5" t="n">
        <v>72943</v>
      </c>
      <c r="D23" s="5" t="n">
        <v>71306</v>
      </c>
      <c r="E23" s="5" t="n">
        <v>65377</v>
      </c>
      <c r="F23" s="5" t="n">
        <v>70159</v>
      </c>
      <c r="G23" s="5" t="n">
        <f aca="false">D23</f>
        <v>71306</v>
      </c>
      <c r="H23" s="9"/>
      <c r="I23" s="9"/>
    </row>
    <row r="24" customFormat="false" ht="14.25" hidden="false" customHeight="false" outlineLevel="0" collapsed="false">
      <c r="A24" s="3" t="s">
        <v>94</v>
      </c>
      <c r="B24" s="5" t="n">
        <v>83976</v>
      </c>
      <c r="C24" s="5" t="n">
        <v>84559</v>
      </c>
      <c r="D24" s="5" t="n">
        <v>84732</v>
      </c>
      <c r="E24" s="5" t="n">
        <v>85564</v>
      </c>
      <c r="F24" s="5" t="n">
        <v>86654</v>
      </c>
      <c r="G24" s="5" t="n">
        <f aca="false">D24</f>
        <v>84732</v>
      </c>
      <c r="H24" s="9"/>
      <c r="I24" s="9"/>
    </row>
    <row r="25" customFormat="false" ht="14.25" hidden="false" customHeight="false" outlineLevel="0" collapsed="false">
      <c r="A25" s="3" t="s">
        <v>160</v>
      </c>
      <c r="B25" s="5" t="n">
        <v>6627</v>
      </c>
      <c r="C25" s="5" t="n">
        <v>6553</v>
      </c>
      <c r="D25" s="5" t="n">
        <v>3000</v>
      </c>
      <c r="E25" s="5" t="n">
        <v>3000</v>
      </c>
      <c r="F25" s="5" t="n">
        <v>6500</v>
      </c>
      <c r="G25" s="5" t="n">
        <f aca="false">D25</f>
        <v>3000</v>
      </c>
      <c r="H25" s="9"/>
      <c r="I25" s="9"/>
    </row>
    <row r="26" customFormat="false" ht="14.25" hidden="false" customHeight="false" outlineLevel="0" collapsed="false">
      <c r="A26" s="3" t="s">
        <v>161</v>
      </c>
      <c r="B26" s="5" t="n">
        <v>11500</v>
      </c>
      <c r="C26" s="5" t="n">
        <v>11500</v>
      </c>
      <c r="D26" s="5" t="n">
        <v>8500</v>
      </c>
      <c r="E26" s="5" t="n">
        <v>8500</v>
      </c>
      <c r="F26" s="5" t="n">
        <v>5000</v>
      </c>
      <c r="G26" s="5" t="n">
        <f aca="false">D26</f>
        <v>8500</v>
      </c>
      <c r="H26" s="9"/>
      <c r="I26" s="9"/>
    </row>
    <row r="27" customFormat="false" ht="14.25" hidden="false" customHeight="false" outlineLevel="0" collapsed="false">
      <c r="A27" s="3" t="s">
        <v>162</v>
      </c>
      <c r="B27" s="5" t="n">
        <v>638</v>
      </c>
      <c r="C27" s="5" t="n">
        <v>659</v>
      </c>
      <c r="D27" s="5" t="n">
        <v>676</v>
      </c>
      <c r="E27" s="5" t="n">
        <v>683</v>
      </c>
      <c r="F27" s="5" t="n">
        <v>639.968</v>
      </c>
      <c r="G27" s="5" t="n">
        <f aca="false">D27</f>
        <v>676</v>
      </c>
      <c r="H27" s="9"/>
      <c r="I27" s="9"/>
    </row>
    <row r="28" customFormat="false" ht="14.25" hidden="false" customHeight="false" outlineLevel="0" collapsed="false">
      <c r="A28" s="3" t="s">
        <v>163</v>
      </c>
      <c r="B28" s="5" t="n">
        <v>11389</v>
      </c>
      <c r="C28" s="5" t="n">
        <v>11506</v>
      </c>
      <c r="D28" s="5" t="n">
        <v>11442</v>
      </c>
      <c r="E28" s="5" t="n">
        <v>11540</v>
      </c>
      <c r="F28" s="5" t="n">
        <v>11580.62</v>
      </c>
      <c r="G28" s="5" t="n">
        <f aca="false">D28</f>
        <v>11442</v>
      </c>
      <c r="H28" s="9"/>
      <c r="I28" s="9"/>
    </row>
    <row r="29" customFormat="false" ht="14.25" hidden="false" customHeight="false" outlineLevel="0" collapsed="false">
      <c r="A29" s="3" t="s">
        <v>164</v>
      </c>
      <c r="B29" s="5" t="n">
        <f aca="false">IF(COUNT(B25:B28)=4,SUM(B25:B28),"n.d.")</f>
        <v>30154</v>
      </c>
      <c r="C29" s="5" t="n">
        <f aca="false">IF(COUNT(C25:C28)=4,SUM(C25:C28),"n.d.")</f>
        <v>30218</v>
      </c>
      <c r="D29" s="5" t="n">
        <f aca="false">IF(COUNT(D25:D28)=4,SUM(D25:D28),"n.d.")</f>
        <v>23618</v>
      </c>
      <c r="E29" s="5" t="n">
        <f aca="false">IF(COUNT(E25:E28)=4,SUM(E25:E28),"n.d.")</f>
        <v>23723</v>
      </c>
      <c r="F29" s="5" t="n">
        <f aca="false">IF(COUNT(F25:F28)=4,SUM(F25:F28),"n.d.")</f>
        <v>23720.588</v>
      </c>
      <c r="G29" s="5" t="n">
        <f aca="false">IF(COUNT(G25:G28)=4,SUM(G25:G28),"n.d.")</f>
        <v>23618</v>
      </c>
      <c r="H29" s="9"/>
      <c r="I29" s="9"/>
    </row>
    <row r="30" customFormat="false" ht="14.25" hidden="false" customHeight="false" outlineLevel="0" collapsed="false">
      <c r="B30" s="9"/>
      <c r="C30" s="9"/>
      <c r="D30" s="9"/>
      <c r="E30" s="9"/>
      <c r="F30" s="9"/>
      <c r="G30" s="9"/>
      <c r="H30" s="9"/>
      <c r="I30" s="9"/>
    </row>
    <row r="31" customFormat="false" ht="14.25" hidden="false" customHeight="false" outlineLevel="0" collapsed="false">
      <c r="A31" s="3" t="s">
        <v>165</v>
      </c>
      <c r="B31" s="3" t="s">
        <v>146</v>
      </c>
      <c r="C31" s="3" t="s">
        <v>147</v>
      </c>
      <c r="D31" s="3" t="s">
        <v>148</v>
      </c>
      <c r="E31" s="3" t="s">
        <v>149</v>
      </c>
      <c r="F31" s="3" t="s">
        <v>85</v>
      </c>
      <c r="G31" s="3" t="s">
        <v>150</v>
      </c>
    </row>
    <row r="32" customFormat="false" ht="14.25" hidden="false" customHeight="false" outlineLevel="0" collapsed="false">
      <c r="A32" s="1" t="s">
        <v>79</v>
      </c>
      <c r="B32" s="25" t="n">
        <v>246253.8</v>
      </c>
      <c r="C32" s="25" t="n">
        <v>241520.2</v>
      </c>
      <c r="D32" s="25" t="n">
        <v>282849.3</v>
      </c>
      <c r="E32" s="25" t="n">
        <v>245018.5</v>
      </c>
      <c r="F32" s="25" t="n">
        <v>250947.8</v>
      </c>
      <c r="G32" s="25" t="n">
        <v>1011597.9</v>
      </c>
      <c r="H32" s="2"/>
      <c r="I32" s="2"/>
      <c r="J32" s="2"/>
    </row>
    <row r="33" customFormat="false" ht="14.25" hidden="false" customHeight="false" outlineLevel="0" collapsed="false">
      <c r="A33" s="3" t="s">
        <v>86</v>
      </c>
      <c r="B33" s="5" t="n">
        <v>186848.1</v>
      </c>
      <c r="C33" s="5" t="n">
        <v>181746.3</v>
      </c>
      <c r="D33" s="5" t="n">
        <v>214905.4</v>
      </c>
      <c r="E33" s="5" t="n">
        <v>185425.3</v>
      </c>
      <c r="F33" s="5" t="n">
        <v>190822.8</v>
      </c>
      <c r="G33" s="5" t="n">
        <v>766400</v>
      </c>
      <c r="H33" s="9"/>
      <c r="I33" s="9"/>
    </row>
    <row r="34" customFormat="false" ht="14.25" hidden="false" customHeight="false" outlineLevel="0" collapsed="false">
      <c r="A34" s="3" t="s">
        <v>80</v>
      </c>
      <c r="B34" s="5" t="n">
        <v>59405.7</v>
      </c>
      <c r="C34" s="5" t="n">
        <v>59773.8</v>
      </c>
      <c r="D34" s="5" t="n">
        <v>67943.9</v>
      </c>
      <c r="E34" s="5" t="n">
        <v>59593.2</v>
      </c>
      <c r="F34" s="5" t="n">
        <v>60125</v>
      </c>
      <c r="G34" s="5" t="n">
        <v>245197.9</v>
      </c>
      <c r="H34" s="9"/>
      <c r="I34" s="9"/>
    </row>
    <row r="35" customFormat="false" ht="14.25" hidden="false" customHeight="false" outlineLevel="0" collapsed="false">
      <c r="A35" s="3" t="s">
        <v>81</v>
      </c>
      <c r="B35" s="5" t="n">
        <v>17267.1</v>
      </c>
      <c r="C35" s="5" t="n">
        <v>19020.8</v>
      </c>
      <c r="D35" s="5" t="n">
        <v>23317</v>
      </c>
      <c r="E35" s="5" t="n">
        <v>18471.6</v>
      </c>
      <c r="F35" s="5" t="n">
        <v>17019.7</v>
      </c>
      <c r="G35" s="5" t="n">
        <v>78493.8</v>
      </c>
      <c r="H35" s="9"/>
      <c r="I35" s="9"/>
    </row>
    <row r="36" customFormat="false" ht="14.25" hidden="false" customHeight="false" outlineLevel="0" collapsed="false">
      <c r="A36" s="3" t="s">
        <v>151</v>
      </c>
      <c r="B36" s="5" t="n">
        <v>2646.3</v>
      </c>
      <c r="C36" s="5" t="n">
        <v>3223.3</v>
      </c>
      <c r="D36" s="5" t="n">
        <v>2795.1</v>
      </c>
      <c r="E36" s="5" t="n">
        <v>2895.6</v>
      </c>
      <c r="F36" s="5" t="n">
        <v>2799.6</v>
      </c>
      <c r="G36" s="5" t="n">
        <v>11464.7</v>
      </c>
      <c r="H36" s="9"/>
      <c r="I36" s="9"/>
    </row>
    <row r="37" customFormat="false" ht="14.25" hidden="false" customHeight="false" outlineLevel="0" collapsed="false">
      <c r="A37" s="3" t="s">
        <v>152</v>
      </c>
      <c r="B37" s="5" t="n">
        <v>15076.8</v>
      </c>
      <c r="C37" s="5" t="n">
        <v>16328</v>
      </c>
      <c r="D37" s="5" t="n">
        <v>21053.3</v>
      </c>
      <c r="E37" s="5" t="n">
        <v>16176.4</v>
      </c>
      <c r="F37" s="5" t="n">
        <v>14754.6</v>
      </c>
      <c r="G37" s="5" t="n">
        <v>68876.6</v>
      </c>
      <c r="H37" s="9"/>
      <c r="I37" s="9"/>
    </row>
    <row r="38" customFormat="false" ht="14.25" hidden="false" customHeight="false" outlineLevel="0" collapsed="false">
      <c r="A38" s="3" t="s">
        <v>153</v>
      </c>
      <c r="B38" s="5" t="n">
        <v>3849.9</v>
      </c>
      <c r="C38" s="5" t="n">
        <v>4580.7</v>
      </c>
      <c r="D38" s="5" t="n">
        <v>6453.5</v>
      </c>
      <c r="E38" s="5" t="n">
        <v>3676.9</v>
      </c>
      <c r="F38" s="5" t="n">
        <v>3602.2</v>
      </c>
      <c r="G38" s="5" t="n">
        <v>18985.9</v>
      </c>
      <c r="H38" s="9"/>
      <c r="I38" s="9"/>
    </row>
    <row r="39" customFormat="false" ht="14.25" hidden="false" customHeight="false" outlineLevel="0" collapsed="false">
      <c r="A39" s="3" t="s">
        <v>82</v>
      </c>
      <c r="B39" s="5" t="n">
        <v>11226.9</v>
      </c>
      <c r="C39" s="5" t="n">
        <v>11747.3</v>
      </c>
      <c r="D39" s="5" t="n">
        <v>14599.8</v>
      </c>
      <c r="E39" s="5" t="n">
        <v>12499.6</v>
      </c>
      <c r="F39" s="5" t="n">
        <v>11152.4</v>
      </c>
      <c r="G39" s="5" t="n">
        <v>49890.7</v>
      </c>
      <c r="H39" s="9"/>
      <c r="I39" s="9"/>
    </row>
    <row r="40" customFormat="false" ht="14.25" hidden="false" customHeight="false" outlineLevel="0" collapsed="false">
      <c r="A40" s="3" t="s">
        <v>154</v>
      </c>
      <c r="B40" s="5" t="n">
        <v>6227.732</v>
      </c>
      <c r="C40" s="5" t="n">
        <v>6245.37</v>
      </c>
      <c r="D40" s="5" t="n">
        <v>6277.929</v>
      </c>
      <c r="E40" s="5" t="n">
        <v>6506.919</v>
      </c>
      <c r="F40" s="5" t="n">
        <v>6620.741</v>
      </c>
      <c r="G40" s="5" t="n">
        <v>24953.1</v>
      </c>
      <c r="H40" s="9"/>
      <c r="I40" s="9"/>
    </row>
    <row r="41" customFormat="false" ht="14.25" hidden="false" customHeight="false" outlineLevel="0" collapsed="false">
      <c r="A41" s="3" t="s">
        <v>98</v>
      </c>
      <c r="B41" s="5" t="n">
        <v>21549.377</v>
      </c>
      <c r="C41" s="5" t="n">
        <v>22017.152</v>
      </c>
      <c r="D41" s="5" t="n">
        <v>43314.63</v>
      </c>
      <c r="E41" s="5" t="n">
        <v>4955.647</v>
      </c>
      <c r="F41" s="5" t="n">
        <v>18326.104</v>
      </c>
      <c r="G41" s="5" t="n">
        <v>82437.7</v>
      </c>
      <c r="H41" s="9"/>
      <c r="I41" s="9"/>
    </row>
    <row r="42" customFormat="false" ht="14.25" hidden="false" customHeight="false" outlineLevel="0" collapsed="false">
      <c r="A42" s="3" t="s">
        <v>155</v>
      </c>
      <c r="B42" s="5" t="n">
        <f aca="false">SUM(B113:B115)</f>
        <v>7989.7</v>
      </c>
      <c r="C42" s="5" t="n">
        <f aca="false">SUM(C113:C115)</f>
        <v>11746.3</v>
      </c>
      <c r="D42" s="5" t="n">
        <f aca="false">SUM(D113:D115)</f>
        <v>15831.8</v>
      </c>
      <c r="E42" s="5" t="n">
        <f aca="false">SUM(E113:E115)</f>
        <v>2436.5</v>
      </c>
      <c r="F42" s="5" t="n">
        <f aca="false">SUM(F113:F115)</f>
        <v>9264.9</v>
      </c>
      <c r="G42" s="5" t="n">
        <v>38982</v>
      </c>
      <c r="H42" s="9"/>
      <c r="I42" s="9"/>
    </row>
    <row r="43" customFormat="false" ht="14.25" hidden="false" customHeight="false" outlineLevel="0" collapsed="false">
      <c r="A43" s="3" t="s">
        <v>13</v>
      </c>
      <c r="B43" s="5" t="n">
        <v>32443.8</v>
      </c>
      <c r="C43" s="5" t="n">
        <v>35181.7</v>
      </c>
      <c r="D43" s="5" t="n">
        <v>28591.2</v>
      </c>
      <c r="E43" s="5" t="n">
        <v>28085.1</v>
      </c>
      <c r="F43" s="5" t="n">
        <v>30118.3</v>
      </c>
      <c r="G43" s="5" t="n">
        <f aca="false">D43</f>
        <v>28591.2</v>
      </c>
      <c r="H43" s="9"/>
      <c r="I43" s="9"/>
    </row>
    <row r="44" customFormat="false" ht="14.25" hidden="false" customHeight="false" outlineLevel="0" collapsed="false">
      <c r="A44" s="3" t="s">
        <v>156</v>
      </c>
      <c r="B44" s="5" t="n">
        <v>106742.4</v>
      </c>
      <c r="C44" s="5" t="n">
        <v>113238.4</v>
      </c>
      <c r="D44" s="5" t="n">
        <v>107450.9</v>
      </c>
      <c r="E44" s="5" t="n">
        <v>106202</v>
      </c>
      <c r="F44" s="5" t="n">
        <v>107528.9</v>
      </c>
      <c r="G44" s="5" t="n">
        <f aca="false">D44</f>
        <v>107450.9</v>
      </c>
      <c r="H44" s="9"/>
      <c r="I44" s="9"/>
    </row>
    <row r="45" customFormat="false" ht="14.25" hidden="false" customHeight="false" outlineLevel="0" collapsed="false">
      <c r="A45" s="3" t="s">
        <v>157</v>
      </c>
      <c r="B45" s="5" t="n">
        <v>166663.9</v>
      </c>
      <c r="C45" s="5" t="n">
        <v>176974.1</v>
      </c>
      <c r="D45" s="5" t="n">
        <v>164109.4</v>
      </c>
      <c r="E45" s="5" t="n">
        <v>163317.9</v>
      </c>
      <c r="F45" s="5" t="n">
        <v>168653.5</v>
      </c>
      <c r="G45" s="5" t="n">
        <f aca="false">D45</f>
        <v>164109.4</v>
      </c>
      <c r="H45" s="9"/>
      <c r="I45" s="9"/>
    </row>
    <row r="46" customFormat="false" ht="14.25" hidden="false" customHeight="false" outlineLevel="0" collapsed="false">
      <c r="A46" s="3" t="s">
        <v>92</v>
      </c>
      <c r="B46" s="5" t="n">
        <v>480957.5</v>
      </c>
      <c r="C46" s="5" t="n">
        <v>497334.5</v>
      </c>
      <c r="D46" s="5" t="n">
        <v>495273.3</v>
      </c>
      <c r="E46" s="5" t="n">
        <v>496840.7</v>
      </c>
      <c r="F46" s="5" t="n">
        <v>505946.6</v>
      </c>
      <c r="G46" s="5" t="n">
        <f aca="false">D46</f>
        <v>495273.3</v>
      </c>
      <c r="H46" s="9"/>
      <c r="I46" s="9"/>
    </row>
    <row r="47" customFormat="false" ht="14.25" hidden="false" customHeight="false" outlineLevel="0" collapsed="false">
      <c r="A47" s="3" t="s">
        <v>158</v>
      </c>
      <c r="B47" s="5" t="n">
        <v>177161.4</v>
      </c>
      <c r="C47" s="5" t="n">
        <v>186356.5</v>
      </c>
      <c r="D47" s="5" t="n">
        <v>169716.7</v>
      </c>
      <c r="E47" s="5" t="n">
        <v>153660.1</v>
      </c>
      <c r="F47" s="5" t="n">
        <v>174921.4</v>
      </c>
      <c r="G47" s="5" t="n">
        <f aca="false">D47</f>
        <v>169716.7</v>
      </c>
      <c r="H47" s="9"/>
      <c r="I47" s="9"/>
    </row>
    <row r="48" customFormat="false" ht="14.25" hidden="false" customHeight="false" outlineLevel="0" collapsed="false">
      <c r="A48" s="3" t="s">
        <v>159</v>
      </c>
      <c r="B48" s="5" t="n">
        <v>86252.9</v>
      </c>
      <c r="C48" s="5" t="n">
        <v>87538.9</v>
      </c>
      <c r="D48" s="5" t="n">
        <v>89976.5</v>
      </c>
      <c r="E48" s="5" t="n">
        <v>90611.7</v>
      </c>
      <c r="F48" s="5" t="n">
        <v>92411.4</v>
      </c>
      <c r="G48" s="5" t="n">
        <f aca="false">D48</f>
        <v>89976.5</v>
      </c>
      <c r="H48" s="9"/>
      <c r="I48" s="9"/>
    </row>
    <row r="49" customFormat="false" ht="14.25" hidden="false" customHeight="false" outlineLevel="0" collapsed="false">
      <c r="A49" s="3" t="s">
        <v>93</v>
      </c>
      <c r="B49" s="5" t="n">
        <v>263414.3</v>
      </c>
      <c r="C49" s="5" t="n">
        <v>273895.4</v>
      </c>
      <c r="D49" s="5" t="n">
        <v>259693.2</v>
      </c>
      <c r="E49" s="5" t="n">
        <v>244271.8</v>
      </c>
      <c r="F49" s="5" t="n">
        <v>267332.8</v>
      </c>
      <c r="G49" s="5" t="n">
        <f aca="false">D49</f>
        <v>259693.2</v>
      </c>
      <c r="H49" s="9"/>
      <c r="I49" s="9"/>
    </row>
    <row r="50" customFormat="false" ht="14.25" hidden="false" customHeight="false" outlineLevel="0" collapsed="false">
      <c r="A50" s="3" t="s">
        <v>94</v>
      </c>
      <c r="B50" s="5" t="n">
        <v>217543.2</v>
      </c>
      <c r="C50" s="5" t="n">
        <v>223439.1</v>
      </c>
      <c r="D50" s="5" t="n">
        <v>235580.1</v>
      </c>
      <c r="E50" s="5" t="n">
        <v>252568.9</v>
      </c>
      <c r="F50" s="5" t="n">
        <v>238613.8</v>
      </c>
      <c r="G50" s="5" t="n">
        <f aca="false">D50</f>
        <v>235580.1</v>
      </c>
      <c r="H50" s="9"/>
      <c r="I50" s="9"/>
    </row>
    <row r="51" customFormat="false" ht="14.25" hidden="false" customHeight="false" outlineLevel="0" collapsed="false">
      <c r="A51" s="3" t="s">
        <v>160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f aca="false">D51</f>
        <v>0</v>
      </c>
      <c r="H51" s="9"/>
      <c r="I51" s="9"/>
    </row>
    <row r="52" customFormat="false" ht="14.25" hidden="false" customHeight="false" outlineLevel="0" collapsed="false">
      <c r="A52" s="3" t="s">
        <v>161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f aca="false">D52</f>
        <v>0</v>
      </c>
      <c r="H52" s="9"/>
      <c r="I52" s="9"/>
    </row>
    <row r="53" customFormat="false" ht="14.25" hidden="false" customHeight="false" outlineLevel="0" collapsed="false">
      <c r="A53" s="3" t="s">
        <v>162</v>
      </c>
      <c r="B53" s="5" t="n">
        <v>4917.5</v>
      </c>
      <c r="C53" s="5" t="n">
        <v>4981.5</v>
      </c>
      <c r="D53" s="5" t="n">
        <v>5186.9</v>
      </c>
      <c r="E53" s="5" t="n">
        <v>5317.6</v>
      </c>
      <c r="F53" s="5" t="n">
        <v>5495.2</v>
      </c>
      <c r="G53" s="5" t="n">
        <f aca="false">D53</f>
        <v>5186.9</v>
      </c>
      <c r="H53" s="9"/>
      <c r="I53" s="9"/>
    </row>
    <row r="54" customFormat="false" ht="14.25" hidden="false" customHeight="false" outlineLevel="0" collapsed="false">
      <c r="A54" s="3" t="s">
        <v>163</v>
      </c>
      <c r="B54" s="5" t="n">
        <v>73863</v>
      </c>
      <c r="C54" s="5" t="n">
        <v>74013.7</v>
      </c>
      <c r="D54" s="5" t="n">
        <v>75661.2</v>
      </c>
      <c r="E54" s="5" t="n">
        <v>75952.9</v>
      </c>
      <c r="F54" s="5" t="n">
        <v>77602.9</v>
      </c>
      <c r="G54" s="5" t="n">
        <f aca="false">D54</f>
        <v>75661.2</v>
      </c>
      <c r="H54" s="9"/>
      <c r="I54" s="9"/>
    </row>
    <row r="55" customFormat="false" ht="14.25" hidden="false" customHeight="false" outlineLevel="0" collapsed="false">
      <c r="A55" s="3" t="s">
        <v>164</v>
      </c>
      <c r="B55" s="5" t="n">
        <f aca="false">IF(COUNT(B51:B54)=4,SUM(B51:B54),"n.d.")</f>
        <v>78780.5</v>
      </c>
      <c r="C55" s="5" t="n">
        <f aca="false">IF(COUNT(C51:C54)=4,SUM(C51:C54),"n.d.")</f>
        <v>78995.2</v>
      </c>
      <c r="D55" s="5" t="n">
        <f aca="false">IF(COUNT(D51:D54)=4,SUM(D51:D54),"n.d.")</f>
        <v>80848.1</v>
      </c>
      <c r="E55" s="5" t="n">
        <f aca="false">IF(COUNT(E51:E54)=4,SUM(E51:E54),"n.d.")</f>
        <v>81270.5</v>
      </c>
      <c r="F55" s="5" t="n">
        <f aca="false">IF(COUNT(F51:F54)=4,SUM(F51:F54),"n.d.")</f>
        <v>83098.1</v>
      </c>
      <c r="G55" s="5" t="n">
        <f aca="false">IF(COUNT(G51:G54)=4,SUM(G51:G54),"n.d.")</f>
        <v>80848.1</v>
      </c>
      <c r="H55" s="9"/>
      <c r="I55" s="9"/>
    </row>
    <row r="56" customFormat="false" ht="14.25" hidden="false" customHeight="false" outlineLevel="0" collapsed="false">
      <c r="B56" s="9"/>
      <c r="C56" s="9"/>
      <c r="D56" s="9"/>
      <c r="E56" s="9"/>
      <c r="F56" s="9"/>
      <c r="G56" s="9"/>
      <c r="H56" s="9"/>
      <c r="I56" s="9"/>
    </row>
    <row r="57" customFormat="false" ht="14.25" hidden="false" customHeight="false" outlineLevel="0" collapsed="false">
      <c r="A57" s="3" t="s">
        <v>166</v>
      </c>
      <c r="B57" s="3" t="s">
        <v>146</v>
      </c>
      <c r="C57" s="3" t="s">
        <v>147</v>
      </c>
      <c r="D57" s="3" t="s">
        <v>148</v>
      </c>
      <c r="E57" s="3" t="s">
        <v>149</v>
      </c>
      <c r="F57" s="26" t="s">
        <v>85</v>
      </c>
      <c r="G57" s="3" t="s">
        <v>150</v>
      </c>
      <c r="H57" s="27"/>
      <c r="I57" s="27" t="s">
        <v>167</v>
      </c>
      <c r="J57" s="27"/>
    </row>
    <row r="58" customFormat="false" ht="14.25" hidden="false" customHeight="false" outlineLevel="0" collapsed="false">
      <c r="A58" s="3" t="s">
        <v>79</v>
      </c>
      <c r="B58" s="5" t="n">
        <v>73883.849</v>
      </c>
      <c r="C58" s="5" t="n">
        <v>71768.073</v>
      </c>
      <c r="D58" s="5" t="n">
        <v>75221.137</v>
      </c>
      <c r="E58" s="5" t="n">
        <v>69795.808</v>
      </c>
      <c r="F58" s="28" t="n">
        <v>71034.917</v>
      </c>
      <c r="G58" s="5" t="n">
        <v>295313.65</v>
      </c>
      <c r="H58" s="27"/>
      <c r="I58" s="27"/>
      <c r="J58" s="27"/>
    </row>
    <row r="59" customFormat="false" ht="14.25" hidden="false" customHeight="false" outlineLevel="0" collapsed="false">
      <c r="A59" s="1" t="s">
        <v>86</v>
      </c>
      <c r="B59" s="25" t="n">
        <v>56049.956</v>
      </c>
      <c r="C59" s="25" t="n">
        <v>54122.158</v>
      </c>
      <c r="D59" s="25" t="n">
        <v>60335.176</v>
      </c>
      <c r="E59" s="25" t="n">
        <v>52843.176</v>
      </c>
      <c r="F59" s="29" t="n">
        <v>53394.045</v>
      </c>
      <c r="G59" s="25" t="n">
        <v>227511.81</v>
      </c>
      <c r="H59" s="30"/>
      <c r="I59" s="30"/>
      <c r="J59" s="30"/>
    </row>
    <row r="60" customFormat="false" ht="14.25" hidden="false" customHeight="false" outlineLevel="0" collapsed="false">
      <c r="A60" s="3" t="s">
        <v>80</v>
      </c>
      <c r="B60" s="5" t="n">
        <v>17833.893</v>
      </c>
      <c r="C60" s="5" t="n">
        <v>17645.915</v>
      </c>
      <c r="D60" s="5" t="n">
        <v>14885.961</v>
      </c>
      <c r="E60" s="5" t="n">
        <v>16952.632</v>
      </c>
      <c r="F60" s="28" t="n">
        <v>17640.872</v>
      </c>
      <c r="G60" s="5" t="n">
        <v>67801.84</v>
      </c>
      <c r="H60" s="27"/>
      <c r="I60" s="27"/>
      <c r="J60" s="27"/>
    </row>
    <row r="61" customFormat="false" ht="14.25" hidden="false" customHeight="false" outlineLevel="0" collapsed="false">
      <c r="A61" s="3" t="s">
        <v>81</v>
      </c>
      <c r="B61" s="5" t="n">
        <v>4247.997</v>
      </c>
      <c r="C61" s="5" t="n">
        <v>3745.26</v>
      </c>
      <c r="D61" s="5" t="n">
        <v>3402.984</v>
      </c>
      <c r="E61" s="5" t="n">
        <v>3680.616</v>
      </c>
      <c r="F61" s="28" t="n">
        <v>4016.894</v>
      </c>
      <c r="G61" s="5" t="n">
        <v>15097.9</v>
      </c>
      <c r="H61" s="27"/>
      <c r="I61" s="27"/>
      <c r="J61" s="27"/>
    </row>
    <row r="62" customFormat="false" ht="14.25" hidden="false" customHeight="false" outlineLevel="0" collapsed="false">
      <c r="A62" s="3" t="s">
        <v>151</v>
      </c>
      <c r="B62" s="5" t="n">
        <v>880.6</v>
      </c>
      <c r="C62" s="5" t="n">
        <v>944.2</v>
      </c>
      <c r="D62" s="5" t="n">
        <v>1003.1</v>
      </c>
      <c r="E62" s="5" t="n">
        <v>904.7</v>
      </c>
      <c r="F62" s="28" t="n">
        <v>892.5</v>
      </c>
      <c r="G62" s="5" t="n">
        <v>3846.89</v>
      </c>
      <c r="H62" s="27"/>
      <c r="I62" s="27"/>
      <c r="J62" s="27"/>
    </row>
    <row r="63" customFormat="false" ht="14.25" hidden="false" customHeight="false" outlineLevel="0" collapsed="false">
      <c r="A63" s="3" t="s">
        <v>152</v>
      </c>
      <c r="B63" s="5" t="n">
        <v>2986.855</v>
      </c>
      <c r="C63" s="5" t="n">
        <v>2417.756</v>
      </c>
      <c r="D63" s="5" t="n">
        <v>1813.805</v>
      </c>
      <c r="E63" s="5" t="n">
        <v>2306.498</v>
      </c>
      <c r="F63" s="28" t="n">
        <v>2653.783</v>
      </c>
      <c r="G63" s="5" t="n">
        <v>9508.62</v>
      </c>
      <c r="H63" s="27"/>
      <c r="I63" s="27"/>
      <c r="J63" s="27"/>
    </row>
    <row r="64" customFormat="false" ht="14.25" hidden="false" customHeight="false" outlineLevel="0" collapsed="false">
      <c r="A64" s="3" t="s">
        <v>153</v>
      </c>
      <c r="B64" s="5" t="n">
        <v>924.533</v>
      </c>
      <c r="C64" s="5" t="n">
        <v>771.393</v>
      </c>
      <c r="D64" s="5" t="n">
        <v>469.642</v>
      </c>
      <c r="E64" s="5" t="n">
        <v>723.238</v>
      </c>
      <c r="F64" s="28" t="n">
        <v>829.095</v>
      </c>
      <c r="G64" s="5" t="n">
        <v>2888.58</v>
      </c>
      <c r="H64" s="27"/>
      <c r="I64" s="27"/>
      <c r="J64" s="27"/>
    </row>
    <row r="65" customFormat="false" ht="14.25" hidden="false" customHeight="false" outlineLevel="0" collapsed="false">
      <c r="A65" s="3" t="s">
        <v>82</v>
      </c>
      <c r="B65" s="5" t="n">
        <v>2062.322</v>
      </c>
      <c r="C65" s="5" t="n">
        <v>1646.363</v>
      </c>
      <c r="D65" s="5" t="n">
        <v>1344.163</v>
      </c>
      <c r="E65" s="5" t="n">
        <v>1583.26</v>
      </c>
      <c r="F65" s="28" t="n">
        <v>1824.688</v>
      </c>
      <c r="G65" s="5" t="n">
        <v>6620.05</v>
      </c>
      <c r="H65" s="27"/>
      <c r="I65" s="27"/>
      <c r="J65" s="27"/>
    </row>
    <row r="66" customFormat="false" ht="14.25" hidden="false" customHeight="false" outlineLevel="0" collapsed="false">
      <c r="A66" s="3" t="s">
        <v>154</v>
      </c>
      <c r="B66" s="5" t="n">
        <v>2303.668</v>
      </c>
      <c r="C66" s="5" t="n">
        <v>2297.228</v>
      </c>
      <c r="D66" s="5" t="n">
        <v>2308.71</v>
      </c>
      <c r="E66" s="5" t="n">
        <v>2258.954</v>
      </c>
      <c r="F66" s="28" t="n">
        <v>2312.731</v>
      </c>
      <c r="G66" s="5" t="n">
        <v>9293.25</v>
      </c>
      <c r="H66" s="27"/>
      <c r="I66" s="27"/>
      <c r="J66" s="27"/>
    </row>
    <row r="67" customFormat="false" ht="14.25" hidden="false" customHeight="false" outlineLevel="0" collapsed="false">
      <c r="A67" s="3" t="s">
        <v>98</v>
      </c>
      <c r="B67" s="5" t="n">
        <v>5617.816</v>
      </c>
      <c r="C67" s="5" t="n">
        <v>4366.019</v>
      </c>
      <c r="D67" s="5" t="n">
        <v>10197.404</v>
      </c>
      <c r="E67" s="5" t="n">
        <v>-756.9</v>
      </c>
      <c r="F67" s="28" t="n">
        <v>5978.777</v>
      </c>
      <c r="G67" s="5" t="n">
        <v>18240.86</v>
      </c>
      <c r="H67" s="27"/>
      <c r="I67" s="27"/>
      <c r="J67" s="27"/>
    </row>
    <row r="68" customFormat="false" ht="14.25" hidden="false" customHeight="false" outlineLevel="0" collapsed="false">
      <c r="A68" s="3" t="s">
        <v>155</v>
      </c>
      <c r="B68" s="5" t="n">
        <f aca="false">SUM(B116:B118)</f>
        <v>2185.9</v>
      </c>
      <c r="C68" s="5" t="n">
        <f aca="false">SUM(C116:C118)</f>
        <v>2286.1</v>
      </c>
      <c r="D68" s="5" t="n">
        <f aca="false">SUM(D116:D118)</f>
        <v>2688.875</v>
      </c>
      <c r="E68" s="5" t="n">
        <f aca="false">SUM(E116:E118)</f>
        <v>2195.6</v>
      </c>
      <c r="F68" s="28" t="n">
        <f aca="false">SUM(F116:F118)</f>
        <v>2859.1</v>
      </c>
      <c r="G68" s="5" t="n">
        <f aca="false">I68</f>
        <v>7747.88</v>
      </c>
      <c r="H68" s="27"/>
      <c r="I68" s="31" t="n">
        <v>7747.88</v>
      </c>
      <c r="J68" s="27" t="s">
        <v>168</v>
      </c>
    </row>
    <row r="69" customFormat="false" ht="14.25" hidden="false" customHeight="false" outlineLevel="0" collapsed="false">
      <c r="A69" s="3" t="s">
        <v>13</v>
      </c>
      <c r="B69" s="5" t="n">
        <v>9740.315</v>
      </c>
      <c r="C69" s="5" t="n">
        <v>9638.014</v>
      </c>
      <c r="D69" s="5" t="n">
        <v>14640.162</v>
      </c>
      <c r="E69" s="5" t="n">
        <v>10487.937</v>
      </c>
      <c r="F69" s="28" t="n">
        <v>8499.778</v>
      </c>
      <c r="G69" s="5" t="n">
        <v>14640.16</v>
      </c>
      <c r="H69" s="27"/>
      <c r="I69" s="27"/>
      <c r="J69" s="27"/>
    </row>
    <row r="70" customFormat="false" ht="14.25" hidden="false" customHeight="false" outlineLevel="0" collapsed="false">
      <c r="A70" s="3" t="s">
        <v>156</v>
      </c>
      <c r="B70" s="5" t="n">
        <v>22914.705</v>
      </c>
      <c r="C70" s="5" t="n">
        <v>23527.624</v>
      </c>
      <c r="D70" s="5" t="n">
        <v>23430.115</v>
      </c>
      <c r="E70" s="5" t="n">
        <v>23660.893</v>
      </c>
      <c r="F70" s="28" t="n">
        <v>22606.468</v>
      </c>
      <c r="G70" s="5" t="n">
        <f aca="false">D70</f>
        <v>23430.115</v>
      </c>
      <c r="H70" s="27"/>
      <c r="I70" s="27"/>
      <c r="J70" s="27"/>
    </row>
    <row r="71" customFormat="false" ht="14.25" hidden="false" customHeight="false" outlineLevel="0" collapsed="false">
      <c r="A71" s="3" t="s">
        <v>157</v>
      </c>
      <c r="B71" s="5" t="n">
        <v>39608.185</v>
      </c>
      <c r="C71" s="5" t="n">
        <v>41642.553</v>
      </c>
      <c r="D71" s="5" t="n">
        <v>44626.647</v>
      </c>
      <c r="E71" s="5" t="n">
        <v>41294.339</v>
      </c>
      <c r="F71" s="28" t="n">
        <v>38968.064</v>
      </c>
      <c r="G71" s="5" t="n">
        <v>44626.65</v>
      </c>
      <c r="H71" s="27"/>
      <c r="I71" s="27"/>
      <c r="J71" s="27"/>
    </row>
    <row r="72" customFormat="false" ht="14.25" hidden="false" customHeight="false" outlineLevel="0" collapsed="false">
      <c r="A72" s="3" t="s">
        <v>92</v>
      </c>
      <c r="B72" s="5" t="n">
        <v>154895.839</v>
      </c>
      <c r="C72" s="5" t="n">
        <v>155620.701</v>
      </c>
      <c r="D72" s="5" t="n">
        <v>160365.41</v>
      </c>
      <c r="E72" s="5" t="n">
        <v>156233.205</v>
      </c>
      <c r="F72" s="28" t="n">
        <v>152993.188</v>
      </c>
      <c r="G72" s="5" t="n">
        <v>160365.41</v>
      </c>
      <c r="H72" s="27"/>
      <c r="I72" s="27"/>
      <c r="J72" s="27"/>
    </row>
    <row r="73" customFormat="false" ht="14.25" hidden="false" customHeight="false" outlineLevel="0" collapsed="false">
      <c r="A73" s="3" t="s">
        <v>158</v>
      </c>
      <c r="B73" s="5" t="n">
        <v>42247.697</v>
      </c>
      <c r="C73" s="5" t="n">
        <v>43507.303</v>
      </c>
      <c r="D73" s="5" t="n">
        <v>48465.257</v>
      </c>
      <c r="E73" s="5" t="n">
        <v>43264.981</v>
      </c>
      <c r="F73" s="28" t="n">
        <v>43358.105</v>
      </c>
      <c r="G73" s="5" t="n">
        <v>48465.26</v>
      </c>
      <c r="H73" s="27"/>
      <c r="I73" s="27"/>
      <c r="J73" s="27"/>
    </row>
    <row r="74" customFormat="false" ht="14.25" hidden="false" customHeight="false" outlineLevel="0" collapsed="false">
      <c r="A74" s="3" t="s">
        <v>159</v>
      </c>
      <c r="B74" s="5" t="n">
        <f aca="false">B75-B73</f>
        <v>61262.859</v>
      </c>
      <c r="C74" s="5" t="n">
        <f aca="false">C75-C73</f>
        <v>60415.588</v>
      </c>
      <c r="D74" s="5" t="n">
        <f aca="false">D75-D73</f>
        <v>59551.489</v>
      </c>
      <c r="E74" s="5" t="n">
        <f aca="false">E75-E73</f>
        <v>58979.77</v>
      </c>
      <c r="F74" s="28" t="n">
        <f aca="false">F75-F73</f>
        <v>56310.095</v>
      </c>
      <c r="G74" s="5" t="n">
        <f aca="false">G75-G73</f>
        <v>59551.49</v>
      </c>
      <c r="H74" s="27"/>
      <c r="I74" s="27"/>
      <c r="J74" s="27"/>
    </row>
    <row r="75" customFormat="false" ht="14.25" hidden="false" customHeight="false" outlineLevel="0" collapsed="false">
      <c r="A75" s="3" t="s">
        <v>93</v>
      </c>
      <c r="B75" s="5" t="n">
        <v>103510.556</v>
      </c>
      <c r="C75" s="5" t="n">
        <v>103922.891</v>
      </c>
      <c r="D75" s="5" t="n">
        <v>108016.746</v>
      </c>
      <c r="E75" s="5" t="n">
        <v>102244.751</v>
      </c>
      <c r="F75" s="28" t="n">
        <v>99668.2</v>
      </c>
      <c r="G75" s="5" t="n">
        <v>108016.75</v>
      </c>
      <c r="H75" s="27"/>
      <c r="I75" s="27"/>
      <c r="J75" s="27"/>
    </row>
    <row r="76" customFormat="false" ht="14.25" hidden="false" customHeight="false" outlineLevel="0" collapsed="false">
      <c r="A76" s="3" t="s">
        <v>94</v>
      </c>
      <c r="B76" s="5" t="n">
        <v>51385.283</v>
      </c>
      <c r="C76" s="5" t="n">
        <v>51697.81</v>
      </c>
      <c r="D76" s="5" t="n">
        <v>52348.664</v>
      </c>
      <c r="E76" s="5" t="n">
        <v>53988.454</v>
      </c>
      <c r="F76" s="28" t="n">
        <v>53324.988</v>
      </c>
      <c r="G76" s="5" t="n">
        <v>52348.66</v>
      </c>
      <c r="H76" s="27"/>
      <c r="I76" s="27"/>
      <c r="J76" s="27"/>
    </row>
    <row r="77" customFormat="false" ht="14.25" hidden="false" customHeight="false" outlineLevel="0" collapsed="false">
      <c r="A77" s="3" t="s">
        <v>160</v>
      </c>
      <c r="B77" s="5" t="n">
        <v>1055.054</v>
      </c>
      <c r="C77" s="5" t="n">
        <v>1541.907</v>
      </c>
      <c r="D77" s="5" t="n">
        <v>530.018</v>
      </c>
      <c r="E77" s="5" t="n">
        <v>705.319</v>
      </c>
      <c r="F77" s="28" t="n">
        <v>1087.08</v>
      </c>
      <c r="G77" s="5" t="n">
        <f aca="false">D77</f>
        <v>530.018</v>
      </c>
      <c r="H77" s="27"/>
      <c r="I77" s="27"/>
      <c r="J77" s="27"/>
    </row>
    <row r="78" customFormat="false" ht="14.25" hidden="false" customHeight="false" outlineLevel="0" collapsed="false">
      <c r="A78" s="3" t="s">
        <v>161</v>
      </c>
      <c r="B78" s="5" t="n">
        <v>7557.12</v>
      </c>
      <c r="C78" s="5" t="n">
        <v>7353.001</v>
      </c>
      <c r="D78" s="5" t="n">
        <v>7186.68</v>
      </c>
      <c r="E78" s="5" t="n">
        <v>7226.68</v>
      </c>
      <c r="F78" s="28" t="n">
        <v>5241</v>
      </c>
      <c r="G78" s="5" t="n">
        <f aca="false">D78</f>
        <v>7186.68</v>
      </c>
      <c r="H78" s="27"/>
      <c r="I78" s="27"/>
      <c r="J78" s="27"/>
    </row>
    <row r="79" customFormat="false" ht="14.25" hidden="false" customHeight="false" outlineLevel="0" collapsed="false">
      <c r="A79" s="3" t="s">
        <v>162</v>
      </c>
      <c r="B79" s="5" t="n">
        <v>2674.355</v>
      </c>
      <c r="C79" s="5" t="n">
        <v>2626.869</v>
      </c>
      <c r="D79" s="5" t="n">
        <v>2925.974</v>
      </c>
      <c r="E79" s="5" t="n">
        <v>3014.648</v>
      </c>
      <c r="F79" s="28" t="n">
        <v>3015.621</v>
      </c>
      <c r="G79" s="5" t="n">
        <f aca="false">D79</f>
        <v>2925.974</v>
      </c>
      <c r="H79" s="27"/>
      <c r="I79" s="27"/>
      <c r="J79" s="27"/>
    </row>
    <row r="80" customFormat="false" ht="14.25" hidden="false" customHeight="false" outlineLevel="0" collapsed="false">
      <c r="A80" s="3" t="s">
        <v>163</v>
      </c>
      <c r="B80" s="5" t="n">
        <v>48473.083</v>
      </c>
      <c r="C80" s="5" t="n">
        <v>47033.289</v>
      </c>
      <c r="D80" s="5" t="n">
        <v>46631.683</v>
      </c>
      <c r="E80" s="5" t="n">
        <v>46405.889</v>
      </c>
      <c r="F80" s="28" t="n">
        <v>45276.747</v>
      </c>
      <c r="G80" s="5" t="n">
        <f aca="false">D80</f>
        <v>46631.683</v>
      </c>
      <c r="H80" s="27"/>
      <c r="I80" s="27"/>
      <c r="J80" s="27"/>
    </row>
    <row r="81" customFormat="false" ht="14.25" hidden="false" customHeight="false" outlineLevel="0" collapsed="false">
      <c r="A81" s="3" t="s">
        <v>164</v>
      </c>
      <c r="B81" s="5" t="n">
        <f aca="false">IF(COUNT(B77:B80)=4,SUM(B77:B80),"n.d.")</f>
        <v>59759.612</v>
      </c>
      <c r="C81" s="5" t="n">
        <f aca="false">IF(COUNT(C77:C80)=4,SUM(C77:C80),"n.d.")</f>
        <v>58555.066</v>
      </c>
      <c r="D81" s="5" t="n">
        <f aca="false">IF(COUNT(D77:D80)=4,SUM(D77:D80),"n.d.")</f>
        <v>57274.355</v>
      </c>
      <c r="E81" s="5" t="n">
        <f aca="false">IF(COUNT(E77:E80)=4,SUM(E77:E80),"n.d.")</f>
        <v>57352.536</v>
      </c>
      <c r="F81" s="28" t="n">
        <f aca="false">IF(COUNT(F77:F80)=4,SUM(F77:F80),"n.d.")</f>
        <v>54620.448</v>
      </c>
      <c r="G81" s="5" t="n">
        <v>56744.34</v>
      </c>
      <c r="H81" s="27"/>
      <c r="I81" s="27"/>
      <c r="J81" s="27"/>
    </row>
    <row r="82" customFormat="false" ht="14.25" hidden="false" customHeight="false" outlineLevel="0" collapsed="false">
      <c r="B82" s="9"/>
      <c r="C82" s="9"/>
      <c r="D82" s="9"/>
      <c r="E82" s="9"/>
      <c r="F82" s="9"/>
      <c r="G82" s="9"/>
      <c r="H82" s="9"/>
      <c r="I82" s="9"/>
    </row>
    <row r="83" customFormat="false" ht="14.25" hidden="false" customHeight="false" outlineLevel="0" collapsed="false">
      <c r="A83" s="3" t="s">
        <v>169</v>
      </c>
      <c r="B83" s="3" t="s">
        <v>146</v>
      </c>
      <c r="C83" s="3" t="s">
        <v>147</v>
      </c>
      <c r="D83" s="3" t="s">
        <v>148</v>
      </c>
      <c r="E83" s="3" t="s">
        <v>149</v>
      </c>
      <c r="F83" s="26" t="s">
        <v>85</v>
      </c>
      <c r="G83" s="3" t="s">
        <v>150</v>
      </c>
      <c r="H83" s="27"/>
      <c r="I83" s="3" t="s">
        <v>170</v>
      </c>
    </row>
    <row r="84" customFormat="false" ht="14.25" hidden="false" customHeight="false" outlineLevel="0" collapsed="false">
      <c r="A84" s="3" t="s">
        <v>79</v>
      </c>
      <c r="B84" s="5" t="n">
        <v>12232.6</v>
      </c>
      <c r="C84" s="5" t="n">
        <v>11813.2</v>
      </c>
      <c r="D84" s="5" t="n">
        <f aca="false">G84-I84</f>
        <v>12404.39</v>
      </c>
      <c r="E84" s="5" t="n">
        <v>12006.5</v>
      </c>
      <c r="F84" s="28" t="n">
        <v>12933.1</v>
      </c>
      <c r="G84" s="5" t="n">
        <v>47526.64</v>
      </c>
      <c r="H84" s="27"/>
      <c r="I84" s="5" t="n">
        <v>35122.25</v>
      </c>
    </row>
    <row r="85" customFormat="false" ht="14.25" hidden="false" customHeight="false" outlineLevel="0" collapsed="false">
      <c r="A85" s="3" t="s">
        <v>86</v>
      </c>
      <c r="B85" s="5" t="n">
        <v>8718.1</v>
      </c>
      <c r="C85" s="5" t="n">
        <v>8306.7</v>
      </c>
      <c r="D85" s="5" t="n">
        <f aca="false">G85-I85</f>
        <v>8694.29</v>
      </c>
      <c r="E85" s="5" t="n">
        <v>8328.1</v>
      </c>
      <c r="F85" s="28" t="n">
        <v>9130.7</v>
      </c>
      <c r="G85" s="5" t="n">
        <v>33441.01</v>
      </c>
      <c r="H85" s="27"/>
      <c r="I85" s="5" t="n">
        <v>24746.72</v>
      </c>
    </row>
    <row r="86" customFormat="false" ht="14.25" hidden="false" customHeight="false" outlineLevel="0" collapsed="false">
      <c r="A86" s="1" t="s">
        <v>80</v>
      </c>
      <c r="B86" s="25" t="n">
        <v>3514.5</v>
      </c>
      <c r="C86" s="25" t="n">
        <v>3506.5</v>
      </c>
      <c r="D86" s="25" t="n">
        <f aca="false">G86-I86</f>
        <v>3710.1</v>
      </c>
      <c r="E86" s="25" t="n">
        <v>3678.4</v>
      </c>
      <c r="F86" s="29" t="n">
        <v>3802.4</v>
      </c>
      <c r="G86" s="25" t="n">
        <v>14085.63</v>
      </c>
      <c r="H86" s="30"/>
      <c r="I86" s="25" t="n">
        <v>10375.53</v>
      </c>
      <c r="J86" s="2"/>
    </row>
    <row r="87" customFormat="false" ht="14.25" hidden="false" customHeight="false" outlineLevel="0" collapsed="false">
      <c r="A87" s="3" t="s">
        <v>81</v>
      </c>
      <c r="B87" s="5" t="n">
        <v>1026.3</v>
      </c>
      <c r="C87" s="5" t="n">
        <v>839</v>
      </c>
      <c r="D87" s="5" t="n">
        <f aca="false">G87-I87</f>
        <v>712.57</v>
      </c>
      <c r="E87" s="5" t="n">
        <v>1001.4</v>
      </c>
      <c r="F87" s="28" t="n">
        <v>932.2</v>
      </c>
      <c r="G87" s="5" t="n">
        <v>3564.06</v>
      </c>
      <c r="H87" s="27"/>
      <c r="I87" s="5" t="n">
        <v>2851.49</v>
      </c>
    </row>
    <row r="88" customFormat="false" ht="14.25" hidden="false" customHeight="false" outlineLevel="0" collapsed="false">
      <c r="A88" s="3" t="s">
        <v>151</v>
      </c>
      <c r="B88" s="5" t="n">
        <v>90.2</v>
      </c>
      <c r="C88" s="5" t="n">
        <v>76.7</v>
      </c>
      <c r="D88" s="5" t="n">
        <v>64.9</v>
      </c>
      <c r="E88" s="5" t="n">
        <v>73.3</v>
      </c>
      <c r="F88" s="28" t="n">
        <v>76</v>
      </c>
      <c r="G88" s="5" t="n">
        <v>265.96</v>
      </c>
      <c r="H88" s="27"/>
      <c r="I88" s="5" t="n">
        <v>235.52</v>
      </c>
    </row>
    <row r="89" customFormat="false" ht="14.25" hidden="false" customHeight="false" outlineLevel="0" collapsed="false">
      <c r="A89" s="3" t="s">
        <v>152</v>
      </c>
      <c r="B89" s="5" t="n">
        <v>1003.4</v>
      </c>
      <c r="C89" s="5" t="n">
        <v>817</v>
      </c>
      <c r="D89" s="5" t="n">
        <f aca="false">G89-I89</f>
        <v>697.65</v>
      </c>
      <c r="E89" s="5" t="n">
        <v>992.7</v>
      </c>
      <c r="F89" s="28" t="n">
        <v>893.8</v>
      </c>
      <c r="G89" s="5" t="n">
        <v>3507.62</v>
      </c>
      <c r="H89" s="27"/>
      <c r="I89" s="5" t="n">
        <v>2809.97</v>
      </c>
    </row>
    <row r="90" customFormat="false" ht="14.25" hidden="false" customHeight="false" outlineLevel="0" collapsed="false">
      <c r="A90" s="3" t="s">
        <v>153</v>
      </c>
      <c r="B90" s="5" t="n">
        <v>200.4</v>
      </c>
      <c r="C90" s="5" t="n">
        <v>176.1</v>
      </c>
      <c r="D90" s="5" t="n">
        <f aca="false">G90-I90</f>
        <v>191.44</v>
      </c>
      <c r="E90" s="5" t="n">
        <v>250.5</v>
      </c>
      <c r="F90" s="28" t="n">
        <v>222.6</v>
      </c>
      <c r="G90" s="5" t="n">
        <v>822.9</v>
      </c>
      <c r="H90" s="27"/>
      <c r="I90" s="5" t="n">
        <v>631.46</v>
      </c>
    </row>
    <row r="91" customFormat="false" ht="14.25" hidden="false" customHeight="false" outlineLevel="0" collapsed="false">
      <c r="A91" s="3" t="s">
        <v>82</v>
      </c>
      <c r="B91" s="5" t="n">
        <v>803</v>
      </c>
      <c r="C91" s="5" t="n">
        <v>640.9</v>
      </c>
      <c r="D91" s="5" t="n">
        <f aca="false">G91-I91</f>
        <v>506.21</v>
      </c>
      <c r="E91" s="5" t="n">
        <v>742.2</v>
      </c>
      <c r="F91" s="28" t="n">
        <v>671.1</v>
      </c>
      <c r="G91" s="5" t="n">
        <v>2684.72</v>
      </c>
      <c r="H91" s="27"/>
      <c r="I91" s="5" t="n">
        <v>2178.51</v>
      </c>
    </row>
    <row r="92" customFormat="false" ht="14.25" hidden="false" customHeight="false" outlineLevel="0" collapsed="false">
      <c r="A92" s="3" t="s">
        <v>154</v>
      </c>
      <c r="B92" s="5" t="n">
        <v>407.835</v>
      </c>
      <c r="C92" s="5" t="n">
        <v>411.717</v>
      </c>
      <c r="D92" s="5" t="n">
        <v>397.26</v>
      </c>
      <c r="E92" s="5" t="n">
        <v>386.412</v>
      </c>
      <c r="F92" s="28" t="n">
        <v>399.125</v>
      </c>
      <c r="G92" s="5" t="n">
        <f aca="false">I92/I84*G84</f>
        <v>1650.75481788325</v>
      </c>
      <c r="H92" s="27"/>
      <c r="I92" s="5" t="n">
        <v>1219.91</v>
      </c>
    </row>
    <row r="93" customFormat="false" ht="14.25" hidden="false" customHeight="false" outlineLevel="0" collapsed="false">
      <c r="A93" s="3" t="s">
        <v>98</v>
      </c>
      <c r="B93" s="5" t="n">
        <v>1576.03</v>
      </c>
      <c r="C93" s="5" t="n">
        <v>468.589</v>
      </c>
      <c r="D93" s="5" t="n">
        <v>1924.595</v>
      </c>
      <c r="E93" s="5" t="n">
        <v>583.825</v>
      </c>
      <c r="F93" s="28" t="n">
        <v>988.725</v>
      </c>
      <c r="G93" s="5" t="n">
        <f aca="false">744.022+B93+C93+D93</f>
        <v>4713.236</v>
      </c>
      <c r="H93" s="27"/>
      <c r="I93" s="5" t="n">
        <v>2788.64</v>
      </c>
    </row>
    <row r="94" customFormat="false" ht="14.25" hidden="false" customHeight="false" outlineLevel="0" collapsed="false">
      <c r="A94" s="3" t="s">
        <v>155</v>
      </c>
      <c r="B94" s="5" t="n">
        <f aca="false">SUM(B119:B121)</f>
        <v>1484.5</v>
      </c>
      <c r="C94" s="5" t="n">
        <f aca="false">SUM(C119:C121)</f>
        <v>912.2</v>
      </c>
      <c r="D94" s="5" t="n">
        <f aca="false">SUM(D119:D121)</f>
        <v>1480.1</v>
      </c>
      <c r="E94" s="5" t="n">
        <f aca="false">SUM(E119:E121)</f>
        <v>606.8</v>
      </c>
      <c r="F94" s="28" t="n">
        <f aca="false">SUM(F119:F121)</f>
        <v>1670.1</v>
      </c>
      <c r="G94" s="5" t="n">
        <f aca="false">I94/I84*G84</f>
        <v>3842.67239922271</v>
      </c>
      <c r="H94" s="27"/>
      <c r="I94" s="5" t="n">
        <v>2839.74</v>
      </c>
    </row>
    <row r="95" customFormat="false" ht="14.25" hidden="false" customHeight="false" outlineLevel="0" collapsed="false">
      <c r="A95" s="3" t="s">
        <v>13</v>
      </c>
      <c r="B95" s="5" t="n">
        <v>3071.774</v>
      </c>
      <c r="C95" s="5" t="n">
        <v>2615.8</v>
      </c>
      <c r="D95" s="5" t="n">
        <v>2962.8</v>
      </c>
      <c r="E95" s="5" t="n">
        <v>2813</v>
      </c>
      <c r="F95" s="28" t="n">
        <v>1665.7</v>
      </c>
      <c r="G95" s="5" t="n">
        <f aca="false">D95</f>
        <v>2962.8</v>
      </c>
      <c r="H95" s="27"/>
      <c r="I95" s="27"/>
    </row>
    <row r="96" customFormat="false" ht="14.25" hidden="false" customHeight="false" outlineLevel="0" collapsed="false">
      <c r="A96" s="3" t="s">
        <v>156</v>
      </c>
      <c r="B96" s="5" t="n">
        <v>6630.422</v>
      </c>
      <c r="C96" s="5" t="n">
        <v>6020.2</v>
      </c>
      <c r="D96" s="5" t="n">
        <v>5943.1</v>
      </c>
      <c r="E96" s="5" t="n">
        <v>6182.4</v>
      </c>
      <c r="F96" s="28" t="n">
        <v>7365.3</v>
      </c>
      <c r="G96" s="5" t="n">
        <f aca="false">D96</f>
        <v>5943.1</v>
      </c>
      <c r="H96" s="27"/>
      <c r="I96" s="27"/>
    </row>
    <row r="97" customFormat="false" ht="14.25" hidden="false" customHeight="false" outlineLevel="0" collapsed="false">
      <c r="A97" s="3" t="s">
        <v>157</v>
      </c>
      <c r="B97" s="5" t="n">
        <v>11202.654</v>
      </c>
      <c r="C97" s="5" t="n">
        <v>10026.3</v>
      </c>
      <c r="D97" s="5" t="n">
        <v>10147.2</v>
      </c>
      <c r="E97" s="5" t="n">
        <v>10422.3</v>
      </c>
      <c r="F97" s="28" t="n">
        <v>10810.2</v>
      </c>
      <c r="G97" s="5" t="n">
        <f aca="false">D97</f>
        <v>10147.2</v>
      </c>
      <c r="H97" s="27"/>
      <c r="I97" s="27"/>
    </row>
    <row r="98" customFormat="false" ht="14.25" hidden="false" customHeight="false" outlineLevel="0" collapsed="false">
      <c r="A98" s="3" t="s">
        <v>92</v>
      </c>
      <c r="B98" s="5" t="n">
        <v>43616.194</v>
      </c>
      <c r="C98" s="5" t="n">
        <v>42970.2</v>
      </c>
      <c r="D98" s="5" t="n">
        <v>44188.5</v>
      </c>
      <c r="E98" s="5" t="n">
        <v>44754.6</v>
      </c>
      <c r="F98" s="28" t="n">
        <v>46541.8</v>
      </c>
      <c r="G98" s="5" t="n">
        <f aca="false">D98</f>
        <v>44188.5</v>
      </c>
      <c r="H98" s="27"/>
      <c r="I98" s="27"/>
    </row>
    <row r="99" customFormat="false" ht="14.25" hidden="false" customHeight="false" outlineLevel="0" collapsed="false">
      <c r="A99" s="3" t="s">
        <v>158</v>
      </c>
      <c r="B99" s="5" t="n">
        <v>9031.024</v>
      </c>
      <c r="C99" s="5" t="n">
        <v>7608.5</v>
      </c>
      <c r="D99" s="5" t="n">
        <v>8406.7</v>
      </c>
      <c r="E99" s="5" t="n">
        <v>8294</v>
      </c>
      <c r="F99" s="28" t="n">
        <v>9623.2</v>
      </c>
      <c r="G99" s="5" t="n">
        <f aca="false">D99</f>
        <v>8406.7</v>
      </c>
      <c r="H99" s="27"/>
      <c r="I99" s="27"/>
    </row>
    <row r="100" customFormat="false" ht="14.25" hidden="false" customHeight="false" outlineLevel="0" collapsed="false">
      <c r="A100" s="3" t="s">
        <v>159</v>
      </c>
      <c r="B100" s="5" t="n">
        <f aca="false">B101-B99</f>
        <v>2754.765</v>
      </c>
      <c r="C100" s="5" t="n">
        <v>2852.9</v>
      </c>
      <c r="D100" s="5" t="n">
        <v>2838.5</v>
      </c>
      <c r="E100" s="5" t="n">
        <v>2853</v>
      </c>
      <c r="F100" s="28" t="n">
        <v>3034.5</v>
      </c>
      <c r="G100" s="5" t="n">
        <f aca="false">D100</f>
        <v>2838.5</v>
      </c>
      <c r="H100" s="27"/>
      <c r="I100" s="27"/>
    </row>
    <row r="101" customFormat="false" ht="14.25" hidden="false" customHeight="false" outlineLevel="0" collapsed="false">
      <c r="A101" s="3" t="s">
        <v>93</v>
      </c>
      <c r="B101" s="5" t="n">
        <v>11785.789</v>
      </c>
      <c r="C101" s="5" t="n">
        <v>10461.4</v>
      </c>
      <c r="D101" s="5" t="n">
        <v>11245.2</v>
      </c>
      <c r="E101" s="5" t="n">
        <v>11147</v>
      </c>
      <c r="F101" s="28" t="n">
        <v>12657.7</v>
      </c>
      <c r="G101" s="5" t="n">
        <f aca="false">D101</f>
        <v>11245.2</v>
      </c>
      <c r="H101" s="27"/>
      <c r="I101" s="27"/>
    </row>
    <row r="102" customFormat="false" ht="14.25" hidden="false" customHeight="false" outlineLevel="0" collapsed="false">
      <c r="A102" s="3" t="s">
        <v>94</v>
      </c>
      <c r="B102" s="5" t="n">
        <v>31830.405</v>
      </c>
      <c r="C102" s="5" t="n">
        <v>32508.8</v>
      </c>
      <c r="D102" s="5" t="n">
        <v>32943.3</v>
      </c>
      <c r="E102" s="5" t="n">
        <v>33607.6</v>
      </c>
      <c r="F102" s="28" t="n">
        <v>33884.1</v>
      </c>
      <c r="G102" s="5" t="n">
        <f aca="false">D102</f>
        <v>32943.3</v>
      </c>
      <c r="H102" s="27"/>
      <c r="I102" s="27"/>
    </row>
    <row r="103" customFormat="false" ht="14.25" hidden="false" customHeight="false" outlineLevel="0" collapsed="false">
      <c r="A103" s="3" t="s">
        <v>160</v>
      </c>
      <c r="B103" s="5" t="n">
        <v>0</v>
      </c>
      <c r="C103" s="5" t="n">
        <v>0</v>
      </c>
      <c r="D103" s="5" t="n">
        <v>0</v>
      </c>
      <c r="E103" s="5" t="n">
        <v>0</v>
      </c>
      <c r="F103" s="28" t="n">
        <v>0</v>
      </c>
      <c r="G103" s="5" t="n">
        <f aca="false">D103</f>
        <v>0</v>
      </c>
      <c r="H103" s="27"/>
      <c r="I103" s="27"/>
    </row>
    <row r="104" customFormat="false" ht="14.25" hidden="false" customHeight="false" outlineLevel="0" collapsed="false">
      <c r="A104" s="3" t="s">
        <v>161</v>
      </c>
      <c r="B104" s="5" t="n">
        <v>0</v>
      </c>
      <c r="C104" s="5" t="n">
        <v>0</v>
      </c>
      <c r="D104" s="5" t="n">
        <v>0</v>
      </c>
      <c r="E104" s="5" t="n">
        <v>0</v>
      </c>
      <c r="F104" s="28" t="n">
        <v>0</v>
      </c>
      <c r="G104" s="5" t="n">
        <f aca="false">D104</f>
        <v>0</v>
      </c>
      <c r="H104" s="27"/>
      <c r="I104" s="27"/>
    </row>
    <row r="105" customFormat="false" ht="14.25" hidden="false" customHeight="false" outlineLevel="0" collapsed="false">
      <c r="A105" s="3" t="s">
        <v>162</v>
      </c>
      <c r="B105" s="5" t="n">
        <v>93.389</v>
      </c>
      <c r="C105" s="5" t="n">
        <v>92.3</v>
      </c>
      <c r="D105" s="5" t="n">
        <v>98.3</v>
      </c>
      <c r="E105" s="5" t="n">
        <v>99.7</v>
      </c>
      <c r="F105" s="28" t="n">
        <v>105.6</v>
      </c>
      <c r="G105" s="5" t="n">
        <f aca="false">D105</f>
        <v>98.3</v>
      </c>
      <c r="H105" s="27"/>
      <c r="I105" s="27"/>
    </row>
    <row r="106" customFormat="false" ht="14.25" hidden="false" customHeight="false" outlineLevel="0" collapsed="false">
      <c r="A106" s="3" t="s">
        <v>163</v>
      </c>
      <c r="B106" s="5" t="n">
        <v>2260.347</v>
      </c>
      <c r="C106" s="5" t="n">
        <v>2272.5</v>
      </c>
      <c r="D106" s="5" t="n">
        <v>2343.5</v>
      </c>
      <c r="E106" s="5" t="n">
        <v>2344.7</v>
      </c>
      <c r="F106" s="28" t="n">
        <v>2443.7</v>
      </c>
      <c r="G106" s="5" t="n">
        <f aca="false">D106</f>
        <v>2343.5</v>
      </c>
      <c r="H106" s="27"/>
      <c r="I106" s="27"/>
    </row>
    <row r="107" customFormat="false" ht="14.25" hidden="false" customHeight="false" outlineLevel="0" collapsed="false">
      <c r="A107" s="3" t="s">
        <v>164</v>
      </c>
      <c r="B107" s="5" t="n">
        <f aca="false">IF(COUNT(B103:B106)=4,SUM(B103:B106),"n.d.")</f>
        <v>2353.736</v>
      </c>
      <c r="C107" s="5" t="n">
        <f aca="false">IF(COUNT(C103:C106)=4,SUM(C103:C106),"n.d.")</f>
        <v>2364.8</v>
      </c>
      <c r="D107" s="5" t="n">
        <f aca="false">IF(COUNT(D103:D106)=4,SUM(D103:D106),"n.d.")</f>
        <v>2441.8</v>
      </c>
      <c r="E107" s="5" t="n">
        <f aca="false">IF(COUNT(E103:E106)=4,SUM(E103:E106),"n.d.")</f>
        <v>2444.4</v>
      </c>
      <c r="F107" s="28" t="n">
        <f aca="false">IF(COUNT(F103:F106)=4,SUM(F103:F106),"n.d.")</f>
        <v>2549.3</v>
      </c>
      <c r="G107" s="5" t="n">
        <f aca="false">IF(COUNT(G103:G106)=4,SUM(G103:G106),"n.d.")</f>
        <v>2441.8</v>
      </c>
      <c r="H107" s="27"/>
      <c r="I107" s="27"/>
    </row>
    <row r="109" customFormat="false" ht="14.25" hidden="false" customHeight="false" outlineLevel="0" collapsed="false">
      <c r="A109" s="1" t="s">
        <v>171</v>
      </c>
      <c r="B109" s="1" t="str">
        <f aca="false">B5</f>
        <v>2T25</v>
      </c>
      <c r="C109" s="1" t="str">
        <f aca="false">C5</f>
        <v>3T25</v>
      </c>
      <c r="D109" s="1" t="str">
        <f aca="false">D5</f>
        <v>4T25</v>
      </c>
      <c r="E109" s="1" t="str">
        <f aca="false">E5</f>
        <v>1T26</v>
      </c>
      <c r="F109" s="1" t="str">
        <f aca="false">F5</f>
        <v>2T26</v>
      </c>
    </row>
    <row r="110" customFormat="false" ht="14.25" hidden="false" customHeight="false" outlineLevel="0" collapsed="false">
      <c r="A110" s="3" t="s">
        <v>172</v>
      </c>
      <c r="B110" s="5" t="n">
        <v>543.7</v>
      </c>
      <c r="C110" s="5" t="n">
        <v>1033.7</v>
      </c>
      <c r="D110" s="5" t="n">
        <v>816</v>
      </c>
      <c r="E110" s="5" t="n">
        <v>384.7</v>
      </c>
      <c r="F110" s="5" t="n">
        <v>795.5</v>
      </c>
    </row>
    <row r="111" customFormat="false" ht="14.25" hidden="false" customHeight="false" outlineLevel="0" collapsed="false">
      <c r="A111" s="3" t="s">
        <v>173</v>
      </c>
      <c r="B111" s="5" t="n">
        <v>119.5</v>
      </c>
      <c r="C111" s="5" t="n">
        <v>0</v>
      </c>
      <c r="D111" s="5" t="n">
        <v>0</v>
      </c>
      <c r="E111" s="5" t="n">
        <v>116.3</v>
      </c>
      <c r="F111" s="5" t="n">
        <v>114.4</v>
      </c>
    </row>
    <row r="112" customFormat="false" ht="14.25" hidden="false" customHeight="false" outlineLevel="0" collapsed="false">
      <c r="A112" s="3" t="s">
        <v>174</v>
      </c>
      <c r="B112" s="5" t="n">
        <v>0</v>
      </c>
      <c r="C112" s="5" t="n">
        <v>-258.5</v>
      </c>
      <c r="D112" s="5" t="n">
        <v>0</v>
      </c>
      <c r="E112" s="5" t="n">
        <v>0</v>
      </c>
      <c r="F112" s="5" t="n">
        <v>0</v>
      </c>
    </row>
    <row r="113" customFormat="false" ht="14.25" hidden="false" customHeight="false" outlineLevel="0" collapsed="false">
      <c r="A113" s="3" t="s">
        <v>175</v>
      </c>
      <c r="B113" s="5" t="n">
        <v>7989.7</v>
      </c>
      <c r="C113" s="5" t="n">
        <v>11746.3</v>
      </c>
      <c r="D113" s="5" t="n">
        <v>15831.8</v>
      </c>
      <c r="E113" s="5" t="n">
        <v>2436.5</v>
      </c>
      <c r="F113" s="5" t="n">
        <v>9264.9</v>
      </c>
    </row>
    <row r="114" customFormat="false" ht="14.25" hidden="false" customHeight="false" outlineLevel="0" collapsed="false">
      <c r="A114" s="3" t="s">
        <v>176</v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</row>
    <row r="115" customFormat="false" ht="14.25" hidden="false" customHeight="false" outlineLevel="0" collapsed="false">
      <c r="A115" s="3" t="s">
        <v>177</v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</row>
    <row r="116" customFormat="false" ht="14.25" hidden="false" customHeight="false" outlineLevel="0" collapsed="false">
      <c r="A116" s="3" t="s">
        <v>178</v>
      </c>
      <c r="B116" s="5" t="n">
        <v>2117.2</v>
      </c>
      <c r="C116" s="5" t="n">
        <v>2215.3</v>
      </c>
      <c r="D116" s="5" t="n">
        <v>8220.6</v>
      </c>
      <c r="E116" s="5" t="n">
        <v>2159.3</v>
      </c>
      <c r="F116" s="5" t="n">
        <v>2752.3</v>
      </c>
    </row>
    <row r="117" customFormat="false" ht="14.25" hidden="false" customHeight="false" outlineLevel="0" collapsed="false">
      <c r="A117" s="3" t="s">
        <v>179</v>
      </c>
      <c r="B117" s="5" t="n">
        <v>68.7</v>
      </c>
      <c r="C117" s="5" t="n">
        <v>70.8</v>
      </c>
      <c r="D117" s="5" t="n">
        <v>140.6</v>
      </c>
      <c r="E117" s="5" t="n">
        <v>36.3</v>
      </c>
      <c r="F117" s="5" t="n">
        <v>106.8</v>
      </c>
    </row>
    <row r="118" customFormat="false" ht="14.25" hidden="false" customHeight="false" outlineLevel="0" collapsed="false">
      <c r="A118" s="3" t="s">
        <v>180</v>
      </c>
      <c r="B118" s="5" t="n">
        <v>0</v>
      </c>
      <c r="C118" s="5" t="n">
        <v>0</v>
      </c>
      <c r="D118" s="5" t="n">
        <v>-5672.325</v>
      </c>
      <c r="E118" s="5" t="n">
        <v>0</v>
      </c>
      <c r="F118" s="5" t="n">
        <v>0</v>
      </c>
    </row>
    <row r="119" customFormat="false" ht="14.25" hidden="false" customHeight="false" outlineLevel="0" collapsed="false">
      <c r="A119" s="3" t="s">
        <v>181</v>
      </c>
      <c r="B119" s="5" t="n">
        <v>1484.5</v>
      </c>
      <c r="C119" s="5" t="n">
        <v>912.2</v>
      </c>
      <c r="D119" s="5" t="n">
        <v>1447.7</v>
      </c>
      <c r="E119" s="5" t="n">
        <v>606.8</v>
      </c>
      <c r="F119" s="5" t="n">
        <v>1670.1</v>
      </c>
    </row>
    <row r="120" customFormat="false" ht="14.25" hidden="false" customHeight="false" outlineLevel="0" collapsed="false">
      <c r="A120" s="3" t="s">
        <v>182</v>
      </c>
      <c r="B120" s="5" t="n">
        <v>0</v>
      </c>
      <c r="C120" s="5" t="n">
        <v>0</v>
      </c>
      <c r="D120" s="5" t="n">
        <v>32.4</v>
      </c>
      <c r="E120" s="5" t="n">
        <v>0</v>
      </c>
      <c r="F120" s="5" t="n">
        <v>0</v>
      </c>
    </row>
    <row r="121" customFormat="false" ht="14.25" hidden="false" customHeight="false" outlineLevel="0" collapsed="false">
      <c r="A121" s="3" t="s">
        <v>183</v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pane xSplit="1" ySplit="0" topLeftCell="B1" activePane="topRight" state="frozen"/>
      <selection pane="topLeft" activeCell="A1" activeCellId="0" sqref="A1"/>
      <selection pane="topRight" activeCell="E18" activeCellId="0" sqref="E18"/>
    </sheetView>
  </sheetViews>
  <sheetFormatPr defaultColWidth="11.4453125" defaultRowHeight="14.25" zeroHeight="false" outlineLevelRow="0" outlineLevelCol="0"/>
  <cols>
    <col collapsed="false" customWidth="true" hidden="false" outlineLevel="0" max="1" min="1" style="0" width="38.88"/>
    <col collapsed="false" customWidth="true" hidden="false" outlineLevel="0" max="7" min="2" style="0" width="12.44"/>
    <col collapsed="false" customWidth="true" hidden="false" outlineLevel="0" max="8" min="8" style="0" width="96.33"/>
  </cols>
  <sheetData>
    <row r="1" customFormat="false" ht="18.75" hidden="false" customHeight="true" outlineLevel="0" collapsed="false">
      <c r="A1" s="13"/>
    </row>
    <row r="2" customFormat="false" ht="14.25" hidden="false" customHeight="false" outlineLevel="0" collapsed="false">
      <c r="A2" s="14"/>
    </row>
    <row r="3" customFormat="false" ht="14.25" hidden="false" customHeight="false" outlineLevel="0" collapsed="false">
      <c r="A3" s="1" t="s">
        <v>184</v>
      </c>
      <c r="B3" s="32" t="n">
        <v>91.25</v>
      </c>
      <c r="C3" s="2"/>
      <c r="D3" s="2"/>
      <c r="E3" s="2"/>
      <c r="F3" s="2"/>
      <c r="G3" s="2"/>
      <c r="H3" s="2"/>
      <c r="I3" s="2"/>
    </row>
    <row r="5" customFormat="false" ht="14.25" hidden="false" customHeight="false" outlineLevel="0" collapsed="false">
      <c r="B5" s="9"/>
      <c r="C5" s="9"/>
      <c r="D5" s="9"/>
      <c r="E5" s="9"/>
      <c r="F5" s="9"/>
      <c r="G5" s="9"/>
      <c r="H5" s="33"/>
    </row>
    <row r="6" customFormat="false" ht="14.25" hidden="false" customHeight="false" outlineLevel="0" collapsed="false">
      <c r="A6" s="1" t="s">
        <v>185</v>
      </c>
      <c r="B6" s="1" t="s">
        <v>146</v>
      </c>
      <c r="C6" s="1" t="s">
        <v>147</v>
      </c>
      <c r="D6" s="1" t="s">
        <v>148</v>
      </c>
      <c r="E6" s="1" t="s">
        <v>149</v>
      </c>
      <c r="F6" s="1" t="s">
        <v>85</v>
      </c>
      <c r="G6" s="1" t="s">
        <v>186</v>
      </c>
      <c r="H6" s="2"/>
      <c r="I6" s="2"/>
    </row>
    <row r="7" customFormat="false" ht="14.25" hidden="false" customHeight="false" outlineLevel="0" collapsed="false">
      <c r="A7" s="3" t="s">
        <v>25</v>
      </c>
      <c r="B7" s="10" t="n">
        <f aca="false">Datos!B19/Datos!B21</f>
        <v>1.26947522220869</v>
      </c>
      <c r="C7" s="10" t="n">
        <f aca="false">Datos!C19/Datos!C21</f>
        <v>1.30314218381775</v>
      </c>
      <c r="D7" s="10" t="n">
        <f aca="false">Datos!D19/Datos!D21</f>
        <v>1.23738494097249</v>
      </c>
      <c r="E7" s="10" t="n">
        <f aca="false">Datos!E19/Datos!E21</f>
        <v>1.28691285081241</v>
      </c>
      <c r="F7" s="10" t="n">
        <f aca="false">Datos!F19/Datos!F21</f>
        <v>1.17402940225869</v>
      </c>
      <c r="G7" s="10" t="n">
        <f aca="false">AVERAGE(B7:F7)</f>
        <v>1.25418892001401</v>
      </c>
    </row>
    <row r="8" customFormat="false" ht="14.25" hidden="false" customHeight="false" outlineLevel="0" collapsed="false">
      <c r="A8" s="3" t="s">
        <v>26</v>
      </c>
      <c r="B8" s="10" t="n">
        <f aca="false">(Datos!B19-Datos!B18)/Datos!B21</f>
        <v>0.358212589796664</v>
      </c>
      <c r="C8" s="10" t="n">
        <f aca="false">(Datos!C19-Datos!C18)/Datos!C21</f>
        <v>0.350170201623462</v>
      </c>
      <c r="D8" s="10" t="n">
        <f aca="false">(Datos!D19-Datos!D18)/Datos!D21</f>
        <v>0.414237996889263</v>
      </c>
      <c r="E8" s="10" t="n">
        <f aca="false">(Datos!E19-Datos!E18)/Datos!E21</f>
        <v>0.322806499261448</v>
      </c>
      <c r="F8" s="10" t="n">
        <f aca="false">(Datos!F19-Datos!F18)/Datos!F21</f>
        <v>0.328261785441147</v>
      </c>
      <c r="G8" s="10" t="n">
        <f aca="false">AVERAGE(B8:F8)</f>
        <v>0.354737814602396</v>
      </c>
    </row>
    <row r="9" customFormat="false" ht="14.25" hidden="false" customHeight="false" outlineLevel="0" collapsed="false">
      <c r="A9" s="3" t="s">
        <v>27</v>
      </c>
      <c r="B9" s="11" t="n">
        <f aca="false">Datos!B23/Datos!B20</f>
        <v>0.474631198308329</v>
      </c>
      <c r="C9" s="11" t="n">
        <f aca="false">Datos!C23/Datos!C20</f>
        <v>0.463124277786949</v>
      </c>
      <c r="D9" s="11" t="n">
        <f aca="false">Datos!D23/Datos!D20</f>
        <v>0.45697842833156</v>
      </c>
      <c r="E9" s="11" t="n">
        <f aca="false">Datos!E23/Datos!E20</f>
        <v>0.433129500930827</v>
      </c>
      <c r="F9" s="11" t="n">
        <f aca="false">Datos!F23/Datos!F20</f>
        <v>0.447405508471874</v>
      </c>
      <c r="G9" s="11" t="n">
        <f aca="false">AVERAGE(B9:F9)</f>
        <v>0.455053782765908</v>
      </c>
    </row>
    <row r="10" customFormat="false" ht="14.25" hidden="false" customHeight="false" outlineLevel="0" collapsed="false">
      <c r="A10" s="3" t="s">
        <v>28</v>
      </c>
      <c r="B10" s="11" t="n">
        <f aca="false">Datos!B22/Datos!B20</f>
        <v>0.217721249734112</v>
      </c>
      <c r="C10" s="11" t="n">
        <f aca="false">Datos!C22/Datos!C20</f>
        <v>0.220651166334396</v>
      </c>
      <c r="D10" s="11" t="n">
        <f aca="false">Datos!D22/Datos!D20</f>
        <v>0.205629397967162</v>
      </c>
      <c r="E10" s="11" t="n">
        <f aca="false">Datos!E22/Datos!E20</f>
        <v>0.208869690806342</v>
      </c>
      <c r="F10" s="11" t="n">
        <f aca="false">Datos!F22/Datos!F20</f>
        <v>0.179838833515078</v>
      </c>
      <c r="G10" s="11" t="n">
        <f aca="false">AVERAGE(B10:F10)</f>
        <v>0.206542067671418</v>
      </c>
    </row>
    <row r="11" customFormat="false" ht="14.25" hidden="false" customHeight="false" outlineLevel="0" collapsed="false">
      <c r="A11" s="3" t="s">
        <v>29</v>
      </c>
      <c r="B11" s="10" t="n">
        <f aca="false">Datos!B9/Datos!B10</f>
        <v>2.30277442702051</v>
      </c>
      <c r="C11" s="10" t="n">
        <f aca="false">Datos!C9/Datos!C10</f>
        <v>1.8676844783715</v>
      </c>
      <c r="D11" s="10" t="n">
        <f aca="false">Datos!D9/Datos!D10</f>
        <v>4.03571428571429</v>
      </c>
      <c r="E11" s="10" t="n">
        <f aca="false">Datos!E9/Datos!E10</f>
        <v>3.09863945578231</v>
      </c>
      <c r="F11" s="10" t="n">
        <f aca="false">Datos!F9/Datos!F10</f>
        <v>3.1872852233677</v>
      </c>
      <c r="G11" s="10" t="n">
        <f aca="false">AVERAGE(B11:F11)</f>
        <v>2.89841957405126</v>
      </c>
    </row>
    <row r="12" customFormat="false" ht="14.25" hidden="false" customHeight="false" outlineLevel="0" collapsed="false">
      <c r="A12" s="3" t="s">
        <v>187</v>
      </c>
      <c r="B12" s="10" t="n">
        <f aca="false">Datos!B7/Datos!B18</f>
        <v>0.931455599796906</v>
      </c>
      <c r="C12" s="10" t="n">
        <f aca="false">Datos!C7/Datos!C18</f>
        <v>0.879210858932791</v>
      </c>
      <c r="D12" s="10" t="n">
        <f aca="false">Datos!D7/Datos!D18</f>
        <v>1.10878790694793</v>
      </c>
      <c r="E12" s="10" t="n">
        <f aca="false">Datos!E7/Datos!E18</f>
        <v>0.933537612992186</v>
      </c>
      <c r="F12" s="10" t="n">
        <f aca="false">Datos!F7/Datos!F18</f>
        <v>0.927644333739937</v>
      </c>
      <c r="G12" s="10" t="n">
        <f aca="false">AVERAGE(B12:F12)</f>
        <v>0.95612726248195</v>
      </c>
    </row>
    <row r="13" customFormat="false" ht="14.25" hidden="false" customHeight="false" outlineLevel="0" collapsed="false">
      <c r="A13" s="3" t="s">
        <v>31</v>
      </c>
      <c r="B13" s="12" t="n">
        <f aca="false">$B$3*Datos!B18/Datos!B7</f>
        <v>97.9649486458573</v>
      </c>
      <c r="C13" s="12" t="n">
        <f aca="false">$B$3*Datos!C18/Datos!C7</f>
        <v>103.786252265767</v>
      </c>
      <c r="D13" s="12" t="n">
        <f aca="false">$B$3*Datos!D18/Datos!D7</f>
        <v>82.2970736136332</v>
      </c>
      <c r="E13" s="12" t="n">
        <f aca="false">$B$3*Datos!E18/Datos!E7</f>
        <v>97.7464632705311</v>
      </c>
      <c r="F13" s="12" t="n">
        <f aca="false">$B$3*Datos!F18/Datos!F7</f>
        <v>98.3674417889365</v>
      </c>
      <c r="G13" s="12" t="n">
        <f aca="false">AVERAGE(B13:F13)</f>
        <v>96.0324359169449</v>
      </c>
    </row>
    <row r="14" customFormat="false" ht="14.25" hidden="false" customHeight="false" outlineLevel="0" collapsed="false">
      <c r="A14" s="3" t="s">
        <v>188</v>
      </c>
      <c r="B14" s="10" t="n">
        <f aca="false">Datos!B6/Datos!B20</f>
        <v>0.286595513069156</v>
      </c>
      <c r="C14" s="10" t="n">
        <f aca="false">Datos!C6/Datos!C20</f>
        <v>0.27099973333672</v>
      </c>
      <c r="D14" s="10" t="n">
        <f aca="false">Datos!D6/Datos!D20</f>
        <v>0.30500262756508</v>
      </c>
      <c r="E14" s="10" t="n">
        <f aca="false">Datos!E6/Datos!E20</f>
        <v>0.267945753638839</v>
      </c>
      <c r="F14" s="10" t="n">
        <f aca="false">Datos!F6/Datos!F20</f>
        <v>0.277776714940726</v>
      </c>
      <c r="G14" s="10" t="n">
        <f aca="false">AVERAGE(B14:F14)</f>
        <v>0.281664068510104</v>
      </c>
    </row>
    <row r="15" customFormat="false" ht="14.25" hidden="false" customHeight="false" outlineLevel="0" collapsed="false">
      <c r="A15" s="3" t="s">
        <v>33</v>
      </c>
      <c r="B15" s="11" t="n">
        <f aca="false">Datos!B8/Datos!B6</f>
        <v>0.239118096485484</v>
      </c>
      <c r="C15" s="11" t="n">
        <f aca="false">Datos!C8/Datos!C6</f>
        <v>0.250333856570532</v>
      </c>
      <c r="D15" s="11" t="n">
        <f aca="false">Datos!D8/Datos!D6</f>
        <v>0.247877794587326</v>
      </c>
      <c r="E15" s="11" t="n">
        <f aca="false">Datos!E8/Datos!E6</f>
        <v>0.246711502324201</v>
      </c>
      <c r="F15" s="11" t="n">
        <f aca="false">Datos!F8/Datos!F6</f>
        <v>0.244266397300214</v>
      </c>
      <c r="G15" s="11" t="n">
        <f aca="false">AVERAGE(B15:F15)</f>
        <v>0.245661529453551</v>
      </c>
    </row>
    <row r="16" customFormat="false" ht="14.25" hidden="false" customHeight="false" outlineLevel="0" collapsed="false">
      <c r="A16" s="3" t="s">
        <v>34</v>
      </c>
      <c r="B16" s="11" t="n">
        <f aca="false">Datos!B13/Datos!B6</f>
        <v>0.0162191661209343</v>
      </c>
      <c r="C16" s="11" t="n">
        <f aca="false">Datos!C13/Datos!C6</f>
        <v>0.013682262258979</v>
      </c>
      <c r="D16" s="11" t="n">
        <f aca="false">Datos!D13/Datos!D6</f>
        <v>0.0274836106908724</v>
      </c>
      <c r="E16" s="11" t="n">
        <f aca="false">Datos!E13/Datos!E6</f>
        <v>0.0206211057264366</v>
      </c>
      <c r="F16" s="11" t="n">
        <f aca="false">Datos!F13/Datos!F6</f>
        <v>0.0250235313023715</v>
      </c>
      <c r="G16" s="11" t="n">
        <f aca="false">AVERAGE(B16:F16)</f>
        <v>0.0206059352199188</v>
      </c>
    </row>
    <row r="17" customFormat="false" ht="14.25" hidden="false" customHeight="false" outlineLevel="0" collapsed="false">
      <c r="A17" s="3" t="s">
        <v>189</v>
      </c>
      <c r="B17" s="4" t="n">
        <f aca="false">Datos!B13/Datos!B20</f>
        <v>0.00464834023598303</v>
      </c>
      <c r="C17" s="4" t="n">
        <f aca="false">Datos!C13/Datos!C20</f>
        <v>0.00370788942362637</v>
      </c>
      <c r="D17" s="4" t="n">
        <f aca="false">Datos!D13/Datos!D20</f>
        <v>0.00838257347569182</v>
      </c>
      <c r="E17" s="4" t="n">
        <f aca="false">Datos!E13/Datos!E20</f>
        <v>0.00552533771473622</v>
      </c>
      <c r="F17" s="4" t="n">
        <f aca="false">Datos!F13/Datos!F20</f>
        <v>0.00695095432138917</v>
      </c>
      <c r="G17" s="4" t="n">
        <f aca="false">AVERAGE(B17:F17)</f>
        <v>0.00584301903428532</v>
      </c>
    </row>
    <row r="18" customFormat="false" ht="14.25" hidden="false" customHeight="false" outlineLevel="0" collapsed="false">
      <c r="A18" s="3" t="s">
        <v>190</v>
      </c>
      <c r="B18" s="4" t="n">
        <f aca="false">Datos!B13/Datos!B24</f>
        <v>0.00884776602838906</v>
      </c>
      <c r="C18" s="4" t="n">
        <f aca="false">Datos!C13/Datos!C24</f>
        <v>0.00690642036920966</v>
      </c>
      <c r="D18" s="4" t="n">
        <f aca="false">Datos!D13/Datos!D24</f>
        <v>0.0154369069536893</v>
      </c>
      <c r="E18" s="4" t="n">
        <f aca="false">Datos!E13/Datos!E24</f>
        <v>0.00974708989762049</v>
      </c>
      <c r="F18" s="4" t="n">
        <f aca="false">Datos!F13/Datos!F24</f>
        <v>0.0125787615112978</v>
      </c>
      <c r="G18" s="4" t="n">
        <f aca="false">AVERAGE(B18:F18)</f>
        <v>0.0107033889520413</v>
      </c>
    </row>
    <row r="19" customFormat="false" ht="14.25" hidden="false" customHeight="false" outlineLevel="0" collapsed="false">
      <c r="A19" s="3" t="s">
        <v>191</v>
      </c>
      <c r="B19" s="4" t="n">
        <f aca="false">Datos!B9*(1-WACC!$B$10)/(Datos!B24+Datos!B29)</f>
        <v>0.0117085779374398</v>
      </c>
      <c r="C19" s="4" t="n">
        <f aca="false">Datos!C9*(1-WACC!$B$10)/(Datos!C24+Datos!C29)</f>
        <v>0.0089530132343588</v>
      </c>
      <c r="D19" s="4" t="n">
        <f aca="false">Datos!D9*(1-WACC!$B$10)/(Datos!D24+Datos!D29)</f>
        <v>0.0160609137055838</v>
      </c>
      <c r="E19" s="4" t="n">
        <f aca="false">Datos!E9*(1-WACC!$B$10)/(Datos!E24+Datos!E29)</f>
        <v>0.0116701895010385</v>
      </c>
      <c r="F19" s="4" t="n">
        <f aca="false">Datos!F9*(1-WACC!$B$10)/(Datos!F24+Datos!F29)</f>
        <v>0.0117644833247305</v>
      </c>
      <c r="G19" s="4" t="n">
        <f aca="false">AVERAGE(B19:F19)</f>
        <v>0.0120314355406303</v>
      </c>
    </row>
    <row r="20" customFormat="false" ht="14.25" hidden="false" customHeight="false" outlineLevel="0" collapsed="false">
      <c r="B20" s="9"/>
      <c r="C20" s="9"/>
      <c r="D20" s="9"/>
      <c r="E20" s="9"/>
      <c r="F20" s="9"/>
      <c r="G20" s="34"/>
    </row>
    <row r="21" customFormat="false" ht="14.25" hidden="false" customHeight="false" outlineLevel="0" collapsed="false">
      <c r="B21" s="9"/>
      <c r="C21" s="9"/>
      <c r="D21" s="9"/>
      <c r="E21" s="9"/>
      <c r="F21" s="9"/>
      <c r="G21" s="34"/>
    </row>
    <row r="22" customFormat="false" ht="14.25" hidden="false" customHeight="false" outlineLevel="0" collapsed="false">
      <c r="A22" s="1" t="s">
        <v>192</v>
      </c>
      <c r="B22" s="1" t="s">
        <v>146</v>
      </c>
      <c r="C22" s="1" t="s">
        <v>147</v>
      </c>
      <c r="D22" s="1" t="s">
        <v>148</v>
      </c>
      <c r="E22" s="1" t="s">
        <v>149</v>
      </c>
      <c r="F22" s="1" t="s">
        <v>85</v>
      </c>
      <c r="G22" s="1" t="s">
        <v>186</v>
      </c>
      <c r="H22" s="2"/>
      <c r="I22" s="2"/>
    </row>
    <row r="23" customFormat="false" ht="14.25" hidden="false" customHeight="false" outlineLevel="0" collapsed="false">
      <c r="A23" s="3" t="s">
        <v>25</v>
      </c>
      <c r="B23" s="10" t="n">
        <f aca="false">Datos!B45/Datos!B47</f>
        <v>0.940746121897885</v>
      </c>
      <c r="C23" s="10" t="n">
        <f aca="false">Datos!C45/Datos!C47</f>
        <v>0.949653486731077</v>
      </c>
      <c r="D23" s="10" t="n">
        <f aca="false">Datos!D45/Datos!D47</f>
        <v>0.966960823537106</v>
      </c>
      <c r="E23" s="10" t="n">
        <f aca="false">Datos!E45/Datos!E47</f>
        <v>1.06285170971514</v>
      </c>
      <c r="F23" s="10" t="n">
        <f aca="false">Datos!F45/Datos!F47</f>
        <v>0.964167334585705</v>
      </c>
      <c r="G23" s="10" t="n">
        <f aca="false">AVERAGE(B23:F23)</f>
        <v>0.976875895293384</v>
      </c>
    </row>
    <row r="24" customFormat="false" ht="14.25" hidden="false" customHeight="false" outlineLevel="0" collapsed="false">
      <c r="A24" s="3" t="s">
        <v>26</v>
      </c>
      <c r="B24" s="10" t="n">
        <f aca="false">(Datos!B45-Datos!B44)/Datos!B47</f>
        <v>0.338231127096535</v>
      </c>
      <c r="C24" s="10" t="n">
        <f aca="false">(Datos!C45-Datos!C44)/Datos!C47</f>
        <v>0.342009535487091</v>
      </c>
      <c r="D24" s="10" t="n">
        <f aca="false">(Datos!D45-Datos!D44)/Datos!D47</f>
        <v>0.333841631377466</v>
      </c>
      <c r="E24" s="10" t="n">
        <f aca="false">(Datos!E45-Datos!E44)/Datos!E47</f>
        <v>0.371702868864461</v>
      </c>
      <c r="F24" s="10" t="n">
        <f aca="false">(Datos!F45-Datos!F44)/Datos!F47</f>
        <v>0.349440377220855</v>
      </c>
      <c r="G24" s="10" t="n">
        <f aca="false">AVERAGE(B24:F24)</f>
        <v>0.347045108009281</v>
      </c>
    </row>
    <row r="25" customFormat="false" ht="14.25" hidden="false" customHeight="false" outlineLevel="0" collapsed="false">
      <c r="A25" s="3" t="s">
        <v>27</v>
      </c>
      <c r="B25" s="11" t="n">
        <f aca="false">Datos!B49/Datos!B46</f>
        <v>0.547687269665199</v>
      </c>
      <c r="C25" s="11" t="n">
        <f aca="false">Datos!C49/Datos!C46</f>
        <v>0.550726724166532</v>
      </c>
      <c r="D25" s="11" t="n">
        <f aca="false">Datos!D49/Datos!D46</f>
        <v>0.52434322625508</v>
      </c>
      <c r="E25" s="11" t="n">
        <f aca="false">Datos!E49/Datos!E46</f>
        <v>0.491650140578258</v>
      </c>
      <c r="F25" s="11" t="n">
        <f aca="false">Datos!F49/Datos!F46</f>
        <v>0.528381453694916</v>
      </c>
      <c r="G25" s="11" t="n">
        <f aca="false">AVERAGE(B25:F25)</f>
        <v>0.528557762871997</v>
      </c>
    </row>
    <row r="26" customFormat="false" ht="14.25" hidden="false" customHeight="false" outlineLevel="0" collapsed="false">
      <c r="A26" s="3" t="s">
        <v>28</v>
      </c>
      <c r="B26" s="11" t="n">
        <f aca="false">Datos!B48/Datos!B46</f>
        <v>0.179335804099115</v>
      </c>
      <c r="C26" s="11" t="n">
        <f aca="false">Datos!C48/Datos!C46</f>
        <v>0.176016142053286</v>
      </c>
      <c r="D26" s="11" t="n">
        <f aca="false">Datos!D48/Datos!D46</f>
        <v>0.181670402987603</v>
      </c>
      <c r="E26" s="11" t="n">
        <f aca="false">Datos!E48/Datos!E46</f>
        <v>0.182375759473811</v>
      </c>
      <c r="F26" s="11" t="n">
        <f aca="false">Datos!F48/Datos!F46</f>
        <v>0.182650501060784</v>
      </c>
      <c r="G26" s="11" t="n">
        <f aca="false">AVERAGE(B26:F26)</f>
        <v>0.18040972193492</v>
      </c>
    </row>
    <row r="27" customFormat="false" ht="14.25" hidden="false" customHeight="false" outlineLevel="0" collapsed="false">
      <c r="A27" s="3" t="s">
        <v>29</v>
      </c>
      <c r="B27" s="10" t="n">
        <f aca="false">Datos!B35/Datos!B36</f>
        <v>6.52499716585421</v>
      </c>
      <c r="C27" s="10" t="n">
        <f aca="false">Datos!C35/Datos!C36</f>
        <v>5.90103310272081</v>
      </c>
      <c r="D27" s="10" t="n">
        <f aca="false">Datos!D35/Datos!D36</f>
        <v>8.34209867267719</v>
      </c>
      <c r="E27" s="10" t="n">
        <f aca="false">Datos!E35/Datos!E36</f>
        <v>6.37919602154994</v>
      </c>
      <c r="F27" s="10" t="n">
        <f aca="false">Datos!F35/Datos!F36</f>
        <v>6.07933276182312</v>
      </c>
      <c r="G27" s="10" t="n">
        <f aca="false">AVERAGE(B27:F27)</f>
        <v>6.64533154492505</v>
      </c>
    </row>
    <row r="28" customFormat="false" ht="14.25" hidden="false" customHeight="false" outlineLevel="0" collapsed="false">
      <c r="A28" s="3" t="s">
        <v>187</v>
      </c>
      <c r="B28" s="10" t="n">
        <f aca="false">Datos!B33/Datos!B44</f>
        <v>1.75045811224031</v>
      </c>
      <c r="C28" s="10" t="n">
        <f aca="false">Datos!C33/Datos!C44</f>
        <v>1.60498823720575</v>
      </c>
      <c r="D28" s="10" t="n">
        <f aca="false">Datos!D33/Datos!D44</f>
        <v>2.0000335036747</v>
      </c>
      <c r="E28" s="10" t="n">
        <f aca="false">Datos!E33/Datos!E44</f>
        <v>1.74596806086514</v>
      </c>
      <c r="F28" s="10" t="n">
        <f aca="false">Datos!F33/Datos!F44</f>
        <v>1.77461873040643</v>
      </c>
      <c r="G28" s="10" t="n">
        <f aca="false">AVERAGE(B28:F28)</f>
        <v>1.77521332887847</v>
      </c>
    </row>
    <row r="29" customFormat="false" ht="14.25" hidden="false" customHeight="false" outlineLevel="0" collapsed="false">
      <c r="A29" s="3" t="s">
        <v>31</v>
      </c>
      <c r="B29" s="12" t="n">
        <f aca="false">$B$3*Datos!B44/Datos!B33</f>
        <v>52.1292108402494</v>
      </c>
      <c r="C29" s="12" t="n">
        <f aca="false">$B$3*Datos!C44/Datos!C33</f>
        <v>56.853999228595</v>
      </c>
      <c r="D29" s="12" t="n">
        <f aca="false">$B$3*Datos!D44/Datos!D33</f>
        <v>45.6242357102241</v>
      </c>
      <c r="E29" s="12" t="n">
        <f aca="false">$B$3*Datos!E44/Datos!E33</f>
        <v>52.2632698989836</v>
      </c>
      <c r="F29" s="12" t="n">
        <f aca="false">$B$3*Datos!F44/Datos!F33</f>
        <v>51.4194956001065</v>
      </c>
      <c r="G29" s="12" t="n">
        <f aca="false">AVERAGE(B29:F29)</f>
        <v>51.6580422556317</v>
      </c>
    </row>
    <row r="30" customFormat="false" ht="14.25" hidden="false" customHeight="false" outlineLevel="0" collapsed="false">
      <c r="A30" s="3" t="s">
        <v>188</v>
      </c>
      <c r="B30" s="10" t="n">
        <f aca="false">Datos!B32/Datos!B46</f>
        <v>0.512007401901415</v>
      </c>
      <c r="C30" s="10" t="n">
        <f aca="false">Datos!C32/Datos!C46</f>
        <v>0.485629289743623</v>
      </c>
      <c r="D30" s="10" t="n">
        <f aca="false">Datos!D32/Datos!D46</f>
        <v>0.571097412277221</v>
      </c>
      <c r="E30" s="10" t="n">
        <f aca="false">Datos!E32/Datos!E46</f>
        <v>0.493153036778187</v>
      </c>
      <c r="F30" s="10" t="n">
        <f aca="false">Datos!F32/Datos!F46</f>
        <v>0.495996613081301</v>
      </c>
      <c r="G30" s="10" t="n">
        <f aca="false">AVERAGE(B30:F30)</f>
        <v>0.51157675075635</v>
      </c>
    </row>
    <row r="31" customFormat="false" ht="14.25" hidden="false" customHeight="false" outlineLevel="0" collapsed="false">
      <c r="A31" s="3" t="s">
        <v>33</v>
      </c>
      <c r="B31" s="11" t="n">
        <f aca="false">Datos!B34/Datos!B32</f>
        <v>0.241237698666985</v>
      </c>
      <c r="C31" s="11" t="n">
        <f aca="false">Datos!C34/Datos!C32</f>
        <v>0.247489857991174</v>
      </c>
      <c r="D31" s="11" t="n">
        <f aca="false">Datos!D34/Datos!D32</f>
        <v>0.240212367504533</v>
      </c>
      <c r="E31" s="11" t="n">
        <f aca="false">Datos!E34/Datos!E32</f>
        <v>0.243219185490075</v>
      </c>
      <c r="F31" s="11" t="n">
        <f aca="false">Datos!F34/Datos!F32</f>
        <v>0.239591660098236</v>
      </c>
      <c r="G31" s="11" t="n">
        <f aca="false">AVERAGE(B31:F31)</f>
        <v>0.242350153950201</v>
      </c>
    </row>
    <row r="32" customFormat="false" ht="14.25" hidden="false" customHeight="false" outlineLevel="0" collapsed="false">
      <c r="A32" s="3" t="s">
        <v>34</v>
      </c>
      <c r="B32" s="11" t="n">
        <f aca="false">Datos!B39/Datos!B32</f>
        <v>0.0455907685485463</v>
      </c>
      <c r="C32" s="11" t="n">
        <f aca="false">Datos!C39/Datos!C32</f>
        <v>0.0486389958272641</v>
      </c>
      <c r="D32" s="11" t="n">
        <f aca="false">Datos!D39/Datos!D32</f>
        <v>0.0516168857409228</v>
      </c>
      <c r="E32" s="11" t="n">
        <f aca="false">Datos!E39/Datos!E32</f>
        <v>0.0510149233629297</v>
      </c>
      <c r="F32" s="11" t="n">
        <f aca="false">Datos!F39/Datos!F32</f>
        <v>0.0444411148453981</v>
      </c>
      <c r="G32" s="11" t="n">
        <f aca="false">AVERAGE(B32:F32)</f>
        <v>0.0482605376650122</v>
      </c>
    </row>
    <row r="33" customFormat="false" ht="14.25" hidden="false" customHeight="false" outlineLevel="0" collapsed="false">
      <c r="A33" s="3" t="s">
        <v>189</v>
      </c>
      <c r="B33" s="4" t="n">
        <f aca="false">Datos!B39/Datos!B46</f>
        <v>0.0233428109552299</v>
      </c>
      <c r="C33" s="4" t="n">
        <f aca="false">Datos!C39/Datos!C46</f>
        <v>0.0236205209974373</v>
      </c>
      <c r="D33" s="4" t="n">
        <f aca="false">Datos!D39/Datos!D46</f>
        <v>0.02947826987645</v>
      </c>
      <c r="E33" s="4" t="n">
        <f aca="false">Datos!E39/Datos!E46</f>
        <v>0.0251581643774353</v>
      </c>
      <c r="F33" s="4" t="n">
        <f aca="false">Datos!F39/Datos!F46</f>
        <v>0.0220426424448746</v>
      </c>
      <c r="G33" s="4" t="n">
        <f aca="false">AVERAGE(B33:F33)</f>
        <v>0.0247284817302854</v>
      </c>
    </row>
    <row r="34" customFormat="false" ht="14.25" hidden="false" customHeight="false" outlineLevel="0" collapsed="false">
      <c r="A34" s="3" t="s">
        <v>190</v>
      </c>
      <c r="B34" s="4" t="n">
        <f aca="false">Datos!B39/Datos!B50</f>
        <v>0.0516076806813543</v>
      </c>
      <c r="C34" s="4" t="n">
        <f aca="false">Datos!C39/Datos!C50</f>
        <v>0.0525749521905521</v>
      </c>
      <c r="D34" s="4" t="n">
        <f aca="false">Datos!D39/Datos!D50</f>
        <v>0.0619738254631864</v>
      </c>
      <c r="E34" s="4" t="n">
        <f aca="false">Datos!E39/Datos!E50</f>
        <v>0.0494898619742969</v>
      </c>
      <c r="F34" s="4" t="n">
        <f aca="false">Datos!F39/Datos!F50</f>
        <v>0.0467382858828785</v>
      </c>
      <c r="G34" s="4" t="n">
        <f aca="false">AVERAGE(B34:F34)</f>
        <v>0.0524769212384537</v>
      </c>
    </row>
    <row r="35" customFormat="false" ht="14.25" hidden="false" customHeight="false" outlineLevel="0" collapsed="false">
      <c r="A35" s="3" t="s">
        <v>191</v>
      </c>
      <c r="B35" s="4" t="n">
        <f aca="false">Datos!B35*(1-WACC!$B$10)/(Datos!B50+Datos!B55)</f>
        <v>0.0407897512078852</v>
      </c>
      <c r="C35" s="4" t="n">
        <f aca="false">Datos!C35*(1-WACC!$B$10)/(Datos!C50+Datos!C55)</f>
        <v>0.0440246360945171</v>
      </c>
      <c r="D35" s="4" t="n">
        <f aca="false">Datos!D35*(1-WACC!$B$10)/(Datos!D50+Datos!D55)</f>
        <v>0.0515816858295184</v>
      </c>
      <c r="E35" s="4" t="n">
        <f aca="false">Datos!E35*(1-WACC!$B$10)/(Datos!E50+Datos!E55)</f>
        <v>0.0387315577490254</v>
      </c>
      <c r="F35" s="4" t="n">
        <f aca="false">Datos!F35*(1-WACC!$B$10)/(Datos!F50+Datos!F55)</f>
        <v>0.0370324815463774</v>
      </c>
      <c r="G35" s="4" t="n">
        <f aca="false">AVERAGE(B35:F35)</f>
        <v>0.0424320224854647</v>
      </c>
    </row>
    <row r="36" customFormat="false" ht="14.25" hidden="false" customHeight="false" outlineLevel="0" collapsed="false">
      <c r="B36" s="9"/>
      <c r="C36" s="9"/>
      <c r="D36" s="9"/>
      <c r="E36" s="9"/>
      <c r="F36" s="9"/>
      <c r="G36" s="34"/>
    </row>
    <row r="37" customFormat="false" ht="14.25" hidden="false" customHeight="false" outlineLevel="0" collapsed="false">
      <c r="B37" s="9"/>
      <c r="C37" s="9"/>
      <c r="D37" s="9"/>
      <c r="E37" s="9"/>
      <c r="F37" s="9"/>
      <c r="G37" s="34"/>
    </row>
    <row r="38" customFormat="false" ht="14.25" hidden="false" customHeight="false" outlineLevel="0" collapsed="false">
      <c r="A38" s="1" t="s">
        <v>193</v>
      </c>
      <c r="B38" s="1" t="s">
        <v>146</v>
      </c>
      <c r="C38" s="1" t="s">
        <v>147</v>
      </c>
      <c r="D38" s="1" t="s">
        <v>148</v>
      </c>
      <c r="E38" s="1" t="s">
        <v>149</v>
      </c>
      <c r="F38" s="1" t="s">
        <v>85</v>
      </c>
      <c r="G38" s="1" t="s">
        <v>186</v>
      </c>
      <c r="H38" s="2"/>
      <c r="I38" s="2"/>
    </row>
    <row r="39" customFormat="false" ht="14.25" hidden="false" customHeight="false" outlineLevel="0" collapsed="false">
      <c r="A39" s="3" t="s">
        <v>25</v>
      </c>
      <c r="B39" s="10" t="n">
        <f aca="false">Datos!B71/Datos!B73</f>
        <v>0.937522937640838</v>
      </c>
      <c r="C39" s="10" t="n">
        <f aca="false">Datos!C71/Datos!C73</f>
        <v>0.957139379565771</v>
      </c>
      <c r="D39" s="10" t="n">
        <f aca="false">Datos!D71/Datos!D73</f>
        <v>0.920796664711795</v>
      </c>
      <c r="E39" s="10" t="n">
        <f aca="false">Datos!E71/Datos!E73</f>
        <v>0.954451800175297</v>
      </c>
      <c r="F39" s="10" t="n">
        <f aca="false">Datos!F71/Datos!F73</f>
        <v>0.898749241923742</v>
      </c>
      <c r="G39" s="10" t="n">
        <f aca="false">AVERAGE(B39:F39)</f>
        <v>0.933732004803489</v>
      </c>
    </row>
    <row r="40" customFormat="false" ht="14.25" hidden="false" customHeight="false" outlineLevel="0" collapsed="false">
      <c r="A40" s="3" t="s">
        <v>26</v>
      </c>
      <c r="B40" s="10" t="n">
        <f aca="false">(Datos!B71-Datos!B70)/Datos!B73</f>
        <v>0.39513349094508</v>
      </c>
      <c r="C40" s="10" t="n">
        <f aca="false">(Datos!C71-Datos!C70)/Datos!C73</f>
        <v>0.416365247921711</v>
      </c>
      <c r="D40" s="10" t="n">
        <f aca="false">(Datos!D71-Datos!D70)/Datos!D73</f>
        <v>0.43735519652769</v>
      </c>
      <c r="E40" s="10" t="n">
        <f aca="false">(Datos!E71-Datos!E70)/Datos!E73</f>
        <v>0.407568559893739</v>
      </c>
      <c r="F40" s="10" t="n">
        <f aca="false">(Datos!F71-Datos!F70)/Datos!F73</f>
        <v>0.377359573256257</v>
      </c>
      <c r="G40" s="10" t="n">
        <f aca="false">AVERAGE(B40:F40)</f>
        <v>0.406756413708896</v>
      </c>
    </row>
    <row r="41" customFormat="false" ht="14.25" hidden="false" customHeight="false" outlineLevel="0" collapsed="false">
      <c r="A41" s="3" t="s">
        <v>27</v>
      </c>
      <c r="B41" s="11" t="n">
        <f aca="false">Datos!B75/Datos!B72</f>
        <v>0.66825911314506</v>
      </c>
      <c r="C41" s="11" t="n">
        <f aca="false">Datos!C75/Datos!C72</f>
        <v>0.667796060114136</v>
      </c>
      <c r="D41" s="11" t="n">
        <f aca="false">Datos!D75/Datos!D72</f>
        <v>0.673566363220098</v>
      </c>
      <c r="E41" s="11" t="n">
        <f aca="false">Datos!E75/Datos!E72</f>
        <v>0.654436750497438</v>
      </c>
      <c r="F41" s="11" t="n">
        <f aca="false">Datos!F75/Datos!F72</f>
        <v>0.651455148447524</v>
      </c>
      <c r="G41" s="11" t="n">
        <f aca="false">AVERAGE(B41:F41)</f>
        <v>0.663102687084851</v>
      </c>
    </row>
    <row r="42" customFormat="false" ht="14.25" hidden="false" customHeight="false" outlineLevel="0" collapsed="false">
      <c r="A42" s="3" t="s">
        <v>28</v>
      </c>
      <c r="B42" s="11" t="n">
        <f aca="false">Datos!B74/Datos!B72</f>
        <v>0.395510036909384</v>
      </c>
      <c r="C42" s="11" t="n">
        <f aca="false">Datos!C74/Datos!C72</f>
        <v>0.388223337973526</v>
      </c>
      <c r="D42" s="11" t="n">
        <f aca="false">Datos!D74/Datos!D72</f>
        <v>0.371348715411883</v>
      </c>
      <c r="E42" s="11" t="n">
        <f aca="false">Datos!E74/Datos!E72</f>
        <v>0.377511105913753</v>
      </c>
      <c r="F42" s="11" t="n">
        <f aca="false">Datos!F74/Datos!F72</f>
        <v>0.368056223522841</v>
      </c>
      <c r="G42" s="11" t="n">
        <f aca="false">AVERAGE(B42:F42)</f>
        <v>0.380129883946277</v>
      </c>
    </row>
    <row r="43" customFormat="false" ht="14.25" hidden="false" customHeight="false" outlineLevel="0" collapsed="false">
      <c r="A43" s="3" t="s">
        <v>29</v>
      </c>
      <c r="B43" s="10" t="n">
        <f aca="false">Datos!B61/Datos!B62</f>
        <v>4.82398024074495</v>
      </c>
      <c r="C43" s="10" t="n">
        <f aca="false">Datos!C61/Datos!C62</f>
        <v>3.96659606015675</v>
      </c>
      <c r="D43" s="10" t="n">
        <f aca="false">Datos!D61/Datos!D62</f>
        <v>3.39246735121125</v>
      </c>
      <c r="E43" s="10" t="n">
        <f aca="false">Datos!E61/Datos!E62</f>
        <v>4.06832762241627</v>
      </c>
      <c r="F43" s="10" t="n">
        <f aca="false">Datos!F61/Datos!F62</f>
        <v>4.50072156862745</v>
      </c>
      <c r="G43" s="10" t="n">
        <f aca="false">AVERAGE(B43:F43)</f>
        <v>4.15041856863133</v>
      </c>
    </row>
    <row r="44" customFormat="false" ht="14.25" hidden="false" customHeight="false" outlineLevel="0" collapsed="false">
      <c r="A44" s="3" t="s">
        <v>187</v>
      </c>
      <c r="B44" s="10" t="n">
        <f aca="false">Datos!B59/Datos!B70</f>
        <v>2.4460256416131</v>
      </c>
      <c r="C44" s="10" t="n">
        <f aca="false">Datos!C59/Datos!C70</f>
        <v>2.30036649684643</v>
      </c>
      <c r="D44" s="10" t="n">
        <f aca="false">Datos!D59/Datos!D70</f>
        <v>2.57511224336714</v>
      </c>
      <c r="E44" s="10" t="n">
        <f aca="false">Datos!E59/Datos!E70</f>
        <v>2.23335509779787</v>
      </c>
      <c r="F44" s="10" t="n">
        <f aca="false">Datos!F59/Datos!F70</f>
        <v>2.36189240176749</v>
      </c>
      <c r="G44" s="10" t="n">
        <f aca="false">AVERAGE(B44:F44)</f>
        <v>2.38335037627841</v>
      </c>
    </row>
    <row r="45" customFormat="false" ht="14.25" hidden="false" customHeight="false" outlineLevel="0" collapsed="false">
      <c r="A45" s="3" t="s">
        <v>31</v>
      </c>
      <c r="B45" s="12" t="n">
        <f aca="false">$B$3*Datos!B70/Datos!B59</f>
        <v>37.3054143209319</v>
      </c>
      <c r="C45" s="12" t="n">
        <f aca="false">$B$3*Datos!C70/Datos!C59</f>
        <v>39.6675921532914</v>
      </c>
      <c r="D45" s="12" t="n">
        <f aca="false">$B$3*Datos!D70/Datos!D59</f>
        <v>35.4353485891878</v>
      </c>
      <c r="E45" s="12" t="n">
        <f aca="false">$B$3*Datos!E70/Datos!E59</f>
        <v>40.8578107843102</v>
      </c>
      <c r="F45" s="12" t="n">
        <f aca="false">$B$3*Datos!F70/Datos!F59</f>
        <v>38.6342747585428</v>
      </c>
      <c r="G45" s="12" t="n">
        <f aca="false">AVERAGE(B45:F45)</f>
        <v>38.3800881212528</v>
      </c>
    </row>
    <row r="46" customFormat="false" ht="14.25" hidden="false" customHeight="false" outlineLevel="0" collapsed="false">
      <c r="A46" s="3" t="s">
        <v>188</v>
      </c>
      <c r="B46" s="10" t="n">
        <f aca="false">Datos!B58/Datos!B72</f>
        <v>0.476990534264771</v>
      </c>
      <c r="C46" s="10" t="n">
        <f aca="false">Datos!C58/Datos!C72</f>
        <v>0.461173047922461</v>
      </c>
      <c r="D46" s="10" t="n">
        <f aca="false">Datos!D58/Datos!D72</f>
        <v>0.469060859196506</v>
      </c>
      <c r="E46" s="10" t="n">
        <f aca="false">Datos!E58/Datos!E72</f>
        <v>0.446741190517086</v>
      </c>
      <c r="F46" s="10" t="n">
        <f aca="false">Datos!F58/Datos!F72</f>
        <v>0.464301175291543</v>
      </c>
      <c r="G46" s="10" t="n">
        <f aca="false">AVERAGE(B46:F46)</f>
        <v>0.463653361438474</v>
      </c>
    </row>
    <row r="47" customFormat="false" ht="14.25" hidden="false" customHeight="false" outlineLevel="0" collapsed="false">
      <c r="A47" s="3" t="s">
        <v>33</v>
      </c>
      <c r="B47" s="11" t="n">
        <f aca="false">Datos!B60/Datos!B58</f>
        <v>0.24137742201276</v>
      </c>
      <c r="C47" s="11" t="n">
        <f aca="false">Datos!C60/Datos!C58</f>
        <v>0.245874164686016</v>
      </c>
      <c r="D47" s="11" t="n">
        <f aca="false">Datos!D60/Datos!D58</f>
        <v>0.197895985007512</v>
      </c>
      <c r="E47" s="11" t="n">
        <f aca="false">Datos!E60/Datos!E58</f>
        <v>0.242888971211566</v>
      </c>
      <c r="F47" s="11" t="n">
        <f aca="false">Datos!F60/Datos!F58</f>
        <v>0.248340854681367</v>
      </c>
      <c r="G47" s="11" t="n">
        <f aca="false">AVERAGE(B47:F47)</f>
        <v>0.235275479519844</v>
      </c>
    </row>
    <row r="48" customFormat="false" ht="14.25" hidden="false" customHeight="false" outlineLevel="0" collapsed="false">
      <c r="A48" s="3" t="s">
        <v>34</v>
      </c>
      <c r="B48" s="11" t="n">
        <f aca="false">Datos!B65/Datos!B58</f>
        <v>0.0279130287324365</v>
      </c>
      <c r="C48" s="11" t="n">
        <f aca="false">Datos!C65/Datos!C58</f>
        <v>0.0229400474497901</v>
      </c>
      <c r="D48" s="11" t="n">
        <f aca="false">Datos!D65/Datos!D58</f>
        <v>0.0178694852751295</v>
      </c>
      <c r="E48" s="11" t="n">
        <f aca="false">Datos!E65/Datos!E58</f>
        <v>0.0226841703730975</v>
      </c>
      <c r="F48" s="11" t="n">
        <f aca="false">Datos!F65/Datos!F58</f>
        <v>0.0256871983112193</v>
      </c>
      <c r="G48" s="11" t="n">
        <f aca="false">AVERAGE(B48:F48)</f>
        <v>0.0234187860283346</v>
      </c>
    </row>
    <row r="49" customFormat="false" ht="14.25" hidden="false" customHeight="false" outlineLevel="0" collapsed="false">
      <c r="A49" s="3" t="s">
        <v>189</v>
      </c>
      <c r="B49" s="4" t="n">
        <f aca="false">Datos!B65/Datos!B72</f>
        <v>0.0133142504880328</v>
      </c>
      <c r="C49" s="4" t="n">
        <f aca="false">Datos!C65/Datos!C72</f>
        <v>0.0105793316019056</v>
      </c>
      <c r="D49" s="4" t="n">
        <f aca="false">Datos!D65/Datos!D72</f>
        <v>0.00838187611655157</v>
      </c>
      <c r="E49" s="4" t="n">
        <f aca="false">Datos!E65/Datos!E72</f>
        <v>0.01013395327837</v>
      </c>
      <c r="F49" s="4" t="n">
        <f aca="false">Datos!F65/Datos!F72</f>
        <v>0.011926596365846</v>
      </c>
      <c r="G49" s="4" t="n">
        <f aca="false">AVERAGE(B49:F49)</f>
        <v>0.0108672015701412</v>
      </c>
    </row>
    <row r="50" customFormat="false" ht="14.25" hidden="false" customHeight="false" outlineLevel="0" collapsed="false">
      <c r="A50" s="3" t="s">
        <v>190</v>
      </c>
      <c r="B50" s="4" t="n">
        <f aca="false">Datos!B65/Datos!B76</f>
        <v>0.0401344875341058</v>
      </c>
      <c r="C50" s="4" t="n">
        <f aca="false">Datos!C65/Datos!C76</f>
        <v>0.0318458944392422</v>
      </c>
      <c r="D50" s="4" t="n">
        <f aca="false">Datos!D65/Datos!D76</f>
        <v>0.0256771213874723</v>
      </c>
      <c r="E50" s="4" t="n">
        <f aca="false">Datos!E65/Datos!E76</f>
        <v>0.0293258999414949</v>
      </c>
      <c r="F50" s="4" t="n">
        <f aca="false">Datos!F65/Datos!F76</f>
        <v>0.0342182543013418</v>
      </c>
      <c r="G50" s="4" t="n">
        <f aca="false">AVERAGE(B50:F50)</f>
        <v>0.0322403315207314</v>
      </c>
    </row>
    <row r="51" customFormat="false" ht="14.25" hidden="false" customHeight="false" outlineLevel="0" collapsed="false">
      <c r="A51" s="3" t="s">
        <v>191</v>
      </c>
      <c r="B51" s="4" t="n">
        <f aca="false">Datos!B61*(1-WACC!$B$10)/(Datos!B76+Datos!B81)</f>
        <v>0.0267542463376298</v>
      </c>
      <c r="C51" s="4" t="n">
        <f aca="false">Datos!C61*(1-WACC!$B$10)/(Datos!C76+Datos!C81)</f>
        <v>0.0237788082734459</v>
      </c>
      <c r="D51" s="4" t="n">
        <f aca="false">Datos!D61*(1-WACC!$B$10)/(Datos!D76+Datos!D81)</f>
        <v>0.0217298230036887</v>
      </c>
      <c r="E51" s="4" t="n">
        <f aca="false">Datos!E61*(1-WACC!$B$10)/(Datos!E76+Datos!E81)</f>
        <v>0.0231400062097526</v>
      </c>
      <c r="F51" s="4" t="n">
        <f aca="false">Datos!F61*(1-WACC!$B$10)/(Datos!F76+Datos!F81)</f>
        <v>0.0260485843977693</v>
      </c>
      <c r="G51" s="4" t="n">
        <f aca="false">AVERAGE(B51:F51)</f>
        <v>0.0242902936444572</v>
      </c>
    </row>
    <row r="52" customFormat="false" ht="14.25" hidden="false" customHeight="false" outlineLevel="0" collapsed="false">
      <c r="B52" s="9"/>
      <c r="C52" s="9"/>
      <c r="D52" s="9"/>
      <c r="E52" s="9"/>
      <c r="F52" s="9"/>
      <c r="G52" s="34"/>
    </row>
    <row r="53" customFormat="false" ht="14.25" hidden="false" customHeight="false" outlineLevel="0" collapsed="false">
      <c r="B53" s="9"/>
      <c r="C53" s="9"/>
      <c r="D53" s="9"/>
      <c r="E53" s="9"/>
      <c r="F53" s="9"/>
      <c r="G53" s="34"/>
    </row>
    <row r="54" customFormat="false" ht="14.25" hidden="false" customHeight="false" outlineLevel="0" collapsed="false">
      <c r="A54" s="1" t="s">
        <v>194</v>
      </c>
      <c r="B54" s="1" t="s">
        <v>146</v>
      </c>
      <c r="C54" s="1" t="s">
        <v>147</v>
      </c>
      <c r="D54" s="1" t="s">
        <v>148</v>
      </c>
      <c r="E54" s="1" t="s">
        <v>149</v>
      </c>
      <c r="F54" s="1" t="s">
        <v>85</v>
      </c>
      <c r="G54" s="1" t="s">
        <v>186</v>
      </c>
      <c r="H54" s="2"/>
      <c r="I54" s="2"/>
    </row>
    <row r="55" customFormat="false" ht="14.25" hidden="false" customHeight="false" outlineLevel="0" collapsed="false">
      <c r="A55" s="3" t="s">
        <v>25</v>
      </c>
      <c r="B55" s="10" t="n">
        <f aca="false">Datos!B97/Datos!B99</f>
        <v>1.24046331844539</v>
      </c>
      <c r="C55" s="10" t="n">
        <f aca="false">Datos!C97/Datos!C99</f>
        <v>1.31777617138726</v>
      </c>
      <c r="D55" s="10" t="n">
        <f aca="false">Datos!D97/Datos!D99</f>
        <v>1.20703724410292</v>
      </c>
      <c r="E55" s="10" t="n">
        <f aca="false">Datos!E97/Datos!E99</f>
        <v>1.25660718591753</v>
      </c>
      <c r="F55" s="10" t="n">
        <f aca="false">Datos!F97/Datos!F99</f>
        <v>1.12334774295453</v>
      </c>
      <c r="G55" s="10" t="n">
        <f aca="false">AVERAGE(B55:F55)</f>
        <v>1.22904633256153</v>
      </c>
    </row>
    <row r="56" customFormat="false" ht="14.25" hidden="false" customHeight="false" outlineLevel="0" collapsed="false">
      <c r="A56" s="3" t="s">
        <v>26</v>
      </c>
      <c r="B56" s="10" t="n">
        <f aca="false">(Datos!B97-Datos!B96)/Datos!B99</f>
        <v>0.506280572391348</v>
      </c>
      <c r="C56" s="10" t="n">
        <f aca="false">(Datos!C97-Datos!C96)/Datos!C99</f>
        <v>0.526529539331011</v>
      </c>
      <c r="D56" s="10" t="n">
        <f aca="false">(Datos!D97-Datos!D96)/Datos!D99</f>
        <v>0.500089214555057</v>
      </c>
      <c r="E56" s="10" t="n">
        <f aca="false">(Datos!E97-Datos!E96)/Datos!E99</f>
        <v>0.51120086809742</v>
      </c>
      <c r="F56" s="10" t="n">
        <f aca="false">(Datos!F97-Datos!F96)/Datos!F99</f>
        <v>0.3579786349655</v>
      </c>
      <c r="G56" s="10" t="n">
        <f aca="false">AVERAGE(B56:F56)</f>
        <v>0.480415765868067</v>
      </c>
    </row>
    <row r="57" customFormat="false" ht="14.25" hidden="false" customHeight="false" outlineLevel="0" collapsed="false">
      <c r="A57" s="3" t="s">
        <v>27</v>
      </c>
      <c r="B57" s="11" t="n">
        <f aca="false">Datos!B101/Datos!B98</f>
        <v>0.270215897333912</v>
      </c>
      <c r="C57" s="11" t="n">
        <f aca="false">Datos!C101/Datos!C98</f>
        <v>0.243457093520626</v>
      </c>
      <c r="D57" s="11" t="n">
        <f aca="false">Datos!D101/Datos!D98</f>
        <v>0.254482501103228</v>
      </c>
      <c r="E57" s="11" t="n">
        <f aca="false">Datos!E101/Datos!E98</f>
        <v>0.249069369405603</v>
      </c>
      <c r="F57" s="11" t="n">
        <f aca="false">Datos!F101/Datos!F98</f>
        <v>0.271964126870899</v>
      </c>
      <c r="G57" s="11" t="n">
        <f aca="false">AVERAGE(B57:F57)</f>
        <v>0.257837797646854</v>
      </c>
    </row>
    <row r="58" customFormat="false" ht="14.25" hidden="false" customHeight="false" outlineLevel="0" collapsed="false">
      <c r="A58" s="3" t="s">
        <v>28</v>
      </c>
      <c r="B58" s="11" t="n">
        <f aca="false">Datos!B100/Datos!B98</f>
        <v>0.0631592247595011</v>
      </c>
      <c r="C58" s="11" t="n">
        <f aca="false">Datos!C100/Datos!C98</f>
        <v>0.0663925231904902</v>
      </c>
      <c r="D58" s="11" t="n">
        <f aca="false">Datos!D100/Datos!D98</f>
        <v>0.0642361700442423</v>
      </c>
      <c r="E58" s="11" t="n">
        <f aca="false">Datos!E100/Datos!E98</f>
        <v>0.0637476371143972</v>
      </c>
      <c r="F58" s="11" t="n">
        <f aca="false">Datos!F100/Datos!F98</f>
        <v>0.0651994551134679</v>
      </c>
      <c r="G58" s="11" t="n">
        <f aca="false">AVERAGE(B58:F58)</f>
        <v>0.0645470020444197</v>
      </c>
    </row>
    <row r="59" customFormat="false" ht="14.25" hidden="false" customHeight="false" outlineLevel="0" collapsed="false">
      <c r="A59" s="3" t="s">
        <v>29</v>
      </c>
      <c r="B59" s="10" t="n">
        <f aca="false">Datos!B87/Datos!B88</f>
        <v>11.3780487804878</v>
      </c>
      <c r="C59" s="10" t="n">
        <f aca="false">Datos!C87/Datos!C88</f>
        <v>10.9387222946545</v>
      </c>
      <c r="D59" s="10" t="n">
        <f aca="false">Datos!D87/Datos!D88</f>
        <v>10.9795069337442</v>
      </c>
      <c r="E59" s="10" t="n">
        <f aca="false">Datos!E87/Datos!E88</f>
        <v>13.6616643929059</v>
      </c>
      <c r="F59" s="10" t="n">
        <f aca="false">Datos!F87/Datos!F88</f>
        <v>12.2657894736842</v>
      </c>
      <c r="G59" s="10" t="n">
        <f aca="false">AVERAGE(B59:F59)</f>
        <v>11.8447463750953</v>
      </c>
    </row>
    <row r="60" customFormat="false" ht="14.25" hidden="false" customHeight="false" outlineLevel="0" collapsed="false">
      <c r="A60" s="3" t="s">
        <v>187</v>
      </c>
      <c r="B60" s="10" t="n">
        <f aca="false">Datos!B85/Datos!B96</f>
        <v>1.31486351849098</v>
      </c>
      <c r="C60" s="10" t="n">
        <f aca="false">Datos!C85/Datos!C96</f>
        <v>1.37980465765257</v>
      </c>
      <c r="D60" s="10" t="n">
        <f aca="false">Datos!D85/Datos!D96</f>
        <v>1.46292170752638</v>
      </c>
      <c r="E60" s="10" t="n">
        <f aca="false">Datos!E85/Datos!E96</f>
        <v>1.34706586438923</v>
      </c>
      <c r="F60" s="10" t="n">
        <f aca="false">Datos!F85/Datos!F96</f>
        <v>1.23969152648229</v>
      </c>
      <c r="G60" s="10" t="n">
        <f aca="false">AVERAGE(B60:F60)</f>
        <v>1.34886945490829</v>
      </c>
    </row>
    <row r="61" customFormat="false" ht="14.25" hidden="false" customHeight="false" outlineLevel="0" collapsed="false">
      <c r="A61" s="3" t="s">
        <v>31</v>
      </c>
      <c r="B61" s="12" t="n">
        <f aca="false">$B$3*Datos!B96/Datos!B85</f>
        <v>69.3988377628153</v>
      </c>
      <c r="C61" s="12" t="n">
        <f aca="false">$B$3*Datos!C96/Datos!C85</f>
        <v>66.132549628613</v>
      </c>
      <c r="D61" s="12" t="n">
        <f aca="false">$B$3*Datos!D96/Datos!D85</f>
        <v>62.3751766964295</v>
      </c>
      <c r="E61" s="12" t="n">
        <f aca="false">$B$3*Datos!E96/Datos!E85</f>
        <v>67.7398206073414</v>
      </c>
      <c r="F61" s="12" t="n">
        <f aca="false">$B$3*Datos!F96/Datos!F85</f>
        <v>73.6070208198714</v>
      </c>
      <c r="G61" s="12" t="n">
        <f aca="false">AVERAGE(B61:F61)</f>
        <v>67.8506811030141</v>
      </c>
    </row>
    <row r="62" customFormat="false" ht="14.25" hidden="false" customHeight="false" outlineLevel="0" collapsed="false">
      <c r="A62" s="3" t="s">
        <v>188</v>
      </c>
      <c r="B62" s="10" t="n">
        <f aca="false">Datos!B84/Datos!B98</f>
        <v>0.280460051145224</v>
      </c>
      <c r="C62" s="10" t="n">
        <f aca="false">Datos!C84/Datos!C98</f>
        <v>0.274916104649269</v>
      </c>
      <c r="D62" s="10" t="n">
        <f aca="false">Datos!D84/Datos!D98</f>
        <v>0.280715344490082</v>
      </c>
      <c r="E62" s="10" t="n">
        <f aca="false">Datos!E84/Datos!E98</f>
        <v>0.268274099198742</v>
      </c>
      <c r="F62" s="10" t="n">
        <f aca="false">Datos!F84/Datos!F98</f>
        <v>0.277881388343382</v>
      </c>
      <c r="G62" s="10" t="n">
        <f aca="false">AVERAGE(B62:F62)</f>
        <v>0.27644939756534</v>
      </c>
    </row>
    <row r="63" customFormat="false" ht="14.25" hidden="false" customHeight="false" outlineLevel="0" collapsed="false">
      <c r="A63" s="3" t="s">
        <v>33</v>
      </c>
      <c r="B63" s="11" t="n">
        <f aca="false">Datos!B86/Datos!B84</f>
        <v>0.287306051043932</v>
      </c>
      <c r="C63" s="11" t="n">
        <f aca="false">Datos!C86/Datos!C84</f>
        <v>0.296828970981614</v>
      </c>
      <c r="D63" s="11" t="n">
        <f aca="false">Datos!D86/Datos!D84</f>
        <v>0.299095723368904</v>
      </c>
      <c r="E63" s="11" t="n">
        <f aca="false">Datos!E86/Datos!E84</f>
        <v>0.306367384333486</v>
      </c>
      <c r="F63" s="11" t="n">
        <f aca="false">Datos!F86/Datos!F84</f>
        <v>0.294005304219406</v>
      </c>
      <c r="G63" s="11" t="n">
        <f aca="false">AVERAGE(B63:F63)</f>
        <v>0.296720686789468</v>
      </c>
    </row>
    <row r="64" customFormat="false" ht="14.25" hidden="false" customHeight="false" outlineLevel="0" collapsed="false">
      <c r="A64" s="3" t="s">
        <v>34</v>
      </c>
      <c r="B64" s="11" t="n">
        <f aca="false">Datos!B91/Datos!B84</f>
        <v>0.0656442620538561</v>
      </c>
      <c r="C64" s="11" t="n">
        <f aca="false">Datos!C91/Datos!C84</f>
        <v>0.0542528696712152</v>
      </c>
      <c r="D64" s="11" t="n">
        <f aca="false">Datos!D91/Datos!D84</f>
        <v>0.0408089394158036</v>
      </c>
      <c r="E64" s="11" t="n">
        <f aca="false">Datos!E91/Datos!E84</f>
        <v>0.0618165160538042</v>
      </c>
      <c r="F64" s="11" t="n">
        <f aca="false">Datos!F91/Datos!F84</f>
        <v>0.0518901114195359</v>
      </c>
      <c r="G64" s="11" t="n">
        <f aca="false">AVERAGE(B64:F64)</f>
        <v>0.054882539722843</v>
      </c>
    </row>
    <row r="65" customFormat="false" ht="14.25" hidden="false" customHeight="false" outlineLevel="0" collapsed="false">
      <c r="A65" s="3" t="s">
        <v>189</v>
      </c>
      <c r="B65" s="4" t="n">
        <f aca="false">Datos!B91/Datos!B98</f>
        <v>0.0184105930930149</v>
      </c>
      <c r="C65" s="4" t="n">
        <f aca="false">Datos!C91/Datos!C98</f>
        <v>0.0149149875960549</v>
      </c>
      <c r="D65" s="4" t="n">
        <f aca="false">Datos!D91/Datos!D98</f>
        <v>0.0114556954863822</v>
      </c>
      <c r="E65" s="4" t="n">
        <f aca="false">Datos!E91/Datos!E98</f>
        <v>0.0165837701599389</v>
      </c>
      <c r="F65" s="4" t="n">
        <f aca="false">Datos!F91/Datos!F98</f>
        <v>0.0144192962025534</v>
      </c>
      <c r="G65" s="4" t="n">
        <f aca="false">AVERAGE(B65:F65)</f>
        <v>0.0151568685075889</v>
      </c>
    </row>
    <row r="66" customFormat="false" ht="14.25" hidden="false" customHeight="false" outlineLevel="0" collapsed="false">
      <c r="A66" s="3" t="s">
        <v>190</v>
      </c>
      <c r="B66" s="4" t="n">
        <f aca="false">Datos!B91/Datos!B102</f>
        <v>0.0252274515514333</v>
      </c>
      <c r="C66" s="4" t="n">
        <f aca="false">Datos!C91/Datos!C102</f>
        <v>0.0197146618761689</v>
      </c>
      <c r="D66" s="4" t="n">
        <f aca="false">Datos!D91/Datos!D102</f>
        <v>0.015366098721136</v>
      </c>
      <c r="E66" s="4" t="n">
        <f aca="false">Datos!E91/Datos!E102</f>
        <v>0.0220842904581107</v>
      </c>
      <c r="F66" s="4" t="n">
        <f aca="false">Datos!F91/Datos!F102</f>
        <v>0.0198057495993696</v>
      </c>
      <c r="G66" s="4" t="n">
        <f aca="false">AVERAGE(B66:F66)</f>
        <v>0.0204396504412437</v>
      </c>
    </row>
    <row r="67" customFormat="false" ht="14.25" hidden="false" customHeight="false" outlineLevel="0" collapsed="false">
      <c r="A67" s="3" t="s">
        <v>191</v>
      </c>
      <c r="B67" s="4" t="n">
        <f aca="false">Datos!B87*(1-WACC!$B$10)/(Datos!B102+Datos!B107)</f>
        <v>0.021015885699746</v>
      </c>
      <c r="C67" s="4" t="n">
        <f aca="false">Datos!C87*(1-WACC!$B$10)/(Datos!C102+Datos!C107)</f>
        <v>0.0168408194164067</v>
      </c>
      <c r="D67" s="4" t="n">
        <f aca="false">Datos!D87*(1-WACC!$B$10)/(Datos!D102+Datos!D107)</f>
        <v>0.0140963004202334</v>
      </c>
      <c r="E67" s="4" t="n">
        <f aca="false">Datos!E87*(1-WACC!$B$10)/(Datos!E102+Datos!E107)</f>
        <v>0.0194435814933984</v>
      </c>
      <c r="F67" s="4" t="n">
        <f aca="false">Datos!F87*(1-WACC!$B$10)/(Datos!F102+Datos!F107)</f>
        <v>0.0179104887273765</v>
      </c>
      <c r="G67" s="4" t="n">
        <f aca="false">AVERAGE(B67:F67)</f>
        <v>0.0178614151514322</v>
      </c>
    </row>
    <row r="69" customFormat="false" ht="14.25" hidden="false" customHeight="false" outlineLevel="0" collapsed="false">
      <c r="A6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33" activeCellId="0" sqref="A33"/>
    </sheetView>
  </sheetViews>
  <sheetFormatPr defaultColWidth="11.4453125" defaultRowHeight="14.25" zeroHeight="false" outlineLevelRow="0" outlineLevelCol="0"/>
  <cols>
    <col collapsed="false" customWidth="true" hidden="false" outlineLevel="0" max="1" min="1" style="0" width="55.44"/>
    <col collapsed="false" customWidth="true" hidden="false" outlineLevel="0" max="2" min="2" style="0" width="37"/>
    <col collapsed="false" customWidth="true" hidden="false" outlineLevel="0" max="6" min="3" style="0" width="16.67"/>
  </cols>
  <sheetData>
    <row r="1" customFormat="false" ht="18.75" hidden="false" customHeight="true" outlineLevel="0" collapsed="false">
      <c r="A1" s="13"/>
      <c r="C1" s="35"/>
      <c r="D1" s="35"/>
      <c r="E1" s="35"/>
      <c r="F1" s="35"/>
    </row>
    <row r="2" customFormat="false" ht="14.25" hidden="false" customHeight="false" outlineLevel="0" collapsed="false">
      <c r="A2" s="14"/>
      <c r="C2" s="35"/>
      <c r="D2" s="35"/>
      <c r="E2" s="35"/>
      <c r="F2" s="35"/>
    </row>
    <row r="3" customFormat="false" ht="14.25" hidden="false" customHeight="false" outlineLevel="0" collapsed="false">
      <c r="A3" s="1" t="s">
        <v>195</v>
      </c>
      <c r="B3" s="1" t="s">
        <v>1</v>
      </c>
      <c r="C3" s="1" t="s">
        <v>2</v>
      </c>
      <c r="D3" s="1" t="s">
        <v>3</v>
      </c>
      <c r="E3" s="1" t="s">
        <v>4</v>
      </c>
      <c r="F3" s="2"/>
      <c r="G3" s="2"/>
      <c r="H3" s="2"/>
      <c r="I3" s="2"/>
      <c r="J3" s="2"/>
    </row>
    <row r="4" customFormat="false" ht="14.25" hidden="false" customHeight="false" outlineLevel="0" collapsed="false">
      <c r="A4" s="1" t="s">
        <v>196</v>
      </c>
      <c r="B4" s="1"/>
      <c r="C4" s="1"/>
      <c r="D4" s="1"/>
      <c r="E4" s="1"/>
      <c r="F4" s="2"/>
      <c r="G4" s="2"/>
      <c r="H4" s="2"/>
      <c r="I4" s="2"/>
      <c r="J4" s="2"/>
    </row>
    <row r="5" customFormat="false" ht="14.25" hidden="false" customHeight="false" outlineLevel="0" collapsed="false">
      <c r="A5" s="3" t="s">
        <v>197</v>
      </c>
      <c r="B5" s="4" t="n">
        <v>0.09517</v>
      </c>
      <c r="C5" s="4" t="n">
        <f aca="false">$B$5</f>
        <v>0.09517</v>
      </c>
      <c r="D5" s="4" t="n">
        <f aca="false">$B$5</f>
        <v>0.09517</v>
      </c>
      <c r="E5" s="4" t="n">
        <f aca="false">$B$5</f>
        <v>0.09517</v>
      </c>
    </row>
    <row r="6" customFormat="false" ht="14.25" hidden="false" customHeight="false" outlineLevel="0" collapsed="false">
      <c r="A6" s="3" t="s">
        <v>198</v>
      </c>
      <c r="B6" s="4" t="n">
        <v>0.0423</v>
      </c>
      <c r="C6" s="4" t="n">
        <f aca="false">$B$6</f>
        <v>0.0423</v>
      </c>
      <c r="D6" s="4" t="n">
        <f aca="false">$B$6</f>
        <v>0.0423</v>
      </c>
      <c r="E6" s="4" t="n">
        <f aca="false">$B$6</f>
        <v>0.0423</v>
      </c>
    </row>
    <row r="7" customFormat="false" ht="14.25" hidden="false" customHeight="false" outlineLevel="0" collapsed="false">
      <c r="A7" s="3" t="s">
        <v>199</v>
      </c>
      <c r="B7" s="4" t="n">
        <v>0.0246</v>
      </c>
      <c r="C7" s="4" t="n">
        <f aca="false">$B$7</f>
        <v>0.0246</v>
      </c>
      <c r="D7" s="4" t="n">
        <f aca="false">$B$7</f>
        <v>0.0246</v>
      </c>
      <c r="E7" s="4" t="n">
        <f aca="false">$B$7</f>
        <v>0.0246</v>
      </c>
    </row>
    <row r="8" customFormat="false" ht="14.25" hidden="false" customHeight="false" outlineLevel="0" collapsed="false">
      <c r="A8" s="3" t="s">
        <v>200</v>
      </c>
      <c r="B8" s="4" t="n">
        <f aca="false">B6</f>
        <v>0.0423</v>
      </c>
      <c r="C8" s="4" t="n">
        <f aca="false">C6</f>
        <v>0.0423</v>
      </c>
      <c r="D8" s="4" t="n">
        <f aca="false">D6</f>
        <v>0.0423</v>
      </c>
      <c r="E8" s="4" t="n">
        <f aca="false">E6</f>
        <v>0.0423</v>
      </c>
    </row>
    <row r="9" customFormat="false" ht="14.25" hidden="false" customHeight="false" outlineLevel="0" collapsed="false">
      <c r="A9" s="3" t="s">
        <v>201</v>
      </c>
      <c r="B9" s="24" t="n">
        <f aca="false">'Beta y Kd'!B19</f>
        <v>0.170520815748403</v>
      </c>
      <c r="C9" s="24" t="n">
        <f aca="false">$B$9</f>
        <v>0.170520815748403</v>
      </c>
      <c r="D9" s="24" t="n">
        <f aca="false">$B$9</f>
        <v>0.170520815748403</v>
      </c>
      <c r="E9" s="24" t="n">
        <f aca="false">$B$9</f>
        <v>0.170520815748403</v>
      </c>
      <c r="F9" s="36" t="s">
        <v>202</v>
      </c>
    </row>
    <row r="10" customFormat="false" ht="14.25" hidden="false" customHeight="false" outlineLevel="0" collapsed="false">
      <c r="A10" s="3" t="s">
        <v>203</v>
      </c>
      <c r="B10" s="4" t="n">
        <v>0.3</v>
      </c>
      <c r="C10" s="4" t="n">
        <f aca="false">$B$10</f>
        <v>0.3</v>
      </c>
      <c r="D10" s="4" t="n">
        <f aca="false">$B$10</f>
        <v>0.3</v>
      </c>
      <c r="E10" s="4" t="n">
        <f aca="false">$B$10</f>
        <v>0.3</v>
      </c>
    </row>
    <row r="11" customFormat="false" ht="14.25" hidden="false" customHeight="false" outlineLevel="0" collapsed="false">
      <c r="B11" s="37"/>
      <c r="C11" s="37"/>
      <c r="D11" s="37"/>
      <c r="E11" s="37"/>
    </row>
    <row r="12" customFormat="false" ht="14.25" hidden="false" customHeight="false" outlineLevel="0" collapsed="false">
      <c r="A12" s="1" t="s">
        <v>204</v>
      </c>
      <c r="B12" s="1"/>
      <c r="C12" s="1"/>
      <c r="D12" s="1"/>
      <c r="E12" s="1"/>
      <c r="F12" s="2"/>
      <c r="G12" s="2"/>
      <c r="H12" s="2"/>
      <c r="I12" s="2"/>
      <c r="J12" s="2"/>
    </row>
    <row r="13" customFormat="false" ht="14.25" hidden="false" customHeight="false" outlineLevel="0" collapsed="false">
      <c r="A13" s="3" t="s">
        <v>205</v>
      </c>
      <c r="B13" s="38" t="n">
        <v>33.48</v>
      </c>
      <c r="C13" s="38" t="n">
        <v>46.6</v>
      </c>
      <c r="D13" s="38" t="n">
        <v>92.94</v>
      </c>
      <c r="E13" s="38" t="n">
        <v>32.08</v>
      </c>
    </row>
    <row r="14" customFormat="false" ht="14.25" hidden="false" customHeight="false" outlineLevel="0" collapsed="false">
      <c r="A14" s="3" t="s">
        <v>206</v>
      </c>
      <c r="B14" s="39" t="n">
        <v>46290</v>
      </c>
      <c r="C14" s="40" t="n">
        <v>46266</v>
      </c>
      <c r="D14" s="3" t="s">
        <v>207</v>
      </c>
      <c r="E14" s="40" t="n">
        <v>46266</v>
      </c>
    </row>
    <row r="15" customFormat="false" ht="14.25" hidden="false" customHeight="false" outlineLevel="0" collapsed="false">
      <c r="A15" s="3" t="s">
        <v>208</v>
      </c>
      <c r="B15" s="5" t="n">
        <v>54180</v>
      </c>
      <c r="C15" s="5" t="n">
        <v>801750</v>
      </c>
      <c r="D15" s="5" t="n">
        <v>89150</v>
      </c>
      <c r="E15" s="5" t="n">
        <v>34190</v>
      </c>
    </row>
    <row r="16" customFormat="false" ht="14.25" hidden="false" customHeight="false" outlineLevel="0" collapsed="false">
      <c r="A16" s="3" t="s">
        <v>209</v>
      </c>
      <c r="B16" s="38" t="n">
        <v>30.1</v>
      </c>
      <c r="C16" s="38" t="n">
        <v>45.92</v>
      </c>
      <c r="D16" s="38" t="n">
        <v>92.84</v>
      </c>
      <c r="E16" s="38" t="n">
        <v>32.08</v>
      </c>
    </row>
    <row r="17" customFormat="false" ht="14.25" hidden="false" customHeight="false" outlineLevel="0" collapsed="false">
      <c r="A17" s="3" t="s">
        <v>57</v>
      </c>
      <c r="B17" s="5" t="n">
        <f aca="false">B15/B16</f>
        <v>1800</v>
      </c>
      <c r="C17" s="5" t="n">
        <f aca="false">C15/C16</f>
        <v>17459.712543554</v>
      </c>
      <c r="D17" s="5" t="n">
        <f aca="false">D15/D16</f>
        <v>960.254200775528</v>
      </c>
      <c r="E17" s="5" t="n">
        <f aca="false">E15/E16</f>
        <v>1065.77306733167</v>
      </c>
    </row>
    <row r="18" customFormat="false" ht="14.25" hidden="false" customHeight="false" outlineLevel="0" collapsed="false">
      <c r="A18" s="3" t="s">
        <v>210</v>
      </c>
      <c r="B18" s="5" t="n">
        <f aca="false">B17*B13</f>
        <v>60264</v>
      </c>
      <c r="C18" s="5" t="n">
        <f aca="false">C17*C13</f>
        <v>813622.604529617</v>
      </c>
      <c r="D18" s="5" t="n">
        <f aca="false">D17*D13</f>
        <v>89246.0254200776</v>
      </c>
      <c r="E18" s="5" t="n">
        <f aca="false">E17*E13</f>
        <v>34190</v>
      </c>
    </row>
    <row r="19" customFormat="false" ht="14.25" hidden="false" customHeight="false" outlineLevel="0" collapsed="false">
      <c r="B19" s="37"/>
      <c r="C19" s="37"/>
      <c r="D19" s="37"/>
      <c r="E19" s="37"/>
    </row>
    <row r="20" customFormat="false" ht="14.25" hidden="false" customHeight="false" outlineLevel="0" collapsed="false">
      <c r="A20" s="1" t="s">
        <v>211</v>
      </c>
      <c r="B20" s="1"/>
      <c r="C20" s="1"/>
      <c r="D20" s="1"/>
      <c r="E20" s="1"/>
      <c r="F20" s="2"/>
      <c r="G20" s="2"/>
      <c r="H20" s="2"/>
      <c r="I20" s="2"/>
      <c r="J20" s="2"/>
    </row>
    <row r="21" customFormat="false" ht="14.25" hidden="false" customHeight="false" outlineLevel="0" collapsed="false">
      <c r="A21" s="3" t="s">
        <v>212</v>
      </c>
      <c r="B21" s="5" t="n">
        <f aca="false">Datos!G29</f>
        <v>23618</v>
      </c>
      <c r="C21" s="5" t="n">
        <f aca="false">Datos!G55</f>
        <v>80848.1</v>
      </c>
      <c r="D21" s="5" t="n">
        <f aca="false">Datos!G81</f>
        <v>56744.34</v>
      </c>
      <c r="E21" s="5" t="n">
        <f aca="false">Datos!G107</f>
        <v>2441.8</v>
      </c>
    </row>
    <row r="22" customFormat="false" ht="14.25" hidden="false" customHeight="false" outlineLevel="0" collapsed="false">
      <c r="A22" s="3" t="s">
        <v>13</v>
      </c>
      <c r="B22" s="5" t="n">
        <f aca="false">Datos!G17</f>
        <v>9295</v>
      </c>
      <c r="C22" s="5" t="n">
        <f aca="false">Datos!G43</f>
        <v>28591.2</v>
      </c>
      <c r="D22" s="5" t="n">
        <f aca="false">Datos!G69</f>
        <v>14640.16</v>
      </c>
      <c r="E22" s="5" t="n">
        <f aca="false">Datos!G95</f>
        <v>2962.8</v>
      </c>
    </row>
    <row r="23" customFormat="false" ht="14.25" hidden="false" customHeight="false" outlineLevel="0" collapsed="false">
      <c r="A23" s="3" t="s">
        <v>213</v>
      </c>
      <c r="B23" s="41" t="n">
        <f aca="false">B21/B18</f>
        <v>0.391908934023629</v>
      </c>
      <c r="C23" s="10" t="n">
        <f aca="false">C21/C18</f>
        <v>0.0993680602651657</v>
      </c>
      <c r="D23" s="10" t="n">
        <f aca="false">D21/D18</f>
        <v>0.635819239376842</v>
      </c>
      <c r="E23" s="10" t="n">
        <f aca="false">E21/E18</f>
        <v>0.0714185434337526</v>
      </c>
    </row>
    <row r="24" customFormat="false" ht="14.25" hidden="false" customHeight="false" outlineLevel="0" collapsed="false">
      <c r="A24" s="3" t="s">
        <v>214</v>
      </c>
      <c r="B24" s="4" t="n">
        <f aca="false">B21/(B21+B18)</f>
        <v>0.281562194511337</v>
      </c>
      <c r="C24" s="4" t="n">
        <f aca="false">C21/(C21+C18)</f>
        <v>0.090386526457025</v>
      </c>
      <c r="D24" s="4" t="n">
        <f aca="false">D21/(D21+D18)</f>
        <v>0.38868551247695</v>
      </c>
      <c r="E24" s="4" t="n">
        <f aca="false">E21/(E21+E18)</f>
        <v>0.0666579310871975</v>
      </c>
    </row>
    <row r="25" customFormat="false" ht="14.25" hidden="false" customHeight="false" outlineLevel="0" collapsed="false">
      <c r="A25" s="3" t="s">
        <v>215</v>
      </c>
      <c r="B25" s="4" t="n">
        <f aca="false">B18/(B21+B18)</f>
        <v>0.718437805488663</v>
      </c>
      <c r="C25" s="4" t="n">
        <f aca="false">C18/(C21+C18)</f>
        <v>0.909613473542975</v>
      </c>
      <c r="D25" s="4" t="n">
        <f aca="false">D18/(D21+D18)</f>
        <v>0.61131448752305</v>
      </c>
      <c r="E25" s="4" t="n">
        <f aca="false">E18/(E21+E18)</f>
        <v>0.933342068912803</v>
      </c>
    </row>
    <row r="26" customFormat="false" ht="14.25" hidden="false" customHeight="false" outlineLevel="0" collapsed="false">
      <c r="B26" s="37"/>
      <c r="C26" s="37"/>
      <c r="D26" s="37"/>
      <c r="E26" s="37"/>
    </row>
    <row r="27" customFormat="false" ht="14.25" hidden="false" customHeight="false" outlineLevel="0" collapsed="false">
      <c r="A27" s="1" t="s">
        <v>216</v>
      </c>
      <c r="B27" s="1"/>
      <c r="C27" s="1"/>
      <c r="D27" s="1"/>
      <c r="E27" s="1"/>
      <c r="F27" s="2"/>
      <c r="G27" s="2"/>
      <c r="H27" s="2"/>
      <c r="I27" s="2"/>
      <c r="J27" s="2"/>
    </row>
    <row r="28" customFormat="false" ht="14.25" hidden="false" customHeight="false" outlineLevel="0" collapsed="false">
      <c r="A28" s="3" t="s">
        <v>217</v>
      </c>
      <c r="B28" s="24" t="n">
        <f aca="false">B9*(1+(1-B10)*B23)</f>
        <v>0.21730085753856</v>
      </c>
      <c r="C28" s="24" t="n">
        <f aca="false">C9*(1+(1-C10)*C23)</f>
        <v>0.18238184163543</v>
      </c>
      <c r="D28" s="24" t="n">
        <f aca="false">D9*(1+(1-D10)*D23)</f>
        <v>0.24641510650535</v>
      </c>
      <c r="E28" s="24" t="n">
        <f aca="false">E9*(1+(1-E10)*E23)</f>
        <v>0.179045659548523</v>
      </c>
    </row>
    <row r="29" customFormat="false" ht="14.25" hidden="false" customHeight="false" outlineLevel="0" collapsed="false">
      <c r="A29" s="3" t="s">
        <v>218</v>
      </c>
      <c r="B29" s="4" t="n">
        <f aca="false">B5+B28*B8</f>
        <v>0.104361826273881</v>
      </c>
      <c r="C29" s="4" t="n">
        <f aca="false">C5+C28*C8</f>
        <v>0.102884751901179</v>
      </c>
      <c r="D29" s="4" t="n">
        <f aca="false">D5+D28*D8</f>
        <v>0.105593359005176</v>
      </c>
      <c r="E29" s="4" t="n">
        <f aca="false">E5+E28*E8</f>
        <v>0.102743631398903</v>
      </c>
    </row>
    <row r="30" customFormat="false" ht="14.25" hidden="false" customHeight="false" outlineLevel="0" collapsed="false">
      <c r="A30" s="3" t="s">
        <v>219</v>
      </c>
      <c r="B30" s="5" t="n">
        <f aca="false">Datos!G10</f>
        <v>3074</v>
      </c>
      <c r="C30" s="5" t="n">
        <f aca="false">Datos!G36</f>
        <v>11464.7</v>
      </c>
      <c r="D30" s="5" t="n">
        <f aca="false">Datos!G62</f>
        <v>3846.89</v>
      </c>
      <c r="E30" s="5" t="n">
        <f aca="false">Datos!G88</f>
        <v>265.96</v>
      </c>
    </row>
    <row r="31" customFormat="false" ht="14.25" hidden="false" customHeight="false" outlineLevel="0" collapsed="false">
      <c r="A31" s="3" t="s">
        <v>220</v>
      </c>
      <c r="B31" s="4" t="n">
        <f aca="false">B30/B21</f>
        <v>0.130154966550936</v>
      </c>
      <c r="C31" s="4" t="n">
        <f aca="false">C30/C21</f>
        <v>0.141805435130819</v>
      </c>
      <c r="D31" s="4" t="n">
        <f aca="false">D30/D21</f>
        <v>0.0677933693474979</v>
      </c>
      <c r="E31" s="4" t="n">
        <f aca="false">E30/E21</f>
        <v>0.108919649438938</v>
      </c>
    </row>
    <row r="32" customFormat="false" ht="14.25" hidden="false" customHeight="false" outlineLevel="0" collapsed="false">
      <c r="A32" s="3" t="s">
        <v>221</v>
      </c>
      <c r="B32" s="4" t="n">
        <f aca="false">B31*(1-B10)</f>
        <v>0.091108476585655</v>
      </c>
      <c r="C32" s="4" t="n">
        <f aca="false">C31*(1-C10)</f>
        <v>0.0992638045915736</v>
      </c>
      <c r="D32" s="4" t="n">
        <f aca="false">D31*(1-D10)</f>
        <v>0.0474553585432485</v>
      </c>
      <c r="E32" s="4" t="n">
        <f aca="false">E31*(1-E10)</f>
        <v>0.0762437546072569</v>
      </c>
    </row>
    <row r="33" customFormat="false" ht="14.25" hidden="false" customHeight="false" outlineLevel="0" collapsed="false">
      <c r="A33" s="3" t="s">
        <v>222</v>
      </c>
      <c r="B33" s="4" t="n">
        <f aca="false">B25*B29+B24*B32</f>
        <v>0.100630184051038</v>
      </c>
      <c r="C33" s="4" t="n">
        <f aca="false">C25*C29+C24*C32</f>
        <v>0.10255746705138</v>
      </c>
      <c r="D33" s="4" t="n">
        <f aca="false">D25*D29+D24*D32</f>
        <v>0.0829959605012468</v>
      </c>
      <c r="E33" s="4" t="n">
        <f aca="false">E25*E29+E24*E32</f>
        <v>0.100977204437906</v>
      </c>
    </row>
    <row r="35" customFormat="false" ht="14.25" hidden="false" customHeight="false" outlineLevel="0" collapsed="false">
      <c r="A35" s="1" t="s">
        <v>223</v>
      </c>
      <c r="B35" s="1"/>
      <c r="C35" s="1"/>
      <c r="D35" s="1"/>
    </row>
    <row r="36" customFormat="false" ht="14.25" hidden="false" customHeight="false" outlineLevel="0" collapsed="false">
      <c r="A36" s="3" t="s">
        <v>224</v>
      </c>
      <c r="B36" s="4" t="n">
        <f aca="false">'Proyección Final Soriana'!B126</f>
        <v>0.0956277841268195</v>
      </c>
      <c r="C36" s="4"/>
      <c r="D36" s="4"/>
    </row>
    <row r="37" customFormat="false" ht="14.25" hidden="false" customHeight="false" outlineLevel="0" collapsed="false">
      <c r="A37" s="3" t="s">
        <v>225</v>
      </c>
      <c r="B37" s="4" t="n">
        <f aca="false">B33</f>
        <v>0.100630184051038</v>
      </c>
      <c r="C37" s="4"/>
      <c r="D37" s="4"/>
    </row>
    <row r="38" customFormat="false" ht="14.25" hidden="false" customHeight="false" outlineLevel="0" collapsed="false">
      <c r="A38" s="3" t="s">
        <v>226</v>
      </c>
      <c r="B38" s="4" t="n">
        <f aca="false">B37-B36</f>
        <v>0.00500239992421848</v>
      </c>
      <c r="C38" s="4"/>
      <c r="D38" s="4"/>
    </row>
    <row r="39" customFormat="false" ht="14.25" hidden="false" customHeight="false" outlineLevel="0" collapsed="false">
      <c r="A39" s="3" t="s">
        <v>227</v>
      </c>
      <c r="B39" s="4" t="n">
        <f aca="false">B31</f>
        <v>0.130154966550936</v>
      </c>
      <c r="C39" s="4"/>
      <c r="D39" s="4"/>
    </row>
    <row r="40" customFormat="false" ht="14.25" hidden="false" customHeight="false" outlineLevel="0" collapsed="false">
      <c r="A40" s="3" t="s">
        <v>228</v>
      </c>
      <c r="B40" s="4" t="n">
        <f aca="false">'Proyección Final Soriana'!B206</f>
        <v>0.1</v>
      </c>
      <c r="C40" s="4"/>
      <c r="D40" s="4"/>
    </row>
    <row r="41" customFormat="false" ht="14.25" hidden="false" customHeight="false" outlineLevel="0" collapsed="false">
      <c r="A41" s="3" t="s">
        <v>229</v>
      </c>
      <c r="B41" s="4" t="n">
        <f aca="false">(Datos!E10+Datos!F10)*2/B21</f>
        <v>0.0990769751884156</v>
      </c>
      <c r="C41" s="4"/>
      <c r="D41" s="4"/>
    </row>
    <row r="42" customFormat="false" ht="14.25" hidden="false" customHeight="false" outlineLevel="0" collapsed="false">
      <c r="A42" s="0" t="s">
        <v>230</v>
      </c>
      <c r="B42" s="37"/>
      <c r="C42" s="37"/>
      <c r="D42" s="3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0"/>
  <sheetViews>
    <sheetView showFormulas="false" showGridLines="true" showRowColHeaders="true" showZeros="true" rightToLeft="false" tabSelected="false" showOutlineSymbols="true" defaultGridColor="true" view="normal" topLeftCell="A1" colorId="64" zoomScale="87" zoomScaleNormal="87" zoomScalePageLayoutView="100" workbookViewId="0">
      <selection pane="topLeft" activeCell="B40" activeCellId="0" sqref="B40"/>
    </sheetView>
  </sheetViews>
  <sheetFormatPr defaultColWidth="11.4453125" defaultRowHeight="14.25" zeroHeight="false" outlineLevelRow="0" outlineLevelCol="0"/>
  <cols>
    <col collapsed="false" customWidth="true" hidden="false" outlineLevel="0" max="1" min="1" style="0" width="61.11"/>
    <col collapsed="false" customWidth="true" hidden="false" outlineLevel="0" max="2" min="2" style="0" width="35.11"/>
    <col collapsed="false" customWidth="true" hidden="false" outlineLevel="0" max="8" min="3" style="0" width="15.88"/>
  </cols>
  <sheetData>
    <row r="1" customFormat="false" ht="18.75" hidden="false" customHeight="true" outlineLevel="0" collapsed="false">
      <c r="A1" s="13"/>
    </row>
    <row r="2" customFormat="false" ht="14.25" hidden="false" customHeight="false" outlineLevel="0" collapsed="false">
      <c r="A2" s="14"/>
    </row>
    <row r="3" customFormat="false" ht="14.25" hidden="false" customHeight="false" outlineLevel="0" collapsed="false">
      <c r="B3" s="42"/>
    </row>
    <row r="4" customFormat="false" ht="14.25" hidden="false" customHeight="false" outlineLevel="0" collapsed="false">
      <c r="A4" s="3" t="s">
        <v>231</v>
      </c>
      <c r="B4" s="11" t="n">
        <v>0.035</v>
      </c>
    </row>
    <row r="5" customFormat="false" ht="14.25" hidden="false" customHeight="false" outlineLevel="0" collapsed="false">
      <c r="A5" s="3" t="s">
        <v>232</v>
      </c>
      <c r="B5" s="11" t="n">
        <v>0.035</v>
      </c>
    </row>
    <row r="6" customFormat="false" ht="14.25" hidden="false" customHeight="false" outlineLevel="0" collapsed="false">
      <c r="B6" s="42"/>
    </row>
    <row r="7" customFormat="false" ht="14.25" hidden="false" customHeight="false" outlineLevel="0" collapsed="false">
      <c r="B7" s="42"/>
    </row>
    <row r="8" customFormat="false" ht="14.25" hidden="false" customHeight="false" outlineLevel="0" collapsed="false">
      <c r="A8" s="43" t="s">
        <v>185</v>
      </c>
      <c r="B8" s="44" t="s">
        <v>233</v>
      </c>
      <c r="C8" s="1" t="s">
        <v>234</v>
      </c>
      <c r="D8" s="1" t="s">
        <v>235</v>
      </c>
      <c r="E8" s="1" t="s">
        <v>236</v>
      </c>
      <c r="F8" s="1" t="s">
        <v>237</v>
      </c>
      <c r="G8" s="1" t="s">
        <v>238</v>
      </c>
      <c r="H8" s="2"/>
      <c r="I8" s="2"/>
      <c r="J8" s="2"/>
    </row>
    <row r="9" customFormat="false" ht="14.25" hidden="false" customHeight="false" outlineLevel="0" collapsed="false">
      <c r="A9" s="3" t="s">
        <v>239</v>
      </c>
      <c r="B9" s="4" t="n">
        <f aca="false">$B$5</f>
        <v>0.035</v>
      </c>
      <c r="C9" s="27"/>
      <c r="D9" s="27"/>
      <c r="E9" s="27"/>
      <c r="F9" s="27"/>
      <c r="G9" s="27"/>
    </row>
    <row r="10" customFormat="false" ht="14.25" hidden="false" customHeight="false" outlineLevel="0" collapsed="false">
      <c r="A10" s="3" t="s">
        <v>240</v>
      </c>
      <c r="B10" s="4" t="n">
        <f aca="false">Datos!G9/Datos!G6</f>
        <v>0.042542883699969</v>
      </c>
      <c r="C10" s="27"/>
      <c r="D10" s="27"/>
      <c r="E10" s="27"/>
      <c r="F10" s="27"/>
      <c r="G10" s="27"/>
    </row>
    <row r="11" customFormat="false" ht="14.25" hidden="false" customHeight="false" outlineLevel="0" collapsed="false">
      <c r="A11" s="3" t="s">
        <v>241</v>
      </c>
      <c r="B11" s="4" t="n">
        <f aca="false">Datos!G14/Datos!G6</f>
        <v>0.0244599047967777</v>
      </c>
      <c r="C11" s="27"/>
      <c r="D11" s="27"/>
      <c r="E11" s="27"/>
      <c r="F11" s="27"/>
      <c r="G11" s="27"/>
    </row>
    <row r="12" customFormat="false" ht="14.25" hidden="false" customHeight="false" outlineLevel="0" collapsed="false">
      <c r="A12" s="3" t="s">
        <v>242</v>
      </c>
      <c r="B12" s="4" t="n">
        <f aca="false">Datos!G16/Datos!G6</f>
        <v>0.0161507478241275</v>
      </c>
      <c r="C12" s="27"/>
      <c r="D12" s="27"/>
      <c r="E12" s="27"/>
      <c r="F12" s="27"/>
      <c r="G12" s="27"/>
    </row>
    <row r="13" customFormat="false" ht="14.25" hidden="false" customHeight="false" outlineLevel="0" collapsed="false">
      <c r="A13" s="3" t="s">
        <v>243</v>
      </c>
      <c r="B13" s="4" t="n">
        <f aca="false">-SUM('Proyección Soriana'!C64:G64)/('Proyección Soriana'!G19-'Proyección Soriana'!B19)</f>
        <v>0.0207926090752896</v>
      </c>
      <c r="C13" s="27"/>
      <c r="D13" s="27"/>
      <c r="E13" s="27"/>
      <c r="F13" s="27"/>
      <c r="G13" s="27"/>
    </row>
    <row r="14" customFormat="false" ht="14.25" hidden="false" customHeight="false" outlineLevel="0" collapsed="false">
      <c r="A14" s="3" t="s">
        <v>244</v>
      </c>
      <c r="B14" s="4" t="n">
        <f aca="false">WACC!B10</f>
        <v>0.3</v>
      </c>
      <c r="C14" s="27"/>
      <c r="D14" s="27"/>
      <c r="E14" s="27"/>
      <c r="F14" s="27"/>
      <c r="G14" s="27"/>
    </row>
    <row r="15" customFormat="false" ht="14.25" hidden="false" customHeight="false" outlineLevel="0" collapsed="false">
      <c r="A15" s="3" t="s">
        <v>5</v>
      </c>
      <c r="B15" s="4" t="n">
        <f aca="false">WACC!B33</f>
        <v>0.100630184051038</v>
      </c>
      <c r="C15" s="27"/>
      <c r="D15" s="27"/>
      <c r="E15" s="27"/>
      <c r="F15" s="27"/>
      <c r="G15" s="27"/>
    </row>
    <row r="16" customFormat="false" ht="14.25" hidden="false" customHeight="false" outlineLevel="0" collapsed="false">
      <c r="A16" s="3" t="s">
        <v>6</v>
      </c>
      <c r="B16" s="4" t="n">
        <f aca="false">$B$4</f>
        <v>0.035</v>
      </c>
      <c r="C16" s="27"/>
      <c r="D16" s="27"/>
      <c r="E16" s="27"/>
      <c r="F16" s="27"/>
      <c r="G16" s="27"/>
    </row>
    <row r="18" customFormat="false" ht="14.25" hidden="false" customHeight="false" outlineLevel="0" collapsed="false">
      <c r="A18" s="1" t="s">
        <v>245</v>
      </c>
      <c r="B18" s="1" t="s">
        <v>233</v>
      </c>
      <c r="C18" s="1" t="s">
        <v>234</v>
      </c>
      <c r="D18" s="1" t="s">
        <v>235</v>
      </c>
      <c r="E18" s="1" t="s">
        <v>236</v>
      </c>
      <c r="F18" s="1" t="s">
        <v>237</v>
      </c>
      <c r="G18" s="1" t="s">
        <v>238</v>
      </c>
      <c r="H18" s="2"/>
      <c r="I18" s="2"/>
      <c r="J18" s="2"/>
    </row>
    <row r="19" customFormat="false" ht="14.25" hidden="false" customHeight="false" outlineLevel="0" collapsed="false">
      <c r="A19" s="3" t="s">
        <v>246</v>
      </c>
      <c r="B19" s="45" t="n">
        <v>0</v>
      </c>
      <c r="C19" s="45" t="n">
        <v>1</v>
      </c>
      <c r="D19" s="45" t="n">
        <v>2</v>
      </c>
      <c r="E19" s="45" t="n">
        <v>3</v>
      </c>
      <c r="F19" s="45" t="n">
        <v>4</v>
      </c>
      <c r="G19" s="45" t="n">
        <v>5</v>
      </c>
    </row>
    <row r="20" customFormat="false" ht="14.25" hidden="false" customHeight="false" outlineLevel="0" collapsed="false">
      <c r="A20" s="3" t="s">
        <v>247</v>
      </c>
      <c r="B20" s="5" t="n">
        <f aca="false">Datos!G6</f>
        <v>177515</v>
      </c>
      <c r="C20" s="5" t="n">
        <f aca="false">B20*(1+$B$9)</f>
        <v>183728.025</v>
      </c>
      <c r="D20" s="5" t="n">
        <f aca="false">C20*(1+$B$9)</f>
        <v>190158.505875</v>
      </c>
      <c r="E20" s="5" t="n">
        <f aca="false">D20*(1+$B$9)</f>
        <v>196814.053580625</v>
      </c>
      <c r="F20" s="5" t="n">
        <f aca="false">E20*(1+$B$9)</f>
        <v>203702.545455947</v>
      </c>
      <c r="G20" s="5" t="n">
        <f aca="false">F20*(1+$B$9)</f>
        <v>210832.134546905</v>
      </c>
    </row>
    <row r="21" customFormat="false" ht="14.25" hidden="false" customHeight="false" outlineLevel="0" collapsed="false">
      <c r="A21" s="3" t="s">
        <v>81</v>
      </c>
      <c r="B21" s="5" t="n">
        <f aca="false">Datos!G9</f>
        <v>7552</v>
      </c>
      <c r="C21" s="5" t="n">
        <f aca="false">C20*$B$10</f>
        <v>7816.32</v>
      </c>
      <c r="D21" s="5" t="n">
        <f aca="false">D20*$B$10</f>
        <v>8089.8912</v>
      </c>
      <c r="E21" s="5" t="n">
        <f aca="false">E20*$B$10</f>
        <v>8373.037392</v>
      </c>
      <c r="F21" s="5" t="n">
        <f aca="false">F20*$B$10</f>
        <v>8666.09370072</v>
      </c>
      <c r="G21" s="5" t="n">
        <f aca="false">G20*$B$10</f>
        <v>8969.4069802452</v>
      </c>
    </row>
    <row r="22" customFormat="false" ht="14.25" hidden="false" customHeight="false" outlineLevel="0" collapsed="false">
      <c r="A22" s="3" t="s">
        <v>248</v>
      </c>
      <c r="B22" s="5" t="n">
        <f aca="false">-B21*$B$14</f>
        <v>-2265.6</v>
      </c>
      <c r="C22" s="5" t="n">
        <f aca="false">-C21*$B$14</f>
        <v>-2344.896</v>
      </c>
      <c r="D22" s="5" t="n">
        <f aca="false">-D21*$B$14</f>
        <v>-2426.96736</v>
      </c>
      <c r="E22" s="5" t="n">
        <f aca="false">-E21*$B$14</f>
        <v>-2511.9112176</v>
      </c>
      <c r="F22" s="5" t="n">
        <f aca="false">-F21*$B$14</f>
        <v>-2599.828110216</v>
      </c>
      <c r="G22" s="5" t="n">
        <f aca="false">-G21*$B$14</f>
        <v>-2690.82209407356</v>
      </c>
    </row>
    <row r="23" customFormat="false" ht="14.25" hidden="false" customHeight="false" outlineLevel="0" collapsed="false">
      <c r="A23" s="3" t="s">
        <v>249</v>
      </c>
      <c r="B23" s="5" t="n">
        <f aca="false">B21+B22</f>
        <v>5286.4</v>
      </c>
      <c r="C23" s="5" t="n">
        <f aca="false">C21+C22</f>
        <v>5471.424</v>
      </c>
      <c r="D23" s="5" t="n">
        <f aca="false">D21+D22</f>
        <v>5662.92384</v>
      </c>
      <c r="E23" s="5" t="n">
        <f aca="false">E21+E22</f>
        <v>5861.1261744</v>
      </c>
      <c r="F23" s="5" t="n">
        <f aca="false">F21+F22</f>
        <v>6066.265590504</v>
      </c>
      <c r="G23" s="5" t="n">
        <f aca="false">G21+G22</f>
        <v>6278.58488617164</v>
      </c>
    </row>
    <row r="24" customFormat="false" ht="14.25" hidden="false" customHeight="false" outlineLevel="0" collapsed="false">
      <c r="A24" s="3" t="s">
        <v>250</v>
      </c>
      <c r="B24" s="5" t="n">
        <f aca="false">Datos!G14</f>
        <v>4342</v>
      </c>
      <c r="C24" s="5" t="n">
        <f aca="false">C20*$B$11</f>
        <v>4493.97</v>
      </c>
      <c r="D24" s="5" t="n">
        <f aca="false">D20*$B$11</f>
        <v>4651.25895</v>
      </c>
      <c r="E24" s="5" t="n">
        <f aca="false">E20*$B$11</f>
        <v>4814.05301325</v>
      </c>
      <c r="F24" s="5" t="n">
        <f aca="false">F20*$B$11</f>
        <v>4982.54486871375</v>
      </c>
      <c r="G24" s="5" t="n">
        <f aca="false">G20*$B$11</f>
        <v>5156.93393911873</v>
      </c>
    </row>
    <row r="25" customFormat="false" ht="14.25" hidden="false" customHeight="false" outlineLevel="0" collapsed="false">
      <c r="A25" s="3" t="s">
        <v>251</v>
      </c>
      <c r="B25" s="5" t="n">
        <f aca="false">-Datos!G16</f>
        <v>-2867</v>
      </c>
      <c r="C25" s="5" t="n">
        <f aca="false">-C20*$B$12</f>
        <v>-2967.345</v>
      </c>
      <c r="D25" s="5" t="n">
        <f aca="false">-D20*$B$12</f>
        <v>-3071.202075</v>
      </c>
      <c r="E25" s="5" t="n">
        <f aca="false">-E20*$B$12</f>
        <v>-3178.694147625</v>
      </c>
      <c r="F25" s="5" t="n">
        <f aca="false">-F20*$B$12</f>
        <v>-3289.94844279187</v>
      </c>
      <c r="G25" s="5" t="n">
        <f aca="false">-G20*$B$12</f>
        <v>-3405.09663828959</v>
      </c>
    </row>
    <row r="26" customFormat="false" ht="14.25" hidden="false" customHeight="false" outlineLevel="0" collapsed="false">
      <c r="A26" s="3" t="s">
        <v>252</v>
      </c>
      <c r="B26" s="5" t="n">
        <v>0</v>
      </c>
      <c r="C26" s="5" t="n">
        <f aca="false">-(C20-B20)*$B$13</f>
        <v>-129.185000000001</v>
      </c>
      <c r="D26" s="5" t="n">
        <f aca="false">-(D20-C20)*$B$13</f>
        <v>-133.706475000001</v>
      </c>
      <c r="E26" s="5" t="n">
        <f aca="false">-(E20-D20)*$B$13</f>
        <v>-138.386201625001</v>
      </c>
      <c r="F26" s="5" t="n">
        <f aca="false">-(F20-E20)*$B$13</f>
        <v>-143.229718681876</v>
      </c>
      <c r="G26" s="5" t="n">
        <f aca="false">-(G20-F20)*$B$13</f>
        <v>-148.242758835741</v>
      </c>
    </row>
    <row r="27" customFormat="false" ht="14.25" hidden="false" customHeight="false" outlineLevel="0" collapsed="false">
      <c r="A27" s="3" t="s">
        <v>253</v>
      </c>
      <c r="B27" s="5" t="n">
        <f aca="false">B23+B24+B25+B26</f>
        <v>6761.4</v>
      </c>
      <c r="C27" s="5" t="n">
        <f aca="false">C23+C24+C25+C26</f>
        <v>6868.864</v>
      </c>
      <c r="D27" s="5" t="n">
        <f aca="false">D23+D24+D25+D26</f>
        <v>7109.27424</v>
      </c>
      <c r="E27" s="5" t="n">
        <f aca="false">E23+E24+E25+E26</f>
        <v>7358.0988384</v>
      </c>
      <c r="F27" s="5" t="n">
        <f aca="false">F23+F24+F25+F26</f>
        <v>7615.632297744</v>
      </c>
      <c r="G27" s="5" t="n">
        <f aca="false">G23+G24+G25+G26</f>
        <v>7882.17942816504</v>
      </c>
    </row>
    <row r="28" customFormat="false" ht="14.25" hidden="false" customHeight="false" outlineLevel="0" collapsed="false">
      <c r="A28" s="3" t="s">
        <v>254</v>
      </c>
      <c r="B28" s="46"/>
      <c r="C28" s="46" t="n">
        <f aca="false">1/(1+$B$15)^C19</f>
        <v>0.908570394025854</v>
      </c>
      <c r="D28" s="46" t="n">
        <f aca="false">1/(1+$B$15)^D19</f>
        <v>0.825500160900296</v>
      </c>
      <c r="E28" s="46" t="n">
        <f aca="false">1/(1+$B$15)^E19</f>
        <v>0.750025006457588</v>
      </c>
      <c r="F28" s="46" t="n">
        <f aca="false">1/(1+$B$15)^F19</f>
        <v>0.681450515646415</v>
      </c>
      <c r="G28" s="46" t="n">
        <f aca="false">1/(1+$B$15)^G19</f>
        <v>0.619145763509984</v>
      </c>
    </row>
    <row r="29" customFormat="false" ht="14.25" hidden="false" customHeight="false" outlineLevel="0" collapsed="false">
      <c r="A29" s="3" t="s">
        <v>255</v>
      </c>
      <c r="B29" s="5"/>
      <c r="C29" s="5" t="n">
        <f aca="false">C27*C28</f>
        <v>6240.84647099001</v>
      </c>
      <c r="D29" s="5" t="n">
        <f aca="false">D27*D28</f>
        <v>5868.70702900433</v>
      </c>
      <c r="E29" s="5" t="n">
        <f aca="false">E27*E28</f>
        <v>5518.75812878653</v>
      </c>
      <c r="F29" s="5" t="n">
        <f aca="false">F27*F28</f>
        <v>5189.67655627114</v>
      </c>
      <c r="G29" s="5" t="n">
        <f aca="false">G27*G28</f>
        <v>4880.21800017393</v>
      </c>
    </row>
    <row r="30" customFormat="false" ht="14.25" hidden="false" customHeight="false" outlineLevel="0" collapsed="false">
      <c r="B30" s="35"/>
      <c r="C30" s="35"/>
      <c r="D30" s="35"/>
      <c r="E30" s="35"/>
      <c r="F30" s="35"/>
      <c r="G30" s="35"/>
    </row>
    <row r="31" customFormat="false" ht="14.25" hidden="false" customHeight="false" outlineLevel="0" collapsed="false">
      <c r="A31" s="3" t="s">
        <v>8</v>
      </c>
      <c r="B31" s="5" t="n">
        <f aca="false">SUM(C29:G29)</f>
        <v>27698.2061852259</v>
      </c>
      <c r="C31" s="47"/>
      <c r="D31" s="47"/>
      <c r="E31" s="47"/>
      <c r="F31" s="47"/>
      <c r="G31" s="47"/>
    </row>
    <row r="32" customFormat="false" ht="14.25" hidden="false" customHeight="false" outlineLevel="0" collapsed="false">
      <c r="A32" s="3" t="s">
        <v>256</v>
      </c>
      <c r="B32" s="5" t="n">
        <f aca="false">G27*(1+B16)</f>
        <v>8158.05570815081</v>
      </c>
    </row>
    <row r="33" customFormat="false" ht="14.25" hidden="false" customHeight="false" outlineLevel="0" collapsed="false">
      <c r="A33" s="3" t="s">
        <v>257</v>
      </c>
      <c r="B33" s="5" t="n">
        <f aca="false">B32/(B15-B16)</f>
        <v>124303.410482692</v>
      </c>
      <c r="C33" s="2"/>
      <c r="D33" s="2"/>
      <c r="E33" s="2"/>
      <c r="F33" s="2"/>
      <c r="G33" s="2"/>
    </row>
    <row r="34" customFormat="false" ht="14.25" hidden="false" customHeight="false" outlineLevel="0" collapsed="false">
      <c r="A34" s="3" t="s">
        <v>10</v>
      </c>
      <c r="B34" s="5" t="n">
        <f aca="false">B33*G28</f>
        <v>76961.9299902015</v>
      </c>
    </row>
    <row r="35" customFormat="false" ht="14.25" hidden="false" customHeight="false" outlineLevel="0" collapsed="false">
      <c r="A35" s="3" t="s">
        <v>258</v>
      </c>
      <c r="B35" s="5" t="n">
        <f aca="false">B31+B34</f>
        <v>104660.136175427</v>
      </c>
      <c r="C35" s="2"/>
      <c r="D35" s="2"/>
      <c r="E35" s="2"/>
      <c r="F35" s="2"/>
      <c r="G35" s="2"/>
    </row>
    <row r="36" customFormat="false" ht="14.25" hidden="false" customHeight="false" outlineLevel="0" collapsed="false">
      <c r="A36" s="3" t="s">
        <v>259</v>
      </c>
      <c r="B36" s="5" t="n">
        <f aca="false">-WACC!B21</f>
        <v>-23618</v>
      </c>
    </row>
    <row r="37" customFormat="false" ht="14.25" hidden="false" customHeight="false" outlineLevel="0" collapsed="false">
      <c r="A37" s="3" t="s">
        <v>260</v>
      </c>
      <c r="B37" s="5" t="n">
        <f aca="false">WACC!B22</f>
        <v>9295</v>
      </c>
    </row>
    <row r="38" customFormat="false" ht="14.25" hidden="false" customHeight="false" outlineLevel="0" collapsed="false">
      <c r="A38" s="3" t="s">
        <v>261</v>
      </c>
      <c r="B38" s="5" t="n">
        <f aca="false">-(B36+B37)</f>
        <v>14323</v>
      </c>
    </row>
    <row r="39" customFormat="false" ht="14.25" hidden="false" customHeight="false" outlineLevel="0" collapsed="false">
      <c r="A39" s="3" t="s">
        <v>262</v>
      </c>
      <c r="B39" s="5" t="n">
        <f aca="false">B35+B36+B37</f>
        <v>90337.1361754274</v>
      </c>
      <c r="C39" s="2"/>
      <c r="D39" s="2"/>
      <c r="E39" s="2"/>
      <c r="F39" s="2"/>
      <c r="G39" s="2"/>
    </row>
    <row r="40" customFormat="false" ht="14.25" hidden="false" customHeight="false" outlineLevel="0" collapsed="false">
      <c r="A40" s="3" t="s">
        <v>57</v>
      </c>
      <c r="B40" s="5" t="n">
        <f aca="false">WACC!B17</f>
        <v>1800</v>
      </c>
    </row>
    <row r="41" customFormat="false" ht="31.5" hidden="false" customHeight="true" outlineLevel="0" collapsed="false">
      <c r="A41" s="48" t="s">
        <v>15</v>
      </c>
      <c r="B41" s="49" t="n">
        <f aca="false">B39/B40</f>
        <v>50.1872978752374</v>
      </c>
      <c r="C41" s="50"/>
      <c r="D41" s="51" t="s">
        <v>263</v>
      </c>
      <c r="E41" s="52" t="n">
        <f aca="false">'Proyección Soriana'!B85</f>
        <v>50.1811650263689</v>
      </c>
      <c r="F41" s="2"/>
      <c r="G41" s="2"/>
    </row>
    <row r="42" customFormat="false" ht="31.5" hidden="false" customHeight="true" outlineLevel="0" collapsed="false">
      <c r="A42" s="48" t="s">
        <v>16</v>
      </c>
      <c r="B42" s="49" t="n">
        <f aca="false">WACC!B13</f>
        <v>33.48</v>
      </c>
      <c r="C42" s="53"/>
      <c r="D42" s="51" t="s">
        <v>264</v>
      </c>
      <c r="E42" s="54" t="n">
        <f aca="false">B41-E41</f>
        <v>0.00613284886858168</v>
      </c>
    </row>
    <row r="43" customFormat="false" ht="15.75" hidden="false" customHeight="true" outlineLevel="0" collapsed="false">
      <c r="A43" s="48" t="s">
        <v>17</v>
      </c>
      <c r="B43" s="55" t="n">
        <f aca="false">B41/B42-1</f>
        <v>0.499023234027403</v>
      </c>
      <c r="C43" s="53"/>
      <c r="D43" s="51" t="s">
        <v>265</v>
      </c>
      <c r="E43" s="56" t="n">
        <f aca="false">B41/E41-1</f>
        <v>0.000122214158745804</v>
      </c>
    </row>
    <row r="44" customFormat="false" ht="14.25" hidden="false" customHeight="false" outlineLevel="0" collapsed="false">
      <c r="A44" s="3" t="s">
        <v>266</v>
      </c>
      <c r="B44" s="7" t="n">
        <f aca="false">B34/B35</f>
        <v>0.735350944520087</v>
      </c>
    </row>
    <row r="46" customFormat="false" ht="14.25" hidden="false" customHeight="false" outlineLevel="0" collapsed="false">
      <c r="A46" s="43" t="s">
        <v>192</v>
      </c>
      <c r="B46" s="44" t="s">
        <v>233</v>
      </c>
      <c r="C46" s="1" t="s">
        <v>234</v>
      </c>
      <c r="D46" s="1" t="s">
        <v>235</v>
      </c>
      <c r="E46" s="1" t="s">
        <v>236</v>
      </c>
      <c r="F46" s="1" t="s">
        <v>237</v>
      </c>
      <c r="G46" s="1" t="s">
        <v>238</v>
      </c>
      <c r="H46" s="2"/>
      <c r="I46" s="2"/>
      <c r="J46" s="2"/>
    </row>
    <row r="47" customFormat="false" ht="14.25" hidden="false" customHeight="false" outlineLevel="0" collapsed="false">
      <c r="A47" s="3" t="s">
        <v>239</v>
      </c>
      <c r="B47" s="4" t="n">
        <f aca="false">$B$5</f>
        <v>0.035</v>
      </c>
      <c r="C47" s="27"/>
      <c r="D47" s="27"/>
      <c r="E47" s="27"/>
      <c r="F47" s="27"/>
      <c r="G47" s="27"/>
    </row>
    <row r="48" customFormat="false" ht="14.25" hidden="false" customHeight="false" outlineLevel="0" collapsed="false">
      <c r="A48" s="3" t="s">
        <v>240</v>
      </c>
      <c r="B48" s="4" t="n">
        <f aca="false">Datos!G35/Datos!G32</f>
        <v>0.0775938740086353</v>
      </c>
      <c r="C48" s="27"/>
      <c r="D48" s="27"/>
      <c r="E48" s="27"/>
      <c r="F48" s="27"/>
      <c r="G48" s="27"/>
    </row>
    <row r="49" customFormat="false" ht="14.25" hidden="false" customHeight="false" outlineLevel="0" collapsed="false">
      <c r="A49" s="3" t="s">
        <v>241</v>
      </c>
      <c r="B49" s="4" t="n">
        <f aca="false">Datos!G40/Datos!G32</f>
        <v>0.024667014433304</v>
      </c>
      <c r="C49" s="27"/>
      <c r="D49" s="27"/>
      <c r="E49" s="27"/>
      <c r="F49" s="27"/>
      <c r="G49" s="27"/>
    </row>
    <row r="50" customFormat="false" ht="14.25" hidden="false" customHeight="false" outlineLevel="0" collapsed="false">
      <c r="A50" s="3" t="s">
        <v>242</v>
      </c>
      <c r="B50" s="4" t="n">
        <f aca="false">Datos!G42/Datos!G32</f>
        <v>0.0385350740645073</v>
      </c>
      <c r="C50" s="27"/>
      <c r="D50" s="27"/>
      <c r="E50" s="27"/>
      <c r="F50" s="27"/>
      <c r="G50" s="27"/>
    </row>
    <row r="51" customFormat="false" ht="14.25" hidden="false" customHeight="false" outlineLevel="0" collapsed="false">
      <c r="A51" s="3" t="s">
        <v>243</v>
      </c>
      <c r="B51" s="4" t="n">
        <v>0</v>
      </c>
      <c r="C51" s="27"/>
      <c r="D51" s="27"/>
      <c r="E51" s="27"/>
      <c r="F51" s="27"/>
      <c r="G51" s="27"/>
    </row>
    <row r="52" customFormat="false" ht="14.25" hidden="false" customHeight="false" outlineLevel="0" collapsed="false">
      <c r="A52" s="3" t="s">
        <v>244</v>
      </c>
      <c r="B52" s="4" t="n">
        <f aca="false">WACC!C10</f>
        <v>0.3</v>
      </c>
      <c r="C52" s="27"/>
      <c r="D52" s="27"/>
      <c r="E52" s="27"/>
      <c r="F52" s="27"/>
      <c r="G52" s="27"/>
    </row>
    <row r="53" customFormat="false" ht="14.25" hidden="false" customHeight="false" outlineLevel="0" collapsed="false">
      <c r="A53" s="3" t="s">
        <v>5</v>
      </c>
      <c r="B53" s="4" t="n">
        <f aca="false">WACC!C33</f>
        <v>0.10255746705138</v>
      </c>
      <c r="C53" s="27"/>
      <c r="D53" s="27"/>
      <c r="E53" s="27"/>
      <c r="F53" s="27"/>
      <c r="G53" s="27"/>
    </row>
    <row r="54" customFormat="false" ht="14.25" hidden="false" customHeight="false" outlineLevel="0" collapsed="false">
      <c r="A54" s="3" t="s">
        <v>6</v>
      </c>
      <c r="B54" s="4" t="n">
        <f aca="false">$B$4</f>
        <v>0.035</v>
      </c>
      <c r="C54" s="27"/>
      <c r="D54" s="27"/>
      <c r="E54" s="27"/>
      <c r="F54" s="27"/>
      <c r="G54" s="27"/>
    </row>
    <row r="55" customFormat="false" ht="14.25" hidden="false" customHeight="false" outlineLevel="0" collapsed="false">
      <c r="B55" s="35"/>
    </row>
    <row r="56" customFormat="false" ht="14.25" hidden="false" customHeight="false" outlineLevel="0" collapsed="false">
      <c r="A56" s="1" t="s">
        <v>245</v>
      </c>
      <c r="B56" s="1" t="s">
        <v>233</v>
      </c>
      <c r="C56" s="1" t="s">
        <v>234</v>
      </c>
      <c r="D56" s="1" t="s">
        <v>235</v>
      </c>
      <c r="E56" s="1" t="s">
        <v>236</v>
      </c>
      <c r="F56" s="1" t="s">
        <v>237</v>
      </c>
      <c r="G56" s="1" t="s">
        <v>238</v>
      </c>
      <c r="H56" s="2"/>
      <c r="I56" s="2"/>
      <c r="J56" s="2"/>
    </row>
    <row r="57" customFormat="false" ht="14.25" hidden="false" customHeight="false" outlineLevel="0" collapsed="false">
      <c r="A57" s="3" t="s">
        <v>246</v>
      </c>
      <c r="B57" s="45" t="n">
        <v>0</v>
      </c>
      <c r="C57" s="45" t="n">
        <v>1</v>
      </c>
      <c r="D57" s="45" t="n">
        <v>2</v>
      </c>
      <c r="E57" s="45" t="n">
        <v>3</v>
      </c>
      <c r="F57" s="45" t="n">
        <v>4</v>
      </c>
      <c r="G57" s="45" t="n">
        <v>5</v>
      </c>
    </row>
    <row r="58" customFormat="false" ht="14.25" hidden="false" customHeight="false" outlineLevel="0" collapsed="false">
      <c r="A58" s="3" t="s">
        <v>247</v>
      </c>
      <c r="B58" s="5" t="n">
        <f aca="false">Datos!G32</f>
        <v>1011597.9</v>
      </c>
      <c r="C58" s="5" t="n">
        <f aca="false">B58*(1+$B$47)</f>
        <v>1047003.8265</v>
      </c>
      <c r="D58" s="5" t="n">
        <f aca="false">C58*(1+$B$47)</f>
        <v>1083648.9604275</v>
      </c>
      <c r="E58" s="5" t="n">
        <f aca="false">D58*(1+$B$47)</f>
        <v>1121576.67404246</v>
      </c>
      <c r="F58" s="5" t="n">
        <f aca="false">E58*(1+$B$47)</f>
        <v>1160831.85763395</v>
      </c>
      <c r="G58" s="5" t="n">
        <f aca="false">F58*(1+$B$47)</f>
        <v>1201460.97265114</v>
      </c>
    </row>
    <row r="59" customFormat="false" ht="14.25" hidden="false" customHeight="false" outlineLevel="0" collapsed="false">
      <c r="A59" s="3" t="s">
        <v>81</v>
      </c>
      <c r="B59" s="5" t="n">
        <f aca="false">Datos!G35</f>
        <v>78493.8</v>
      </c>
      <c r="C59" s="5" t="n">
        <f aca="false">C58*$B$48</f>
        <v>81241.083</v>
      </c>
      <c r="D59" s="5" t="n">
        <f aca="false">D58*$B$48</f>
        <v>84084.520905</v>
      </c>
      <c r="E59" s="5" t="n">
        <f aca="false">E58*$B$48</f>
        <v>87027.479136675</v>
      </c>
      <c r="F59" s="5" t="n">
        <f aca="false">F58*$B$48</f>
        <v>90073.4409064586</v>
      </c>
      <c r="G59" s="5" t="n">
        <f aca="false">G58*$B$48</f>
        <v>93226.0113381846</v>
      </c>
    </row>
    <row r="60" customFormat="false" ht="14.25" hidden="false" customHeight="false" outlineLevel="0" collapsed="false">
      <c r="A60" s="3" t="s">
        <v>248</v>
      </c>
      <c r="B60" s="5" t="n">
        <f aca="false">-B59*$B$52</f>
        <v>-23548.14</v>
      </c>
      <c r="C60" s="5" t="n">
        <f aca="false">-C59*$B$52</f>
        <v>-24372.3249</v>
      </c>
      <c r="D60" s="5" t="n">
        <f aca="false">-D59*$B$52</f>
        <v>-25225.3562715</v>
      </c>
      <c r="E60" s="5" t="n">
        <f aca="false">-E59*$B$52</f>
        <v>-26108.2437410025</v>
      </c>
      <c r="F60" s="5" t="n">
        <f aca="false">-F59*$B$52</f>
        <v>-27022.0322719376</v>
      </c>
      <c r="G60" s="5" t="n">
        <f aca="false">-G59*$B$52</f>
        <v>-27967.8034014554</v>
      </c>
    </row>
    <row r="61" customFormat="false" ht="14.25" hidden="false" customHeight="false" outlineLevel="0" collapsed="false">
      <c r="A61" s="3" t="s">
        <v>249</v>
      </c>
      <c r="B61" s="5" t="n">
        <f aca="false">B59+B60</f>
        <v>54945.66</v>
      </c>
      <c r="C61" s="5" t="n">
        <f aca="false">C59+C60</f>
        <v>56868.7581</v>
      </c>
      <c r="D61" s="5" t="n">
        <f aca="false">D59+D60</f>
        <v>58859.1646335</v>
      </c>
      <c r="E61" s="5" t="n">
        <f aca="false">E59+E60</f>
        <v>60919.2353956725</v>
      </c>
      <c r="F61" s="5" t="n">
        <f aca="false">F59+F60</f>
        <v>63051.408634521</v>
      </c>
      <c r="G61" s="5" t="n">
        <f aca="false">G59+G60</f>
        <v>65258.2079367292</v>
      </c>
    </row>
    <row r="62" customFormat="false" ht="14.25" hidden="false" customHeight="false" outlineLevel="0" collapsed="false">
      <c r="A62" s="3" t="s">
        <v>250</v>
      </c>
      <c r="B62" s="5" t="n">
        <f aca="false">Datos!G40</f>
        <v>24953.1</v>
      </c>
      <c r="C62" s="5" t="n">
        <f aca="false">C58*$B$49</f>
        <v>25826.4585</v>
      </c>
      <c r="D62" s="5" t="n">
        <f aca="false">D58*$B$49</f>
        <v>26730.3845475</v>
      </c>
      <c r="E62" s="5" t="n">
        <f aca="false">E58*$B$49</f>
        <v>27665.9480066625</v>
      </c>
      <c r="F62" s="5" t="n">
        <f aca="false">F58*$B$49</f>
        <v>28634.2561868957</v>
      </c>
      <c r="G62" s="5" t="n">
        <f aca="false">G58*$B$49</f>
        <v>29636.455153437</v>
      </c>
    </row>
    <row r="63" customFormat="false" ht="14.25" hidden="false" customHeight="false" outlineLevel="0" collapsed="false">
      <c r="A63" s="3" t="s">
        <v>251</v>
      </c>
      <c r="B63" s="5" t="n">
        <f aca="false">-Datos!G42</f>
        <v>-38982</v>
      </c>
      <c r="C63" s="5" t="n">
        <f aca="false">-C58*$B$50</f>
        <v>-40346.37</v>
      </c>
      <c r="D63" s="5" t="n">
        <f aca="false">-D58*$B$50</f>
        <v>-41758.49295</v>
      </c>
      <c r="E63" s="5" t="n">
        <f aca="false">-E58*$B$50</f>
        <v>-43220.04020325</v>
      </c>
      <c r="F63" s="5" t="n">
        <f aca="false">-F58*$B$50</f>
        <v>-44732.7416103637</v>
      </c>
      <c r="G63" s="5" t="n">
        <f aca="false">-G58*$B$50</f>
        <v>-46298.3875667265</v>
      </c>
    </row>
    <row r="64" customFormat="false" ht="14.25" hidden="false" customHeight="false" outlineLevel="0" collapsed="false">
      <c r="A64" s="3" t="s">
        <v>252</v>
      </c>
      <c r="B64" s="5" t="n">
        <v>0</v>
      </c>
      <c r="C64" s="5" t="n">
        <f aca="false">-(C58-B58)*$B$51</f>
        <v>-0</v>
      </c>
      <c r="D64" s="5" t="n">
        <f aca="false">-(D58-C58)*$B$51</f>
        <v>-0</v>
      </c>
      <c r="E64" s="5" t="n">
        <f aca="false">-(E58-D58)*$B$51</f>
        <v>-0</v>
      </c>
      <c r="F64" s="5" t="n">
        <f aca="false">-(F58-E58)*$B$51</f>
        <v>-0</v>
      </c>
      <c r="G64" s="5" t="n">
        <f aca="false">-(G58-F58)*$B$51</f>
        <v>-0</v>
      </c>
    </row>
    <row r="65" customFormat="false" ht="14.25" hidden="false" customHeight="false" outlineLevel="0" collapsed="false">
      <c r="A65" s="3" t="s">
        <v>253</v>
      </c>
      <c r="B65" s="5" t="n">
        <f aca="false">B61+B62+B63+B64</f>
        <v>40916.76</v>
      </c>
      <c r="C65" s="5" t="n">
        <f aca="false">C61+C62+C63+C64</f>
        <v>42348.8466</v>
      </c>
      <c r="D65" s="5" t="n">
        <f aca="false">D61+D62+D63+D64</f>
        <v>43831.056231</v>
      </c>
      <c r="E65" s="5" t="n">
        <f aca="false">E61+E62+E63+E64</f>
        <v>45365.143199085</v>
      </c>
      <c r="F65" s="5" t="n">
        <f aca="false">F61+F62+F63+F64</f>
        <v>46952.923211053</v>
      </c>
      <c r="G65" s="5" t="n">
        <f aca="false">G61+G62+G63+G64</f>
        <v>48596.2755234398</v>
      </c>
    </row>
    <row r="66" customFormat="false" ht="14.25" hidden="false" customHeight="false" outlineLevel="0" collapsed="false">
      <c r="A66" s="3" t="s">
        <v>254</v>
      </c>
      <c r="B66" s="46"/>
      <c r="C66" s="46" t="n">
        <f aca="false">1/(1+$B$53)^C57</f>
        <v>0.906982202636881</v>
      </c>
      <c r="D66" s="46" t="n">
        <f aca="false">1/(1+$B$53)^D57</f>
        <v>0.822616715900047</v>
      </c>
      <c r="E66" s="46" t="n">
        <f aca="false">1/(1+$B$53)^E57</f>
        <v>0.746098720912942</v>
      </c>
      <c r="F66" s="46" t="n">
        <f aca="false">1/(1+$B$53)^F57</f>
        <v>0.676698261278179</v>
      </c>
      <c r="G66" s="46" t="n">
        <f aca="false">1/(1+$B$53)^G57</f>
        <v>0.61375327953463</v>
      </c>
    </row>
    <row r="67" customFormat="false" ht="14.25" hidden="false" customHeight="false" outlineLevel="0" collapsed="false">
      <c r="A67" s="3" t="s">
        <v>255</v>
      </c>
      <c r="B67" s="5"/>
      <c r="C67" s="5" t="n">
        <f aca="false">C65*C66</f>
        <v>38409.6501683994</v>
      </c>
      <c r="D67" s="5" t="n">
        <f aca="false">D65*D66</f>
        <v>36056.1595311755</v>
      </c>
      <c r="E67" s="5" t="n">
        <f aca="false">E65*E66</f>
        <v>33846.8753148698</v>
      </c>
      <c r="F67" s="5" t="n">
        <f aca="false">F65*F66</f>
        <v>31772.9614988474</v>
      </c>
      <c r="G67" s="5" t="n">
        <f aca="false">G65*G66</f>
        <v>29826.1234756797</v>
      </c>
    </row>
    <row r="69" customFormat="false" ht="14.25" hidden="false" customHeight="false" outlineLevel="0" collapsed="false">
      <c r="A69" s="3" t="s">
        <v>8</v>
      </c>
      <c r="B69" s="5" t="n">
        <f aca="false">SUM(C67:G67)</f>
        <v>169911.769988972</v>
      </c>
      <c r="C69" s="2"/>
      <c r="D69" s="2"/>
      <c r="E69" s="2"/>
      <c r="F69" s="2"/>
      <c r="G69" s="2"/>
    </row>
    <row r="70" customFormat="false" ht="14.25" hidden="false" customHeight="false" outlineLevel="0" collapsed="false">
      <c r="A70" s="3" t="s">
        <v>256</v>
      </c>
      <c r="B70" s="5" t="n">
        <f aca="false">G65*(1+B54)</f>
        <v>50297.1451667602</v>
      </c>
    </row>
    <row r="71" customFormat="false" ht="14.25" hidden="false" customHeight="false" outlineLevel="0" collapsed="false">
      <c r="A71" s="3" t="s">
        <v>257</v>
      </c>
      <c r="B71" s="5" t="n">
        <f aca="false">B70/(B53-B54)</f>
        <v>744509.043367592</v>
      </c>
      <c r="C71" s="2"/>
      <c r="D71" s="2"/>
      <c r="E71" s="2"/>
      <c r="F71" s="2"/>
      <c r="G71" s="2"/>
    </row>
    <row r="72" customFormat="false" ht="14.25" hidden="false" customHeight="false" outlineLevel="0" collapsed="false">
      <c r="A72" s="3" t="s">
        <v>10</v>
      </c>
      <c r="B72" s="5" t="n">
        <f aca="false">B71*G66</f>
        <v>456944.86701005</v>
      </c>
    </row>
    <row r="73" customFormat="false" ht="14.25" hidden="false" customHeight="false" outlineLevel="0" collapsed="false">
      <c r="A73" s="3" t="s">
        <v>258</v>
      </c>
      <c r="B73" s="5" t="n">
        <f aca="false">B69+B72</f>
        <v>626856.636999021</v>
      </c>
      <c r="C73" s="2"/>
      <c r="D73" s="2"/>
      <c r="E73" s="2"/>
      <c r="F73" s="2"/>
      <c r="G73" s="2"/>
    </row>
    <row r="74" customFormat="false" ht="14.25" hidden="false" customHeight="false" outlineLevel="0" collapsed="false">
      <c r="A74" s="3" t="s">
        <v>259</v>
      </c>
      <c r="B74" s="5" t="n">
        <f aca="false">-WACC!C21</f>
        <v>-80848.1</v>
      </c>
    </row>
    <row r="75" customFormat="false" ht="14.25" hidden="false" customHeight="false" outlineLevel="0" collapsed="false">
      <c r="A75" s="3" t="s">
        <v>260</v>
      </c>
      <c r="B75" s="5" t="n">
        <f aca="false">WACC!C22</f>
        <v>28591.2</v>
      </c>
    </row>
    <row r="76" customFormat="false" ht="14.25" hidden="false" customHeight="false" outlineLevel="0" collapsed="false">
      <c r="A76" s="3" t="s">
        <v>261</v>
      </c>
      <c r="B76" s="5" t="n">
        <f aca="false">-(B74+B75)</f>
        <v>52256.9</v>
      </c>
    </row>
    <row r="77" customFormat="false" ht="14.25" hidden="false" customHeight="false" outlineLevel="0" collapsed="false">
      <c r="A77" s="3" t="s">
        <v>262</v>
      </c>
      <c r="B77" s="5" t="n">
        <f aca="false">B73+B74+B75</f>
        <v>574599.736999021</v>
      </c>
      <c r="C77" s="2"/>
      <c r="D77" s="2"/>
      <c r="E77" s="2"/>
      <c r="F77" s="2"/>
      <c r="G77" s="2"/>
    </row>
    <row r="78" customFormat="false" ht="14.25" hidden="false" customHeight="false" outlineLevel="0" collapsed="false">
      <c r="A78" s="3" t="s">
        <v>57</v>
      </c>
      <c r="B78" s="5" t="n">
        <f aca="false">WACC!C17</f>
        <v>17459.712543554</v>
      </c>
    </row>
    <row r="79" customFormat="false" ht="14.25" hidden="false" customHeight="false" outlineLevel="0" collapsed="false">
      <c r="A79" s="3" t="s">
        <v>15</v>
      </c>
      <c r="B79" s="6" t="n">
        <f aca="false">B77/B78</f>
        <v>32.9100342039227</v>
      </c>
      <c r="C79" s="2"/>
      <c r="D79" s="2"/>
      <c r="E79" s="2"/>
      <c r="F79" s="2"/>
      <c r="G79" s="2"/>
    </row>
    <row r="80" customFormat="false" ht="14.25" hidden="false" customHeight="false" outlineLevel="0" collapsed="false">
      <c r="A80" s="3" t="s">
        <v>16</v>
      </c>
      <c r="B80" s="6" t="n">
        <f aca="false">WACC!C13</f>
        <v>46.6</v>
      </c>
    </row>
    <row r="81" customFormat="false" ht="14.25" hidden="false" customHeight="false" outlineLevel="0" collapsed="false">
      <c r="A81" s="3" t="s">
        <v>17</v>
      </c>
      <c r="B81" s="7" t="n">
        <f aca="false">B79/B80-1</f>
        <v>-0.293776090044576</v>
      </c>
    </row>
    <row r="82" customFormat="false" ht="14.25" hidden="false" customHeight="false" outlineLevel="0" collapsed="false">
      <c r="A82" s="3" t="s">
        <v>266</v>
      </c>
      <c r="B82" s="7" t="n">
        <f aca="false">B72/B73</f>
        <v>0.728946365149139</v>
      </c>
    </row>
    <row r="84" customFormat="false" ht="14.25" hidden="false" customHeight="false" outlineLevel="0" collapsed="false">
      <c r="A84" s="43" t="s">
        <v>193</v>
      </c>
      <c r="B84" s="44" t="s">
        <v>233</v>
      </c>
      <c r="C84" s="1" t="s">
        <v>234</v>
      </c>
      <c r="D84" s="1" t="s">
        <v>235</v>
      </c>
      <c r="E84" s="1" t="s">
        <v>236</v>
      </c>
      <c r="F84" s="1" t="s">
        <v>237</v>
      </c>
      <c r="G84" s="1" t="s">
        <v>238</v>
      </c>
      <c r="H84" s="2"/>
      <c r="I84" s="2"/>
      <c r="J84" s="2"/>
    </row>
    <row r="85" customFormat="false" ht="14.25" hidden="false" customHeight="false" outlineLevel="0" collapsed="false">
      <c r="A85" s="3" t="s">
        <v>239</v>
      </c>
      <c r="B85" s="4" t="n">
        <f aca="false">$B$5</f>
        <v>0.035</v>
      </c>
      <c r="C85" s="27"/>
      <c r="D85" s="27"/>
      <c r="E85" s="27"/>
      <c r="F85" s="27"/>
      <c r="G85" s="27"/>
    </row>
    <row r="86" customFormat="false" ht="14.25" hidden="false" customHeight="false" outlineLevel="0" collapsed="false">
      <c r="A86" s="3" t="s">
        <v>240</v>
      </c>
      <c r="B86" s="4" t="n">
        <f aca="false">Datos!G61/Datos!G58</f>
        <v>0.0511249649313535</v>
      </c>
      <c r="C86" s="27"/>
      <c r="D86" s="27"/>
      <c r="E86" s="27"/>
      <c r="F86" s="27"/>
      <c r="G86" s="27"/>
    </row>
    <row r="87" customFormat="false" ht="14.25" hidden="false" customHeight="false" outlineLevel="0" collapsed="false">
      <c r="A87" s="3" t="s">
        <v>241</v>
      </c>
      <c r="B87" s="4" t="n">
        <f aca="false">Datos!G66/Datos!G58</f>
        <v>0.0314690838029329</v>
      </c>
      <c r="C87" s="27"/>
      <c r="D87" s="27"/>
      <c r="E87" s="27"/>
      <c r="F87" s="27"/>
      <c r="G87" s="27"/>
    </row>
    <row r="88" customFormat="false" ht="14.25" hidden="false" customHeight="false" outlineLevel="0" collapsed="false">
      <c r="A88" s="3" t="s">
        <v>242</v>
      </c>
      <c r="B88" s="4" t="n">
        <f aca="false">Datos!G68/Datos!G58</f>
        <v>0.0262361052392939</v>
      </c>
      <c r="C88" s="27"/>
      <c r="D88" s="27"/>
      <c r="E88" s="27"/>
      <c r="F88" s="27"/>
      <c r="G88" s="27"/>
    </row>
    <row r="89" customFormat="false" ht="14.25" hidden="false" customHeight="false" outlineLevel="0" collapsed="false">
      <c r="A89" s="3" t="s">
        <v>243</v>
      </c>
      <c r="B89" s="4" t="n">
        <v>0</v>
      </c>
      <c r="C89" s="27"/>
      <c r="D89" s="27"/>
      <c r="E89" s="27"/>
      <c r="F89" s="27"/>
      <c r="G89" s="27"/>
    </row>
    <row r="90" customFormat="false" ht="14.25" hidden="false" customHeight="false" outlineLevel="0" collapsed="false">
      <c r="A90" s="3" t="s">
        <v>244</v>
      </c>
      <c r="B90" s="4" t="n">
        <f aca="false">WACC!D10</f>
        <v>0.3</v>
      </c>
      <c r="C90" s="27"/>
      <c r="D90" s="27"/>
      <c r="E90" s="27"/>
      <c r="F90" s="27"/>
      <c r="G90" s="27"/>
    </row>
    <row r="91" customFormat="false" ht="14.25" hidden="false" customHeight="false" outlineLevel="0" collapsed="false">
      <c r="A91" s="3" t="s">
        <v>5</v>
      </c>
      <c r="B91" s="4" t="n">
        <f aca="false">WACC!D33</f>
        <v>0.0829959605012468</v>
      </c>
      <c r="C91" s="27"/>
      <c r="D91" s="27"/>
      <c r="E91" s="27"/>
      <c r="F91" s="27"/>
      <c r="G91" s="27"/>
    </row>
    <row r="92" customFormat="false" ht="14.25" hidden="false" customHeight="false" outlineLevel="0" collapsed="false">
      <c r="A92" s="3" t="s">
        <v>6</v>
      </c>
      <c r="B92" s="4" t="n">
        <f aca="false">$B$4</f>
        <v>0.035</v>
      </c>
      <c r="C92" s="27"/>
      <c r="D92" s="27"/>
      <c r="E92" s="27"/>
      <c r="F92" s="27"/>
      <c r="G92" s="27"/>
    </row>
    <row r="94" customFormat="false" ht="14.25" hidden="false" customHeight="false" outlineLevel="0" collapsed="false">
      <c r="A94" s="1" t="s">
        <v>245</v>
      </c>
      <c r="B94" s="1" t="s">
        <v>233</v>
      </c>
      <c r="C94" s="1" t="s">
        <v>234</v>
      </c>
      <c r="D94" s="1" t="s">
        <v>235</v>
      </c>
      <c r="E94" s="1" t="s">
        <v>236</v>
      </c>
      <c r="F94" s="1" t="s">
        <v>237</v>
      </c>
      <c r="G94" s="1" t="s">
        <v>238</v>
      </c>
      <c r="H94" s="2"/>
      <c r="I94" s="2"/>
      <c r="J94" s="2"/>
    </row>
    <row r="95" customFormat="false" ht="14.25" hidden="false" customHeight="false" outlineLevel="0" collapsed="false">
      <c r="A95" s="3" t="s">
        <v>246</v>
      </c>
      <c r="B95" s="45" t="n">
        <v>0</v>
      </c>
      <c r="C95" s="45" t="n">
        <v>1</v>
      </c>
      <c r="D95" s="45" t="n">
        <v>2</v>
      </c>
      <c r="E95" s="45" t="n">
        <v>3</v>
      </c>
      <c r="F95" s="45" t="n">
        <v>4</v>
      </c>
      <c r="G95" s="45" t="n">
        <v>5</v>
      </c>
      <c r="H95" s="35"/>
      <c r="I95" s="35"/>
      <c r="J95" s="35"/>
      <c r="K95" s="35"/>
      <c r="L95" s="35"/>
    </row>
    <row r="96" customFormat="false" ht="14.25" hidden="false" customHeight="false" outlineLevel="0" collapsed="false">
      <c r="A96" s="3" t="s">
        <v>247</v>
      </c>
      <c r="B96" s="5" t="n">
        <f aca="false">Datos!G58</f>
        <v>295313.65</v>
      </c>
      <c r="C96" s="5" t="n">
        <f aca="false">B96*(1+$B$85)</f>
        <v>305649.62775</v>
      </c>
      <c r="D96" s="5" t="n">
        <f aca="false">C96*(1+$B$85)</f>
        <v>316347.36472125</v>
      </c>
      <c r="E96" s="5" t="n">
        <f aca="false">D96*(1+$B$85)</f>
        <v>327419.522486494</v>
      </c>
      <c r="F96" s="5" t="n">
        <f aca="false">E96*(1+$B$85)</f>
        <v>338879.205773521</v>
      </c>
      <c r="G96" s="5" t="n">
        <f aca="false">F96*(1+$B$85)</f>
        <v>350739.977975594</v>
      </c>
      <c r="H96" s="35"/>
      <c r="I96" s="35"/>
      <c r="J96" s="35"/>
      <c r="K96" s="35"/>
      <c r="L96" s="35"/>
    </row>
    <row r="97" customFormat="false" ht="14.25" hidden="false" customHeight="false" outlineLevel="0" collapsed="false">
      <c r="A97" s="3" t="s">
        <v>81</v>
      </c>
      <c r="B97" s="5" t="n">
        <f aca="false">Datos!G61</f>
        <v>15097.9</v>
      </c>
      <c r="C97" s="5" t="n">
        <f aca="false">C96*$B$86</f>
        <v>15626.3265</v>
      </c>
      <c r="D97" s="5" t="n">
        <f aca="false">D96*$B$86</f>
        <v>16173.2479275</v>
      </c>
      <c r="E97" s="5" t="n">
        <f aca="false">E96*$B$86</f>
        <v>16739.3116049625</v>
      </c>
      <c r="F97" s="5" t="n">
        <f aca="false">F96*$B$86</f>
        <v>17325.1875111362</v>
      </c>
      <c r="G97" s="5" t="n">
        <f aca="false">G96*$B$86</f>
        <v>17931.5690740259</v>
      </c>
      <c r="H97" s="35"/>
      <c r="I97" s="35"/>
      <c r="J97" s="35"/>
      <c r="K97" s="35"/>
      <c r="L97" s="35"/>
    </row>
    <row r="98" customFormat="false" ht="14.25" hidden="false" customHeight="false" outlineLevel="0" collapsed="false">
      <c r="A98" s="3" t="s">
        <v>248</v>
      </c>
      <c r="B98" s="5" t="n">
        <f aca="false">-B97*$B$90</f>
        <v>-4529.37</v>
      </c>
      <c r="C98" s="5" t="n">
        <f aca="false">-C97*$B$90</f>
        <v>-4687.89795</v>
      </c>
      <c r="D98" s="5" t="n">
        <f aca="false">-D97*$B$90</f>
        <v>-4851.97437825</v>
      </c>
      <c r="E98" s="5" t="n">
        <f aca="false">-E97*$B$90</f>
        <v>-5021.79348148875</v>
      </c>
      <c r="F98" s="5" t="n">
        <f aca="false">-F97*$B$90</f>
        <v>-5197.55625334085</v>
      </c>
      <c r="G98" s="5" t="n">
        <f aca="false">-G97*$B$90</f>
        <v>-5379.47072220778</v>
      </c>
      <c r="H98" s="35"/>
      <c r="I98" s="35"/>
      <c r="J98" s="35"/>
      <c r="K98" s="35"/>
      <c r="L98" s="35"/>
    </row>
    <row r="99" customFormat="false" ht="14.25" hidden="false" customHeight="false" outlineLevel="0" collapsed="false">
      <c r="A99" s="3" t="s">
        <v>249</v>
      </c>
      <c r="B99" s="5" t="n">
        <f aca="false">B97+B98</f>
        <v>10568.53</v>
      </c>
      <c r="C99" s="5" t="n">
        <f aca="false">C97+C98</f>
        <v>10938.42855</v>
      </c>
      <c r="D99" s="5" t="n">
        <f aca="false">D97+D98</f>
        <v>11321.27354925</v>
      </c>
      <c r="E99" s="5" t="n">
        <f aca="false">E97+E98</f>
        <v>11717.5181234737</v>
      </c>
      <c r="F99" s="5" t="n">
        <f aca="false">F97+F98</f>
        <v>12127.6312577953</v>
      </c>
      <c r="G99" s="5" t="n">
        <f aca="false">G97+G98</f>
        <v>12552.0983518182</v>
      </c>
      <c r="H99" s="35"/>
      <c r="I99" s="35"/>
      <c r="J99" s="35"/>
      <c r="K99" s="35"/>
      <c r="L99" s="35"/>
    </row>
    <row r="100" customFormat="false" ht="14.25" hidden="false" customHeight="false" outlineLevel="0" collapsed="false">
      <c r="A100" s="3" t="s">
        <v>250</v>
      </c>
      <c r="B100" s="5" t="n">
        <f aca="false">Datos!G66</f>
        <v>9293.25</v>
      </c>
      <c r="C100" s="5" t="n">
        <f aca="false">C96*$B$87</f>
        <v>9618.51375</v>
      </c>
      <c r="D100" s="5" t="n">
        <f aca="false">D96*$B$87</f>
        <v>9955.16173125</v>
      </c>
      <c r="E100" s="5" t="n">
        <f aca="false">E96*$B$87</f>
        <v>10303.5923918438</v>
      </c>
      <c r="F100" s="5" t="n">
        <f aca="false">F96*$B$87</f>
        <v>10664.2181255583</v>
      </c>
      <c r="G100" s="5" t="n">
        <f aca="false">G96*$B$87</f>
        <v>11037.4657599528</v>
      </c>
      <c r="H100" s="35"/>
      <c r="I100" s="35"/>
      <c r="J100" s="35"/>
      <c r="K100" s="35"/>
      <c r="L100" s="35"/>
    </row>
    <row r="101" customFormat="false" ht="14.25" hidden="false" customHeight="false" outlineLevel="0" collapsed="false">
      <c r="A101" s="3" t="s">
        <v>251</v>
      </c>
      <c r="B101" s="5" t="n">
        <f aca="false">-Datos!G68</f>
        <v>-7747.88</v>
      </c>
      <c r="C101" s="5" t="n">
        <f aca="false">-C96*$B$88</f>
        <v>-8019.0558</v>
      </c>
      <c r="D101" s="5" t="n">
        <f aca="false">-D96*$B$88</f>
        <v>-8299.722753</v>
      </c>
      <c r="E101" s="5" t="n">
        <f aca="false">-E96*$B$88</f>
        <v>-8590.213049355</v>
      </c>
      <c r="F101" s="5" t="n">
        <f aca="false">-F96*$B$88</f>
        <v>-8890.87050608242</v>
      </c>
      <c r="G101" s="5" t="n">
        <f aca="false">-G96*$B$88</f>
        <v>-9202.05097379531</v>
      </c>
      <c r="H101" s="35"/>
      <c r="I101" s="35"/>
      <c r="J101" s="35"/>
      <c r="K101" s="35"/>
      <c r="L101" s="35"/>
    </row>
    <row r="102" customFormat="false" ht="14.25" hidden="false" customHeight="false" outlineLevel="0" collapsed="false">
      <c r="A102" s="3" t="s">
        <v>252</v>
      </c>
      <c r="B102" s="5" t="n">
        <v>0</v>
      </c>
      <c r="C102" s="5" t="n">
        <f aca="false">-(C96-B96)*$B$89</f>
        <v>-0</v>
      </c>
      <c r="D102" s="5" t="n">
        <f aca="false">-(D96-C96)*$B$89</f>
        <v>-0</v>
      </c>
      <c r="E102" s="5" t="n">
        <f aca="false">-(E96-D96)*$B$89</f>
        <v>-0</v>
      </c>
      <c r="F102" s="5" t="n">
        <f aca="false">-(F96-E96)*$B$89</f>
        <v>-0</v>
      </c>
      <c r="G102" s="5" t="n">
        <f aca="false">-(G96-F96)*$B$89</f>
        <v>-0</v>
      </c>
      <c r="H102" s="35"/>
      <c r="I102" s="35"/>
      <c r="J102" s="35"/>
      <c r="K102" s="35"/>
      <c r="L102" s="35"/>
    </row>
    <row r="103" customFormat="false" ht="14.25" hidden="false" customHeight="false" outlineLevel="0" collapsed="false">
      <c r="A103" s="3" t="s">
        <v>253</v>
      </c>
      <c r="B103" s="5" t="n">
        <f aca="false">B99+B100+B101+B102</f>
        <v>12113.9</v>
      </c>
      <c r="C103" s="5" t="n">
        <f aca="false">C99+C100+C101+C102</f>
        <v>12537.8865</v>
      </c>
      <c r="D103" s="5" t="n">
        <f aca="false">D99+D100+D101+D102</f>
        <v>12976.7125275</v>
      </c>
      <c r="E103" s="5" t="n">
        <f aca="false">E99+E100+E101+E102</f>
        <v>13430.8974659625</v>
      </c>
      <c r="F103" s="5" t="n">
        <f aca="false">F99+F100+F101+F102</f>
        <v>13900.9788772712</v>
      </c>
      <c r="G103" s="5" t="n">
        <f aca="false">G99+G100+G101+G102</f>
        <v>14387.5131379757</v>
      </c>
      <c r="H103" s="35"/>
      <c r="I103" s="35"/>
      <c r="J103" s="35"/>
      <c r="K103" s="35"/>
      <c r="L103" s="35"/>
    </row>
    <row r="104" customFormat="false" ht="14.25" hidden="false" customHeight="false" outlineLevel="0" collapsed="false">
      <c r="A104" s="3" t="s">
        <v>254</v>
      </c>
      <c r="B104" s="46"/>
      <c r="C104" s="46" t="n">
        <f aca="false">1/(1+$B$91)^C95</f>
        <v>0.923364478236065</v>
      </c>
      <c r="D104" s="46" t="n">
        <f aca="false">1/(1+$B$91)^D95</f>
        <v>0.852601959668161</v>
      </c>
      <c r="E104" s="46" t="n">
        <f aca="false">1/(1+$B$91)^E95</f>
        <v>0.787262363632038</v>
      </c>
      <c r="F104" s="46" t="n">
        <f aca="false">1/(1+$B$91)^F95</f>
        <v>0.726930101629988</v>
      </c>
      <c r="G104" s="46" t="n">
        <f aca="false">1/(1+$B$91)^G95</f>
        <v>0.671221434005664</v>
      </c>
      <c r="H104" s="35"/>
      <c r="I104" s="35"/>
      <c r="J104" s="35"/>
      <c r="K104" s="35"/>
      <c r="L104" s="35"/>
    </row>
    <row r="105" customFormat="false" ht="14.25" hidden="false" customHeight="false" outlineLevel="0" collapsed="false">
      <c r="A105" s="3" t="s">
        <v>255</v>
      </c>
      <c r="B105" s="5"/>
      <c r="C105" s="5" t="n">
        <f aca="false">C103*C104</f>
        <v>11577.0390262555</v>
      </c>
      <c r="D105" s="5" t="n">
        <f aca="false">D103*D104</f>
        <v>11063.9705309969</v>
      </c>
      <c r="E105" s="5" t="n">
        <f aca="false">E103*E104</f>
        <v>10573.6400847532</v>
      </c>
      <c r="F105" s="5" t="n">
        <f aca="false">F103*F104</f>
        <v>10105.0399880111</v>
      </c>
      <c r="G105" s="5" t="n">
        <f aca="false">G103*G104</f>
        <v>9657.20720024736</v>
      </c>
      <c r="H105" s="35"/>
      <c r="I105" s="35"/>
      <c r="J105" s="35"/>
      <c r="K105" s="35"/>
      <c r="L105" s="35"/>
    </row>
    <row r="106" customFormat="false" ht="14.25" hidden="false" customHeight="false" outlineLevel="0" collapsed="false"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</row>
    <row r="107" customFormat="false" ht="14.25" hidden="false" customHeight="false" outlineLevel="0" collapsed="false">
      <c r="A107" s="3" t="s">
        <v>8</v>
      </c>
      <c r="B107" s="5" t="n">
        <f aca="false">SUM(C105:G105)</f>
        <v>52976.896830264</v>
      </c>
      <c r="C107" s="47"/>
      <c r="D107" s="47"/>
      <c r="E107" s="47"/>
      <c r="F107" s="47"/>
      <c r="G107" s="47"/>
      <c r="H107" s="35"/>
      <c r="I107" s="35"/>
      <c r="J107" s="35"/>
      <c r="K107" s="35"/>
      <c r="L107" s="35"/>
    </row>
    <row r="108" customFormat="false" ht="14.25" hidden="false" customHeight="false" outlineLevel="0" collapsed="false">
      <c r="A108" s="3" t="s">
        <v>256</v>
      </c>
      <c r="B108" s="5" t="n">
        <f aca="false">G103*(1+B92)</f>
        <v>14891.0760978048</v>
      </c>
    </row>
    <row r="109" customFormat="false" ht="14.25" hidden="false" customHeight="false" outlineLevel="0" collapsed="false">
      <c r="A109" s="3" t="s">
        <v>257</v>
      </c>
      <c r="B109" s="5" t="n">
        <f aca="false">B108/(B91-B92)</f>
        <v>310256.862083591</v>
      </c>
      <c r="C109" s="2"/>
      <c r="D109" s="2"/>
      <c r="E109" s="2"/>
      <c r="F109" s="2"/>
      <c r="G109" s="2"/>
    </row>
    <row r="110" customFormat="false" ht="14.25" hidden="false" customHeight="false" outlineLevel="0" collapsed="false">
      <c r="A110" s="3" t="s">
        <v>10</v>
      </c>
      <c r="B110" s="5" t="n">
        <f aca="false">B109*G104</f>
        <v>208251.055877846</v>
      </c>
    </row>
    <row r="111" customFormat="false" ht="14.25" hidden="false" customHeight="false" outlineLevel="0" collapsed="false">
      <c r="A111" s="3" t="s">
        <v>258</v>
      </c>
      <c r="B111" s="5" t="n">
        <f aca="false">B107+B110</f>
        <v>261227.952708109</v>
      </c>
      <c r="C111" s="2"/>
      <c r="D111" s="2"/>
      <c r="E111" s="2"/>
      <c r="F111" s="2"/>
      <c r="G111" s="2"/>
    </row>
    <row r="112" customFormat="false" ht="14.25" hidden="false" customHeight="false" outlineLevel="0" collapsed="false">
      <c r="A112" s="3" t="s">
        <v>259</v>
      </c>
      <c r="B112" s="5" t="n">
        <f aca="false">-WACC!D21</f>
        <v>-56744.34</v>
      </c>
    </row>
    <row r="113" customFormat="false" ht="14.25" hidden="false" customHeight="false" outlineLevel="0" collapsed="false">
      <c r="A113" s="3" t="s">
        <v>260</v>
      </c>
      <c r="B113" s="5" t="n">
        <f aca="false">WACC!D22</f>
        <v>14640.16</v>
      </c>
    </row>
    <row r="114" customFormat="false" ht="14.25" hidden="false" customHeight="false" outlineLevel="0" collapsed="false">
      <c r="A114" s="3" t="s">
        <v>261</v>
      </c>
      <c r="B114" s="5" t="n">
        <f aca="false">-(B112+B113)</f>
        <v>42104.18</v>
      </c>
    </row>
    <row r="115" customFormat="false" ht="14.25" hidden="false" customHeight="false" outlineLevel="0" collapsed="false">
      <c r="A115" s="3" t="s">
        <v>262</v>
      </c>
      <c r="B115" s="5" t="n">
        <f aca="false">B111+B112+B113</f>
        <v>219123.772708109</v>
      </c>
      <c r="C115" s="2"/>
      <c r="D115" s="2"/>
      <c r="E115" s="2"/>
      <c r="F115" s="2"/>
      <c r="G115" s="2"/>
    </row>
    <row r="116" customFormat="false" ht="14.25" hidden="false" customHeight="false" outlineLevel="0" collapsed="false">
      <c r="A116" s="3" t="s">
        <v>57</v>
      </c>
      <c r="B116" s="5" t="n">
        <f aca="false">WACC!D17</f>
        <v>960.254200775528</v>
      </c>
    </row>
    <row r="117" customFormat="false" ht="14.25" hidden="false" customHeight="false" outlineLevel="0" collapsed="false">
      <c r="A117" s="3" t="s">
        <v>15</v>
      </c>
      <c r="B117" s="6" t="n">
        <f aca="false">B115/B116</f>
        <v>228.193505981165</v>
      </c>
      <c r="C117" s="2"/>
      <c r="D117" s="2"/>
      <c r="E117" s="2"/>
      <c r="F117" s="2"/>
      <c r="G117" s="2"/>
    </row>
    <row r="118" customFormat="false" ht="14.25" hidden="false" customHeight="false" outlineLevel="0" collapsed="false">
      <c r="A118" s="3" t="s">
        <v>16</v>
      </c>
      <c r="B118" s="6" t="n">
        <f aca="false">WACC!D13</f>
        <v>92.94</v>
      </c>
    </row>
    <row r="119" customFormat="false" ht="14.25" hidden="false" customHeight="false" outlineLevel="0" collapsed="false">
      <c r="A119" s="3" t="s">
        <v>17</v>
      </c>
      <c r="B119" s="7" t="n">
        <f aca="false">B117/B118-1</f>
        <v>1.45527766280574</v>
      </c>
    </row>
    <row r="120" customFormat="false" ht="14.25" hidden="false" customHeight="false" outlineLevel="0" collapsed="false">
      <c r="A120" s="3" t="s">
        <v>266</v>
      </c>
      <c r="B120" s="7" t="n">
        <f aca="false">B110/B111</f>
        <v>0.797200505225185</v>
      </c>
    </row>
    <row r="122" customFormat="false" ht="14.25" hidden="false" customHeight="false" outlineLevel="0" collapsed="false">
      <c r="A122" s="43" t="s">
        <v>194</v>
      </c>
      <c r="B122" s="44" t="s">
        <v>233</v>
      </c>
      <c r="C122" s="1" t="s">
        <v>234</v>
      </c>
      <c r="D122" s="1" t="s">
        <v>235</v>
      </c>
      <c r="E122" s="1" t="s">
        <v>236</v>
      </c>
      <c r="F122" s="1" t="s">
        <v>237</v>
      </c>
      <c r="G122" s="1" t="s">
        <v>238</v>
      </c>
      <c r="H122" s="2"/>
      <c r="I122" s="2"/>
      <c r="J122" s="2"/>
    </row>
    <row r="123" customFormat="false" ht="14.25" hidden="false" customHeight="false" outlineLevel="0" collapsed="false">
      <c r="A123" s="3" t="s">
        <v>239</v>
      </c>
      <c r="B123" s="4" t="n">
        <f aca="false">$B$5</f>
        <v>0.035</v>
      </c>
      <c r="C123" s="27"/>
      <c r="D123" s="27"/>
      <c r="E123" s="27"/>
      <c r="F123" s="27"/>
      <c r="G123" s="27"/>
    </row>
    <row r="124" customFormat="false" ht="14.25" hidden="false" customHeight="false" outlineLevel="0" collapsed="false">
      <c r="A124" s="3" t="s">
        <v>240</v>
      </c>
      <c r="B124" s="4" t="n">
        <f aca="false">Datos!G87/Datos!G84</f>
        <v>0.0749907841160242</v>
      </c>
      <c r="C124" s="27"/>
      <c r="D124" s="27"/>
      <c r="E124" s="27"/>
      <c r="F124" s="27"/>
      <c r="G124" s="27"/>
    </row>
    <row r="125" customFormat="false" ht="14.25" hidden="false" customHeight="false" outlineLevel="0" collapsed="false">
      <c r="A125" s="3" t="s">
        <v>241</v>
      </c>
      <c r="B125" s="4" t="n">
        <f aca="false">Datos!G92/Datos!G84</f>
        <v>0.0347332531372563</v>
      </c>
      <c r="C125" s="27"/>
      <c r="D125" s="27"/>
      <c r="E125" s="27"/>
      <c r="F125" s="27"/>
      <c r="G125" s="27"/>
    </row>
    <row r="126" customFormat="false" ht="14.25" hidden="false" customHeight="false" outlineLevel="0" collapsed="false">
      <c r="A126" s="3" t="s">
        <v>242</v>
      </c>
      <c r="B126" s="4" t="n">
        <f aca="false">Datos!G94/Datos!G84</f>
        <v>0.0808530205211796</v>
      </c>
      <c r="C126" s="27"/>
      <c r="D126" s="27"/>
      <c r="E126" s="27"/>
      <c r="F126" s="27"/>
      <c r="G126" s="27"/>
    </row>
    <row r="127" customFormat="false" ht="14.25" hidden="false" customHeight="false" outlineLevel="0" collapsed="false">
      <c r="A127" s="3" t="s">
        <v>243</v>
      </c>
      <c r="B127" s="4" t="n">
        <v>0</v>
      </c>
      <c r="C127" s="27"/>
      <c r="D127" s="27"/>
      <c r="E127" s="27"/>
      <c r="F127" s="27"/>
      <c r="G127" s="27"/>
    </row>
    <row r="128" customFormat="false" ht="14.25" hidden="false" customHeight="false" outlineLevel="0" collapsed="false">
      <c r="A128" s="3" t="s">
        <v>244</v>
      </c>
      <c r="B128" s="4" t="n">
        <f aca="false">WACC!E10</f>
        <v>0.3</v>
      </c>
      <c r="C128" s="27"/>
      <c r="D128" s="27"/>
      <c r="E128" s="27"/>
      <c r="F128" s="27"/>
      <c r="G128" s="27"/>
    </row>
    <row r="129" customFormat="false" ht="14.25" hidden="false" customHeight="false" outlineLevel="0" collapsed="false">
      <c r="A129" s="3" t="s">
        <v>5</v>
      </c>
      <c r="B129" s="4" t="n">
        <f aca="false">WACC!E33</f>
        <v>0.100977204437906</v>
      </c>
      <c r="C129" s="27"/>
      <c r="D129" s="27"/>
      <c r="E129" s="27"/>
      <c r="F129" s="27"/>
      <c r="G129" s="27"/>
    </row>
    <row r="130" customFormat="false" ht="14.25" hidden="false" customHeight="false" outlineLevel="0" collapsed="false">
      <c r="A130" s="3" t="s">
        <v>6</v>
      </c>
      <c r="B130" s="4" t="n">
        <f aca="false">$B$4</f>
        <v>0.035</v>
      </c>
      <c r="C130" s="27"/>
      <c r="D130" s="27"/>
      <c r="E130" s="27"/>
      <c r="F130" s="27"/>
      <c r="G130" s="27"/>
    </row>
    <row r="132" customFormat="false" ht="14.25" hidden="false" customHeight="false" outlineLevel="0" collapsed="false">
      <c r="A132" s="1" t="s">
        <v>245</v>
      </c>
      <c r="B132" s="1" t="s">
        <v>233</v>
      </c>
      <c r="C132" s="1" t="s">
        <v>234</v>
      </c>
      <c r="D132" s="1" t="s">
        <v>235</v>
      </c>
      <c r="E132" s="1" t="s">
        <v>236</v>
      </c>
      <c r="F132" s="1" t="s">
        <v>237</v>
      </c>
      <c r="G132" s="1" t="s">
        <v>238</v>
      </c>
      <c r="H132" s="2"/>
      <c r="I132" s="2"/>
      <c r="J132" s="2"/>
    </row>
    <row r="133" customFormat="false" ht="14.25" hidden="false" customHeight="false" outlineLevel="0" collapsed="false">
      <c r="A133" s="3" t="s">
        <v>246</v>
      </c>
      <c r="B133" s="45" t="n">
        <v>0</v>
      </c>
      <c r="C133" s="45" t="n">
        <v>1</v>
      </c>
      <c r="D133" s="45" t="n">
        <v>2</v>
      </c>
      <c r="E133" s="45" t="n">
        <v>3</v>
      </c>
      <c r="F133" s="45" t="n">
        <v>4</v>
      </c>
      <c r="G133" s="45" t="n">
        <v>5</v>
      </c>
    </row>
    <row r="134" customFormat="false" ht="14.25" hidden="false" customHeight="false" outlineLevel="0" collapsed="false">
      <c r="A134" s="3" t="s">
        <v>247</v>
      </c>
      <c r="B134" s="5" t="n">
        <f aca="false">Datos!G84</f>
        <v>47526.64</v>
      </c>
      <c r="C134" s="5" t="n">
        <f aca="false">B134*(1+$B$123)</f>
        <v>49190.0724</v>
      </c>
      <c r="D134" s="5" t="n">
        <f aca="false">C134*(1+$B$123)</f>
        <v>50911.724934</v>
      </c>
      <c r="E134" s="5" t="n">
        <f aca="false">D134*(1+$B$123)</f>
        <v>52693.63530669</v>
      </c>
      <c r="F134" s="5" t="n">
        <f aca="false">E134*(1+$B$123)</f>
        <v>54537.9125424241</v>
      </c>
      <c r="G134" s="5" t="n">
        <f aca="false">F134*(1+$B$123)</f>
        <v>56446.739481409</v>
      </c>
    </row>
    <row r="135" customFormat="false" ht="14.25" hidden="false" customHeight="false" outlineLevel="0" collapsed="false">
      <c r="A135" s="3" t="s">
        <v>81</v>
      </c>
      <c r="B135" s="5" t="n">
        <f aca="false">Datos!G87</f>
        <v>3564.06</v>
      </c>
      <c r="C135" s="5" t="n">
        <f aca="false">C134*$B$124</f>
        <v>3688.8021</v>
      </c>
      <c r="D135" s="5" t="n">
        <f aca="false">D134*$B$124</f>
        <v>3817.9101735</v>
      </c>
      <c r="E135" s="5" t="n">
        <f aca="false">E134*$B$124</f>
        <v>3951.5370295725</v>
      </c>
      <c r="F135" s="5" t="n">
        <f aca="false">F134*$B$124</f>
        <v>4089.84082560754</v>
      </c>
      <c r="G135" s="5" t="n">
        <f aca="false">G134*$B$124</f>
        <v>4232.9852545038</v>
      </c>
    </row>
    <row r="136" customFormat="false" ht="14.25" hidden="false" customHeight="false" outlineLevel="0" collapsed="false">
      <c r="A136" s="3" t="s">
        <v>248</v>
      </c>
      <c r="B136" s="5" t="n">
        <f aca="false">-B135*$B$128</f>
        <v>-1069.218</v>
      </c>
      <c r="C136" s="5" t="n">
        <f aca="false">-C135*$B$128</f>
        <v>-1106.64063</v>
      </c>
      <c r="D136" s="5" t="n">
        <f aca="false">-D135*$B$128</f>
        <v>-1145.37305205</v>
      </c>
      <c r="E136" s="5" t="n">
        <f aca="false">-E135*$B$128</f>
        <v>-1185.46110887175</v>
      </c>
      <c r="F136" s="5" t="n">
        <f aca="false">-F135*$B$128</f>
        <v>-1226.95224768226</v>
      </c>
      <c r="G136" s="5" t="n">
        <f aca="false">-G135*$B$128</f>
        <v>-1269.89557635114</v>
      </c>
    </row>
    <row r="137" customFormat="false" ht="14.25" hidden="false" customHeight="false" outlineLevel="0" collapsed="false">
      <c r="A137" s="3" t="s">
        <v>249</v>
      </c>
      <c r="B137" s="5" t="n">
        <f aca="false">B135+B136</f>
        <v>2494.842</v>
      </c>
      <c r="C137" s="5" t="n">
        <f aca="false">C135+C136</f>
        <v>2582.16147</v>
      </c>
      <c r="D137" s="5" t="n">
        <f aca="false">D135+D136</f>
        <v>2672.53712145</v>
      </c>
      <c r="E137" s="5" t="n">
        <f aca="false">E135+E136</f>
        <v>2766.07592070075</v>
      </c>
      <c r="F137" s="5" t="n">
        <f aca="false">F135+F136</f>
        <v>2862.88857792528</v>
      </c>
      <c r="G137" s="5" t="n">
        <f aca="false">G135+G136</f>
        <v>2963.08967815266</v>
      </c>
    </row>
    <row r="138" customFormat="false" ht="14.25" hidden="false" customHeight="false" outlineLevel="0" collapsed="false">
      <c r="A138" s="3" t="s">
        <v>250</v>
      </c>
      <c r="B138" s="5" t="n">
        <f aca="false">Datos!G92</f>
        <v>1650.75481788325</v>
      </c>
      <c r="C138" s="5" t="n">
        <f aca="false">C134*$B$125</f>
        <v>1708.53123650916</v>
      </c>
      <c r="D138" s="5" t="n">
        <f aca="false">D134*$B$125</f>
        <v>1768.32982978699</v>
      </c>
      <c r="E138" s="5" t="n">
        <f aca="false">E134*$B$125</f>
        <v>1830.22137382953</v>
      </c>
      <c r="F138" s="5" t="n">
        <f aca="false">F134*$B$125</f>
        <v>1894.27912191356</v>
      </c>
      <c r="G138" s="5" t="n">
        <f aca="false">G134*$B$125</f>
        <v>1960.57889118054</v>
      </c>
    </row>
    <row r="139" customFormat="false" ht="14.25" hidden="false" customHeight="false" outlineLevel="0" collapsed="false">
      <c r="A139" s="3" t="s">
        <v>251</v>
      </c>
      <c r="B139" s="5" t="n">
        <f aca="false">-Datos!G94</f>
        <v>-3842.67239922271</v>
      </c>
      <c r="C139" s="5" t="n">
        <f aca="false">-C134*$B$126</f>
        <v>-3977.16593319551</v>
      </c>
      <c r="D139" s="5" t="n">
        <f aca="false">-D134*$B$126</f>
        <v>-4116.36674085735</v>
      </c>
      <c r="E139" s="5" t="n">
        <f aca="false">-E134*$B$126</f>
        <v>-4260.43957678736</v>
      </c>
      <c r="F139" s="5" t="n">
        <f aca="false">-F134*$B$126</f>
        <v>-4409.55496197492</v>
      </c>
      <c r="G139" s="5" t="n">
        <f aca="false">-G134*$B$126</f>
        <v>-4563.88938564404</v>
      </c>
    </row>
    <row r="140" customFormat="false" ht="14.25" hidden="false" customHeight="false" outlineLevel="0" collapsed="false">
      <c r="A140" s="3" t="s">
        <v>252</v>
      </c>
      <c r="B140" s="5" t="n">
        <v>0</v>
      </c>
      <c r="C140" s="5" t="n">
        <f aca="false">-(C134-B134)*$B$127</f>
        <v>-0</v>
      </c>
      <c r="D140" s="5" t="n">
        <f aca="false">-(D134-C134)*$B$127</f>
        <v>-0</v>
      </c>
      <c r="E140" s="5" t="n">
        <f aca="false">-(E134-D134)*$B$127</f>
        <v>-0</v>
      </c>
      <c r="F140" s="5" t="n">
        <f aca="false">-(F134-E134)*$B$127</f>
        <v>-0</v>
      </c>
      <c r="G140" s="5" t="n">
        <f aca="false">-(G134-F134)*$B$127</f>
        <v>-0</v>
      </c>
    </row>
    <row r="141" customFormat="false" ht="14.25" hidden="false" customHeight="false" outlineLevel="0" collapsed="false">
      <c r="A141" s="3" t="s">
        <v>253</v>
      </c>
      <c r="B141" s="5" t="n">
        <f aca="false">B137+B138+B139+B140</f>
        <v>302.924418660537</v>
      </c>
      <c r="C141" s="5" t="n">
        <f aca="false">C137+C138+C139+C140</f>
        <v>313.526773313655</v>
      </c>
      <c r="D141" s="5" t="n">
        <f aca="false">D137+D138+D139+D140</f>
        <v>324.500210379633</v>
      </c>
      <c r="E141" s="5" t="n">
        <f aca="false">E137+E138+E139+E140</f>
        <v>335.857717742921</v>
      </c>
      <c r="F141" s="5" t="n">
        <f aca="false">F137+F138+F139+F140</f>
        <v>347.612737863922</v>
      </c>
      <c r="G141" s="5" t="n">
        <f aca="false">G137+G138+G139+G140</f>
        <v>359.77918368916</v>
      </c>
    </row>
    <row r="142" customFormat="false" ht="14.25" hidden="false" customHeight="false" outlineLevel="0" collapsed="false">
      <c r="A142" s="3" t="s">
        <v>254</v>
      </c>
      <c r="B142" s="46"/>
      <c r="C142" s="46" t="n">
        <f aca="false">1/(1+$B$129)^C133</f>
        <v>0.908284018932564</v>
      </c>
      <c r="D142" s="46" t="n">
        <f aca="false">1/(1+$B$129)^D133</f>
        <v>0.82497985904829</v>
      </c>
      <c r="E142" s="46" t="n">
        <f aca="false">1/(1+$B$129)^E133</f>
        <v>0.749316021914801</v>
      </c>
      <c r="F142" s="46" t="n">
        <f aca="false">1/(1+$B$129)^F133</f>
        <v>0.680591767835336</v>
      </c>
      <c r="G142" s="46" t="n">
        <f aca="false">1/(1+$B$129)^G133</f>
        <v>0.618170626141898</v>
      </c>
    </row>
    <row r="143" customFormat="false" ht="14.25" hidden="false" customHeight="false" outlineLevel="0" collapsed="false">
      <c r="A143" s="3" t="s">
        <v>255</v>
      </c>
      <c r="B143" s="5"/>
      <c r="C143" s="5" t="n">
        <f aca="false">C141*C142</f>
        <v>284.771357708285</v>
      </c>
      <c r="D143" s="5" t="n">
        <f aca="false">D141*D142</f>
        <v>267.70613782013</v>
      </c>
      <c r="E143" s="5" t="n">
        <f aca="false">E141*E142</f>
        <v>251.663568988509</v>
      </c>
      <c r="F143" s="5" t="n">
        <f aca="false">F141*F142</f>
        <v>236.582367784888</v>
      </c>
      <c r="G143" s="5" t="n">
        <f aca="false">G141*G142</f>
        <v>222.404923253949</v>
      </c>
    </row>
    <row r="145" customFormat="false" ht="14.25" hidden="false" customHeight="false" outlineLevel="0" collapsed="false">
      <c r="A145" s="3" t="s">
        <v>8</v>
      </c>
      <c r="B145" s="5" t="n">
        <f aca="false">SUM(C143:G143)</f>
        <v>1263.12835555576</v>
      </c>
      <c r="C145" s="2"/>
      <c r="D145" s="2"/>
      <c r="E145" s="2"/>
      <c r="F145" s="2"/>
      <c r="G145" s="2"/>
    </row>
    <row r="146" customFormat="false" ht="14.25" hidden="false" customHeight="false" outlineLevel="0" collapsed="false">
      <c r="A146" s="3" t="s">
        <v>256</v>
      </c>
      <c r="B146" s="5" t="n">
        <f aca="false">G141*(1+B130)</f>
        <v>372.371455118281</v>
      </c>
    </row>
    <row r="147" customFormat="false" ht="14.25" hidden="false" customHeight="false" outlineLevel="0" collapsed="false">
      <c r="A147" s="3" t="s">
        <v>257</v>
      </c>
      <c r="B147" s="5" t="n">
        <f aca="false">B146/(B129-B130)</f>
        <v>5643.9410898159</v>
      </c>
      <c r="C147" s="2"/>
      <c r="D147" s="2"/>
      <c r="E147" s="2"/>
      <c r="F147" s="2"/>
      <c r="G147" s="2"/>
    </row>
    <row r="148" customFormat="false" ht="14.25" hidden="false" customHeight="false" outlineLevel="0" collapsed="false">
      <c r="A148" s="3" t="s">
        <v>10</v>
      </c>
      <c r="B148" s="5" t="n">
        <f aca="false">B147*G142</f>
        <v>3488.91859739948</v>
      </c>
    </row>
    <row r="149" customFormat="false" ht="14.25" hidden="false" customHeight="false" outlineLevel="0" collapsed="false">
      <c r="A149" s="3" t="s">
        <v>258</v>
      </c>
      <c r="B149" s="5" t="n">
        <f aca="false">B145+B148</f>
        <v>4752.04695295524</v>
      </c>
      <c r="C149" s="2"/>
      <c r="D149" s="2"/>
      <c r="E149" s="2"/>
      <c r="F149" s="2"/>
      <c r="G149" s="2"/>
    </row>
    <row r="150" customFormat="false" ht="14.25" hidden="false" customHeight="false" outlineLevel="0" collapsed="false">
      <c r="A150" s="3" t="s">
        <v>259</v>
      </c>
      <c r="B150" s="5" t="n">
        <f aca="false">-WACC!E21</f>
        <v>-2441.8</v>
      </c>
    </row>
    <row r="151" customFormat="false" ht="14.25" hidden="false" customHeight="false" outlineLevel="0" collapsed="false">
      <c r="A151" s="3" t="s">
        <v>260</v>
      </c>
      <c r="B151" s="5" t="n">
        <f aca="false">WACC!E22</f>
        <v>2962.8</v>
      </c>
    </row>
    <row r="152" customFormat="false" ht="14.25" hidden="false" customHeight="false" outlineLevel="0" collapsed="false">
      <c r="A152" s="3" t="s">
        <v>261</v>
      </c>
      <c r="B152" s="5" t="n">
        <f aca="false">-(B150+B151)</f>
        <v>-521</v>
      </c>
    </row>
    <row r="153" customFormat="false" ht="14.25" hidden="false" customHeight="false" outlineLevel="0" collapsed="false">
      <c r="A153" s="3" t="s">
        <v>262</v>
      </c>
      <c r="B153" s="5" t="n">
        <f aca="false">B149+B150+B151</f>
        <v>5273.04695295524</v>
      </c>
      <c r="C153" s="2"/>
      <c r="D153" s="2"/>
      <c r="E153" s="2"/>
      <c r="F153" s="2"/>
      <c r="G153" s="2"/>
    </row>
    <row r="154" customFormat="false" ht="14.25" hidden="false" customHeight="false" outlineLevel="0" collapsed="false">
      <c r="A154" s="3" t="s">
        <v>57</v>
      </c>
      <c r="B154" s="5" t="n">
        <f aca="false">WACC!E17</f>
        <v>1065.77306733167</v>
      </c>
    </row>
    <row r="155" customFormat="false" ht="14.25" hidden="false" customHeight="false" outlineLevel="0" collapsed="false">
      <c r="A155" s="3" t="s">
        <v>15</v>
      </c>
      <c r="B155" s="6" t="n">
        <f aca="false">B153/B154</f>
        <v>4.94762638931864</v>
      </c>
      <c r="C155" s="2"/>
      <c r="D155" s="2"/>
      <c r="E155" s="2"/>
      <c r="F155" s="2"/>
      <c r="G155" s="2"/>
    </row>
    <row r="156" customFormat="false" ht="14.25" hidden="false" customHeight="false" outlineLevel="0" collapsed="false">
      <c r="A156" s="3" t="s">
        <v>16</v>
      </c>
      <c r="B156" s="6" t="n">
        <f aca="false">WACC!E13</f>
        <v>32.08</v>
      </c>
    </row>
    <row r="157" customFormat="false" ht="14.25" hidden="false" customHeight="false" outlineLevel="0" collapsed="false">
      <c r="A157" s="3" t="s">
        <v>17</v>
      </c>
      <c r="B157" s="7" t="n">
        <f aca="false">B155/B156-1</f>
        <v>-0.845772244721988</v>
      </c>
    </row>
    <row r="158" customFormat="false" ht="14.25" hidden="false" customHeight="false" outlineLevel="0" collapsed="false">
      <c r="A158" s="3" t="s">
        <v>266</v>
      </c>
      <c r="B158" s="7" t="n">
        <f aca="false">B148/B149</f>
        <v>0.734192787221886</v>
      </c>
    </row>
    <row r="159" customFormat="false" ht="14.25" hidden="false" customHeight="false" outlineLevel="0" collapsed="false">
      <c r="B159" s="42"/>
    </row>
    <row r="160" customFormat="false" ht="14.25" hidden="false" customHeight="false" outlineLevel="0" collapsed="false">
      <c r="B160" s="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"/>
  <sheetViews>
    <sheetView showFormulas="false" showGridLines="true" showRowColHeaders="true" showZeros="true" rightToLeft="false" tabSelected="false" showOutlineSymbols="true" defaultGridColor="true" view="normal" topLeftCell="A107" colorId="64" zoomScale="100" zoomScaleNormal="100" zoomScalePageLayoutView="100" workbookViewId="0">
      <selection pane="topLeft" activeCell="B72" activeCellId="0" sqref="B72"/>
    </sheetView>
  </sheetViews>
  <sheetFormatPr defaultColWidth="10.66796875" defaultRowHeight="14.25" zeroHeight="false" outlineLevelRow="0" outlineLevelCol="0"/>
  <cols>
    <col collapsed="false" customWidth="true" hidden="false" outlineLevel="0" max="1" min="1" style="0" width="55.44"/>
    <col collapsed="false" customWidth="true" hidden="false" outlineLevel="0" max="7" min="2" style="0" width="15.66"/>
  </cols>
  <sheetData>
    <row r="1" customFormat="false" ht="18.75" hidden="false" customHeight="true" outlineLevel="0" collapsed="false">
      <c r="A1" s="57"/>
      <c r="B1" s="35"/>
      <c r="C1" s="35"/>
      <c r="D1" s="35"/>
      <c r="E1" s="35"/>
      <c r="F1" s="35"/>
      <c r="G1" s="35"/>
    </row>
    <row r="2" customFormat="false" ht="14.25" hidden="false" customHeight="false" outlineLevel="0" collapsed="false">
      <c r="A2" s="35"/>
      <c r="B2" s="35"/>
      <c r="C2" s="35"/>
      <c r="D2" s="35"/>
      <c r="E2" s="35"/>
      <c r="F2" s="35"/>
      <c r="G2" s="35"/>
    </row>
    <row r="3" customFormat="false" ht="14.25" hidden="false" customHeight="false" outlineLevel="0" collapsed="false">
      <c r="A3" s="1" t="s">
        <v>267</v>
      </c>
      <c r="B3" s="1" t="s">
        <v>233</v>
      </c>
      <c r="C3" s="1" t="s">
        <v>234</v>
      </c>
      <c r="D3" s="1" t="s">
        <v>235</v>
      </c>
      <c r="E3" s="1" t="s">
        <v>236</v>
      </c>
      <c r="F3" s="1" t="s">
        <v>237</v>
      </c>
      <c r="G3" s="1" t="s">
        <v>238</v>
      </c>
    </row>
    <row r="4" customFormat="false" ht="14.25" hidden="false" customHeight="false" outlineLevel="0" collapsed="false">
      <c r="A4" s="3" t="s">
        <v>268</v>
      </c>
      <c r="B4" s="7"/>
      <c r="C4" s="7" t="n">
        <f aca="false">Valuación!$B$9</f>
        <v>0.035</v>
      </c>
      <c r="D4" s="7" t="n">
        <f aca="false">Valuación!$B$9</f>
        <v>0.035</v>
      </c>
      <c r="E4" s="7" t="n">
        <f aca="false">Valuación!$B$9</f>
        <v>0.035</v>
      </c>
      <c r="F4" s="7" t="n">
        <f aca="false">Valuación!$B$9</f>
        <v>0.035</v>
      </c>
      <c r="G4" s="7" t="n">
        <f aca="false">Valuación!$B$9</f>
        <v>0.035</v>
      </c>
    </row>
    <row r="5" customFormat="false" ht="14.25" hidden="false" customHeight="false" outlineLevel="0" collapsed="false">
      <c r="A5" s="3" t="s">
        <v>269</v>
      </c>
      <c r="B5" s="7" t="n">
        <f aca="false">-B20/B19</f>
        <v>0.759102047714278</v>
      </c>
      <c r="C5" s="7" t="n">
        <f aca="false">$B5</f>
        <v>0.759102047714278</v>
      </c>
      <c r="D5" s="7" t="n">
        <f aca="false">$B5</f>
        <v>0.759102047714278</v>
      </c>
      <c r="E5" s="7" t="n">
        <f aca="false">$B5</f>
        <v>0.759102047714278</v>
      </c>
      <c r="F5" s="7" t="n">
        <f aca="false">$B5</f>
        <v>0.759102047714278</v>
      </c>
      <c r="G5" s="7" t="n">
        <f aca="false">$B5</f>
        <v>0.759102047714278</v>
      </c>
    </row>
    <row r="6" customFormat="false" ht="14.25" hidden="false" customHeight="false" outlineLevel="0" collapsed="false">
      <c r="A6" s="3" t="s">
        <v>270</v>
      </c>
      <c r="B6" s="7" t="n">
        <f aca="false">-B22/B19</f>
        <v>0.173900797115737</v>
      </c>
      <c r="C6" s="7" t="n">
        <f aca="false">$B6</f>
        <v>0.173900797115737</v>
      </c>
      <c r="D6" s="7" t="n">
        <f aca="false">$B6</f>
        <v>0.173900797115737</v>
      </c>
      <c r="E6" s="7" t="n">
        <f aca="false">$B6</f>
        <v>0.173900797115737</v>
      </c>
      <c r="F6" s="7" t="n">
        <f aca="false">$B6</f>
        <v>0.173900797115737</v>
      </c>
      <c r="G6" s="7" t="n">
        <f aca="false">$B6</f>
        <v>0.173900797115737</v>
      </c>
    </row>
    <row r="7" customFormat="false" ht="14.25" hidden="false" customHeight="false" outlineLevel="0" collapsed="false">
      <c r="A7" s="3" t="s">
        <v>241</v>
      </c>
      <c r="B7" s="7" t="n">
        <f aca="false">-B24/B19</f>
        <v>0.0244599047967777</v>
      </c>
      <c r="C7" s="7" t="n">
        <f aca="false">$B7</f>
        <v>0.0244599047967777</v>
      </c>
      <c r="D7" s="7" t="n">
        <f aca="false">$B7</f>
        <v>0.0244599047967777</v>
      </c>
      <c r="E7" s="7" t="n">
        <f aca="false">$B7</f>
        <v>0.0244599047967777</v>
      </c>
      <c r="F7" s="7" t="n">
        <f aca="false">$B7</f>
        <v>0.0244599047967777</v>
      </c>
      <c r="G7" s="7" t="n">
        <f aca="false">$B7</f>
        <v>0.0244599047967777</v>
      </c>
    </row>
    <row r="8" customFormat="false" ht="14.25" hidden="false" customHeight="false" outlineLevel="0" collapsed="false">
      <c r="A8" s="3" t="s">
        <v>242</v>
      </c>
      <c r="B8" s="7" t="n">
        <f aca="false">Datos!G16/Datos!G6</f>
        <v>0.0161507478241275</v>
      </c>
      <c r="C8" s="7" t="n">
        <f aca="false">$B8</f>
        <v>0.0161507478241275</v>
      </c>
      <c r="D8" s="7" t="n">
        <f aca="false">$B8</f>
        <v>0.0161507478241275</v>
      </c>
      <c r="E8" s="7" t="n">
        <f aca="false">$B8</f>
        <v>0.0161507478241275</v>
      </c>
      <c r="F8" s="7" t="n">
        <f aca="false">$B8</f>
        <v>0.0161507478241275</v>
      </c>
      <c r="G8" s="7" t="n">
        <f aca="false">$B8</f>
        <v>0.0161507478241275</v>
      </c>
    </row>
    <row r="9" customFormat="false" ht="14.25" hidden="false" customHeight="false" outlineLevel="0" collapsed="false">
      <c r="A9" s="3" t="s">
        <v>271</v>
      </c>
      <c r="B9" s="7" t="n">
        <f aca="false">-B26/(B41+B42)</f>
        <v>0.130154966550936</v>
      </c>
      <c r="C9" s="7" t="n">
        <f aca="false">$B9</f>
        <v>0.130154966550936</v>
      </c>
      <c r="D9" s="7" t="n">
        <f aca="false">$B9</f>
        <v>0.130154966550936</v>
      </c>
      <c r="E9" s="7" t="n">
        <f aca="false">$B9</f>
        <v>0.130154966550936</v>
      </c>
      <c r="F9" s="7" t="n">
        <f aca="false">$B9</f>
        <v>0.130154966550936</v>
      </c>
      <c r="G9" s="7" t="n">
        <f aca="false">$B9</f>
        <v>0.130154966550936</v>
      </c>
    </row>
    <row r="10" customFormat="false" ht="14.25" hidden="false" customHeight="false" outlineLevel="0" collapsed="false">
      <c r="A10" s="3" t="s">
        <v>244</v>
      </c>
      <c r="B10" s="7" t="n">
        <f aca="false">Valuación!$B$14</f>
        <v>0.3</v>
      </c>
      <c r="C10" s="7" t="n">
        <f aca="false">$B10</f>
        <v>0.3</v>
      </c>
      <c r="D10" s="7" t="n">
        <f aca="false">$B10</f>
        <v>0.3</v>
      </c>
      <c r="E10" s="7" t="n">
        <f aca="false">$B10</f>
        <v>0.3</v>
      </c>
      <c r="F10" s="7" t="n">
        <f aca="false">$B10</f>
        <v>0.3</v>
      </c>
      <c r="G10" s="7" t="n">
        <f aca="false">$B10</f>
        <v>0.3</v>
      </c>
    </row>
    <row r="11" customFormat="false" ht="14.25" hidden="false" customHeight="false" outlineLevel="0" collapsed="false">
      <c r="A11" s="3" t="s">
        <v>272</v>
      </c>
      <c r="B11" s="12" t="n">
        <f aca="false">-B35/B20*365</f>
        <v>87.4443050938019</v>
      </c>
      <c r="C11" s="12" t="n">
        <f aca="false">$B11</f>
        <v>87.4443050938019</v>
      </c>
      <c r="D11" s="12" t="n">
        <f aca="false">$B11</f>
        <v>87.4443050938019</v>
      </c>
      <c r="E11" s="12" t="n">
        <f aca="false">$B11</f>
        <v>87.4443050938019</v>
      </c>
      <c r="F11" s="12" t="n">
        <f aca="false">$B11</f>
        <v>87.4443050938019</v>
      </c>
      <c r="G11" s="12" t="n">
        <f aca="false">$B11</f>
        <v>87.4443050938019</v>
      </c>
    </row>
    <row r="12" customFormat="false" ht="14.25" hidden="false" customHeight="false" outlineLevel="0" collapsed="false">
      <c r="A12" s="3" t="s">
        <v>273</v>
      </c>
      <c r="B12" s="7" t="n">
        <f aca="false">B36/B19</f>
        <v>0.0391572543165366</v>
      </c>
      <c r="C12" s="7" t="n">
        <f aca="false">$B12</f>
        <v>0.0391572543165366</v>
      </c>
      <c r="D12" s="7" t="n">
        <f aca="false">$B12</f>
        <v>0.0391572543165366</v>
      </c>
      <c r="E12" s="7" t="n">
        <f aca="false">$B12</f>
        <v>0.0391572543165366</v>
      </c>
      <c r="F12" s="7" t="n">
        <f aca="false">$B12</f>
        <v>0.0391572543165366</v>
      </c>
      <c r="G12" s="7" t="n">
        <f aca="false">$B12</f>
        <v>0.0391572543165366</v>
      </c>
    </row>
    <row r="13" customFormat="false" ht="14.25" hidden="false" customHeight="false" outlineLevel="0" collapsed="false">
      <c r="A13" s="3" t="s">
        <v>274</v>
      </c>
      <c r="B13" s="7" t="n">
        <f aca="false">B40/B19</f>
        <v>0.200225333070445</v>
      </c>
      <c r="C13" s="7" t="n">
        <f aca="false">$B13</f>
        <v>0.200225333070445</v>
      </c>
      <c r="D13" s="7" t="n">
        <f aca="false">$B13</f>
        <v>0.200225333070445</v>
      </c>
      <c r="E13" s="7" t="n">
        <f aca="false">$B13</f>
        <v>0.200225333070445</v>
      </c>
      <c r="F13" s="7" t="n">
        <f aca="false">$B13</f>
        <v>0.200225333070445</v>
      </c>
      <c r="G13" s="7" t="n">
        <f aca="false">$B13</f>
        <v>0.200225333070445</v>
      </c>
    </row>
    <row r="14" customFormat="false" ht="14.25" hidden="false" customHeight="false" outlineLevel="0" collapsed="false">
      <c r="A14" s="3" t="s">
        <v>275</v>
      </c>
      <c r="B14" s="7" t="n">
        <f aca="false">Generales!B62*Valuación!B40/B30</f>
        <v>0.300144057623049</v>
      </c>
      <c r="C14" s="7" t="n">
        <f aca="false">$B14</f>
        <v>0.300144057623049</v>
      </c>
      <c r="D14" s="7" t="n">
        <f aca="false">$B14</f>
        <v>0.300144057623049</v>
      </c>
      <c r="E14" s="7" t="n">
        <f aca="false">$B14</f>
        <v>0.300144057623049</v>
      </c>
      <c r="F14" s="7" t="n">
        <f aca="false">$B14</f>
        <v>0.300144057623049</v>
      </c>
      <c r="G14" s="7" t="n">
        <f aca="false">$B14</f>
        <v>0.300144057623049</v>
      </c>
    </row>
    <row r="15" customFormat="false" ht="14.25" hidden="false" customHeight="false" outlineLevel="0" collapsed="false">
      <c r="A15" s="3" t="s">
        <v>5</v>
      </c>
      <c r="B15" s="7"/>
      <c r="C15" s="7" t="n">
        <f aca="false">Valuación!$B$15</f>
        <v>0.100630184051038</v>
      </c>
      <c r="D15" s="7" t="n">
        <f aca="false">Valuación!$B$15</f>
        <v>0.100630184051038</v>
      </c>
      <c r="E15" s="7" t="n">
        <f aca="false">Valuación!$B$15</f>
        <v>0.100630184051038</v>
      </c>
      <c r="F15" s="7" t="n">
        <f aca="false">Valuación!$B$15</f>
        <v>0.100630184051038</v>
      </c>
      <c r="G15" s="7" t="n">
        <f aca="false">Valuación!$B$15</f>
        <v>0.100630184051038</v>
      </c>
    </row>
    <row r="16" customFormat="false" ht="14.25" hidden="false" customHeight="false" outlineLevel="0" collapsed="false">
      <c r="A16" s="3" t="s">
        <v>6</v>
      </c>
      <c r="B16" s="7"/>
      <c r="C16" s="7" t="n">
        <f aca="false">Valuación!$B$16</f>
        <v>0.035</v>
      </c>
      <c r="D16" s="7" t="n">
        <f aca="false">Valuación!$B$16</f>
        <v>0.035</v>
      </c>
      <c r="E16" s="7" t="n">
        <f aca="false">Valuación!$B$16</f>
        <v>0.035</v>
      </c>
      <c r="F16" s="7" t="n">
        <f aca="false">Valuación!$B$16</f>
        <v>0.035</v>
      </c>
      <c r="G16" s="7" t="n">
        <f aca="false">Valuación!$B$16</f>
        <v>0.035</v>
      </c>
    </row>
    <row r="17" customFormat="false" ht="14.25" hidden="false" customHeight="false" outlineLevel="0" collapsed="false">
      <c r="A17" s="35"/>
      <c r="B17" s="35"/>
      <c r="C17" s="35"/>
      <c r="D17" s="35"/>
      <c r="E17" s="35"/>
      <c r="F17" s="35"/>
      <c r="G17" s="35"/>
    </row>
    <row r="18" customFormat="false" ht="14.25" hidden="false" customHeight="false" outlineLevel="0" collapsed="false">
      <c r="A18" s="1" t="s">
        <v>276</v>
      </c>
      <c r="B18" s="1" t="s">
        <v>233</v>
      </c>
      <c r="C18" s="1" t="s">
        <v>234</v>
      </c>
      <c r="D18" s="1" t="s">
        <v>235</v>
      </c>
      <c r="E18" s="1" t="s">
        <v>236</v>
      </c>
      <c r="F18" s="1" t="s">
        <v>237</v>
      </c>
      <c r="G18" s="1" t="s">
        <v>238</v>
      </c>
    </row>
    <row r="19" customFormat="false" ht="14.25" hidden="false" customHeight="false" outlineLevel="0" collapsed="false">
      <c r="A19" s="3" t="s">
        <v>247</v>
      </c>
      <c r="B19" s="5" t="n">
        <f aca="false">Datos!G6</f>
        <v>177515</v>
      </c>
      <c r="C19" s="5" t="n">
        <f aca="false">B19*(1+C4)</f>
        <v>183728.025</v>
      </c>
      <c r="D19" s="5" t="n">
        <f aca="false">C19*(1+D4)</f>
        <v>190158.505875</v>
      </c>
      <c r="E19" s="5" t="n">
        <f aca="false">D19*(1+E4)</f>
        <v>196814.053580625</v>
      </c>
      <c r="F19" s="5" t="n">
        <f aca="false">E19*(1+F4)</f>
        <v>203702.545455947</v>
      </c>
      <c r="G19" s="5" t="n">
        <f aca="false">F19*(1+G4)</f>
        <v>210832.134546905</v>
      </c>
    </row>
    <row r="20" customFormat="false" ht="14.25" hidden="false" customHeight="false" outlineLevel="0" collapsed="false">
      <c r="A20" s="3" t="s">
        <v>86</v>
      </c>
      <c r="B20" s="5" t="n">
        <f aca="false">-Datos!G7</f>
        <v>-134752</v>
      </c>
      <c r="C20" s="5" t="n">
        <f aca="false">-C19*C5</f>
        <v>-139468.32</v>
      </c>
      <c r="D20" s="5" t="n">
        <f aca="false">-D19*D5</f>
        <v>-144349.7112</v>
      </c>
      <c r="E20" s="5" t="n">
        <f aca="false">-E19*E5</f>
        <v>-149401.951092</v>
      </c>
      <c r="F20" s="5" t="n">
        <f aca="false">-F19*F5</f>
        <v>-154631.01938022</v>
      </c>
      <c r="G20" s="5" t="n">
        <f aca="false">-G19*G5</f>
        <v>-160043.105058528</v>
      </c>
    </row>
    <row r="21" customFormat="false" ht="14.25" hidden="false" customHeight="false" outlineLevel="0" collapsed="false">
      <c r="A21" s="3" t="s">
        <v>80</v>
      </c>
      <c r="B21" s="5" t="n">
        <f aca="false">B19+B20</f>
        <v>42763</v>
      </c>
      <c r="C21" s="5" t="n">
        <f aca="false">C19+C20</f>
        <v>44259.705</v>
      </c>
      <c r="D21" s="5" t="n">
        <f aca="false">D19+D20</f>
        <v>45808.794675</v>
      </c>
      <c r="E21" s="5" t="n">
        <f aca="false">E19+E20</f>
        <v>47412.102488625</v>
      </c>
      <c r="F21" s="5" t="n">
        <f aca="false">F19+F20</f>
        <v>49071.5260757269</v>
      </c>
      <c r="G21" s="5" t="n">
        <f aca="false">G19+G20</f>
        <v>50789.0294883773</v>
      </c>
    </row>
    <row r="22" customFormat="false" ht="14.25" hidden="false" customHeight="false" outlineLevel="0" collapsed="false">
      <c r="A22" s="3" t="s">
        <v>277</v>
      </c>
      <c r="B22" s="5" t="n">
        <f aca="false">-(Datos!G8-Datos!G9-Datos!G14)</f>
        <v>-30870</v>
      </c>
      <c r="C22" s="5" t="n">
        <f aca="false">-C19*C6</f>
        <v>-31950.45</v>
      </c>
      <c r="D22" s="5" t="n">
        <f aca="false">-D19*D6</f>
        <v>-33068.71575</v>
      </c>
      <c r="E22" s="5" t="n">
        <f aca="false">-E19*E6</f>
        <v>-34226.12080125</v>
      </c>
      <c r="F22" s="5" t="n">
        <f aca="false">-F19*F6</f>
        <v>-35424.0350292937</v>
      </c>
      <c r="G22" s="5" t="n">
        <f aca="false">-G19*G6</f>
        <v>-36663.876255319</v>
      </c>
    </row>
    <row r="23" customFormat="false" ht="14.25" hidden="false" customHeight="false" outlineLevel="0" collapsed="false">
      <c r="A23" s="3" t="s">
        <v>278</v>
      </c>
      <c r="B23" s="5" t="n">
        <f aca="false">B21+B22</f>
        <v>11893</v>
      </c>
      <c r="C23" s="5" t="n">
        <f aca="false">C21+C22</f>
        <v>12309.255</v>
      </c>
      <c r="D23" s="5" t="n">
        <f aca="false">D21+D22</f>
        <v>12740.078925</v>
      </c>
      <c r="E23" s="5" t="n">
        <f aca="false">E21+E22</f>
        <v>13185.981687375</v>
      </c>
      <c r="F23" s="5" t="n">
        <f aca="false">F21+F22</f>
        <v>13647.4910464331</v>
      </c>
      <c r="G23" s="5" t="n">
        <f aca="false">G21+G22</f>
        <v>14125.1532330583</v>
      </c>
    </row>
    <row r="24" customFormat="false" ht="14.25" hidden="false" customHeight="false" outlineLevel="0" collapsed="false">
      <c r="A24" s="3" t="s">
        <v>154</v>
      </c>
      <c r="B24" s="5" t="n">
        <f aca="false">-Datos!G14</f>
        <v>-4342</v>
      </c>
      <c r="C24" s="5" t="n">
        <f aca="false">-C19*C7</f>
        <v>-4493.97</v>
      </c>
      <c r="D24" s="5" t="n">
        <f aca="false">-D19*D7</f>
        <v>-4651.25895</v>
      </c>
      <c r="E24" s="5" t="n">
        <f aca="false">-E19*E7</f>
        <v>-4814.05301325</v>
      </c>
      <c r="F24" s="5" t="n">
        <f aca="false">-F19*F7</f>
        <v>-4982.54486871375</v>
      </c>
      <c r="G24" s="5" t="n">
        <f aca="false">-G19*G7</f>
        <v>-5156.93393911873</v>
      </c>
    </row>
    <row r="25" customFormat="false" ht="14.25" hidden="false" customHeight="false" outlineLevel="0" collapsed="false">
      <c r="A25" s="3" t="s">
        <v>81</v>
      </c>
      <c r="B25" s="5" t="n">
        <f aca="false">B23+B24</f>
        <v>7551</v>
      </c>
      <c r="C25" s="5" t="n">
        <f aca="false">C23+C24</f>
        <v>7815.28499999999</v>
      </c>
      <c r="D25" s="5" t="n">
        <f aca="false">D23+D24</f>
        <v>8088.81997499999</v>
      </c>
      <c r="E25" s="5" t="n">
        <f aca="false">E23+E24</f>
        <v>8371.92867412499</v>
      </c>
      <c r="F25" s="5" t="n">
        <f aca="false">F23+F24</f>
        <v>8664.94617771939</v>
      </c>
      <c r="G25" s="5" t="n">
        <f aca="false">G23+G24</f>
        <v>8968.21929393956</v>
      </c>
    </row>
    <row r="26" customFormat="false" ht="14.25" hidden="false" customHeight="false" outlineLevel="0" collapsed="false">
      <c r="A26" s="3" t="s">
        <v>88</v>
      </c>
      <c r="B26" s="5" t="n">
        <f aca="false">-Datos!G10</f>
        <v>-3074</v>
      </c>
      <c r="C26" s="5" t="n">
        <f aca="false">-C9*(B41+B42)</f>
        <v>-3074</v>
      </c>
      <c r="D26" s="5" t="n">
        <f aca="false">-D9*(C41+C42)</f>
        <v>-3074</v>
      </c>
      <c r="E26" s="5" t="n">
        <f aca="false">-E9*(D41+D42)</f>
        <v>-3074</v>
      </c>
      <c r="F26" s="5" t="n">
        <f aca="false">-F9*(E41+E42)</f>
        <v>-3074</v>
      </c>
      <c r="G26" s="5" t="n">
        <f aca="false">-G9*(F41+F42)</f>
        <v>-3074</v>
      </c>
    </row>
    <row r="27" customFormat="false" ht="14.25" hidden="false" customHeight="false" outlineLevel="0" collapsed="false">
      <c r="A27" s="3" t="s">
        <v>279</v>
      </c>
      <c r="B27" s="5" t="n">
        <f aca="false">Datos!G11-Datos!G9+Datos!G10</f>
        <v>288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</row>
    <row r="28" customFormat="false" ht="14.25" hidden="false" customHeight="false" outlineLevel="0" collapsed="false">
      <c r="A28" s="3" t="s">
        <v>152</v>
      </c>
      <c r="B28" s="5" t="n">
        <f aca="false">B25+B26+B27</f>
        <v>4765</v>
      </c>
      <c r="C28" s="5" t="n">
        <f aca="false">C25+C26+C27</f>
        <v>4741.28499999999</v>
      </c>
      <c r="D28" s="5" t="n">
        <f aca="false">D25+D26+D27</f>
        <v>5014.81997499999</v>
      </c>
      <c r="E28" s="5" t="n">
        <f aca="false">E25+E26+E27</f>
        <v>5297.92867412499</v>
      </c>
      <c r="F28" s="5" t="n">
        <f aca="false">F25+F26+F27</f>
        <v>5590.94617771939</v>
      </c>
      <c r="G28" s="5" t="n">
        <f aca="false">G25+G26+G27</f>
        <v>5894.21929393956</v>
      </c>
    </row>
    <row r="29" customFormat="false" ht="14.25" hidden="false" customHeight="false" outlineLevel="0" collapsed="false">
      <c r="A29" s="3" t="s">
        <v>153</v>
      </c>
      <c r="B29" s="5" t="n">
        <f aca="false">-Datos!G12</f>
        <v>-1433</v>
      </c>
      <c r="C29" s="5" t="n">
        <f aca="false">-C28*C10</f>
        <v>-1422.3855</v>
      </c>
      <c r="D29" s="5" t="n">
        <f aca="false">-D28*D10</f>
        <v>-1504.4459925</v>
      </c>
      <c r="E29" s="5" t="n">
        <f aca="false">-E28*E10</f>
        <v>-1589.3786022375</v>
      </c>
      <c r="F29" s="5" t="n">
        <f aca="false">-F28*F10</f>
        <v>-1677.28385331582</v>
      </c>
      <c r="G29" s="5" t="n">
        <f aca="false">-G28*G10</f>
        <v>-1768.26578818187</v>
      </c>
    </row>
    <row r="30" customFormat="false" ht="14.25" hidden="false" customHeight="false" outlineLevel="0" collapsed="false">
      <c r="A30" s="3" t="s">
        <v>89</v>
      </c>
      <c r="B30" s="5" t="n">
        <f aca="false">B28+B29</f>
        <v>3332</v>
      </c>
      <c r="C30" s="5" t="n">
        <f aca="false">C28+C29</f>
        <v>3318.89949999999</v>
      </c>
      <c r="D30" s="5" t="n">
        <f aca="false">D28+D29</f>
        <v>3510.37398249999</v>
      </c>
      <c r="E30" s="5" t="n">
        <f aca="false">E28+E29</f>
        <v>3708.55007188749</v>
      </c>
      <c r="F30" s="5" t="n">
        <f aca="false">F28+F29</f>
        <v>3913.66232440357</v>
      </c>
      <c r="G30" s="5" t="n">
        <f aca="false">G28+G29</f>
        <v>4125.95350575769</v>
      </c>
    </row>
    <row r="31" customFormat="false" ht="14.25" hidden="false" customHeight="false" outlineLevel="0" collapsed="false">
      <c r="A31" s="3" t="s">
        <v>280</v>
      </c>
      <c r="B31" s="5"/>
      <c r="C31" s="5" t="n">
        <f aca="false">-C30*C14</f>
        <v>-996.147962773107</v>
      </c>
      <c r="D31" s="5" t="n">
        <f aca="false">-D30*D14</f>
        <v>-1053.61789088193</v>
      </c>
      <c r="E31" s="5" t="n">
        <f aca="false">-E30*E14</f>
        <v>-1113.09926647456</v>
      </c>
      <c r="F31" s="5" t="n">
        <f aca="false">-F30*F14</f>
        <v>-1174.66249021294</v>
      </c>
      <c r="G31" s="5" t="n">
        <f aca="false">-G30*G14</f>
        <v>-1238.38042678216</v>
      </c>
    </row>
    <row r="32" customFormat="false" ht="14.25" hidden="false" customHeight="false" outlineLevel="0" collapsed="false">
      <c r="A32" s="35"/>
      <c r="B32" s="35"/>
      <c r="C32" s="35"/>
      <c r="D32" s="35"/>
      <c r="E32" s="35"/>
      <c r="F32" s="35"/>
      <c r="G32" s="35"/>
    </row>
    <row r="33" customFormat="false" ht="14.25" hidden="false" customHeight="false" outlineLevel="0" collapsed="false">
      <c r="A33" s="1" t="s">
        <v>281</v>
      </c>
      <c r="B33" s="1" t="s">
        <v>233</v>
      </c>
      <c r="C33" s="1" t="s">
        <v>234</v>
      </c>
      <c r="D33" s="1" t="s">
        <v>235</v>
      </c>
      <c r="E33" s="1" t="s">
        <v>236</v>
      </c>
      <c r="F33" s="1" t="s">
        <v>237</v>
      </c>
      <c r="G33" s="1" t="s">
        <v>238</v>
      </c>
    </row>
    <row r="34" customFormat="false" ht="14.25" hidden="false" customHeight="false" outlineLevel="0" collapsed="false">
      <c r="A34" s="3" t="s">
        <v>13</v>
      </c>
      <c r="B34" s="5" t="n">
        <f aca="false">Datos!G17</f>
        <v>9295</v>
      </c>
      <c r="C34" s="5" t="n">
        <f aca="false">B34+C56</f>
        <v>13015.1915372269</v>
      </c>
      <c r="D34" s="5" t="n">
        <f aca="false">C34+D56</f>
        <v>16918.2980288449</v>
      </c>
      <c r="E34" s="5" t="n">
        <f aca="false">D34+E56</f>
        <v>21010.7214982579</v>
      </c>
      <c r="F34" s="5" t="n">
        <f aca="false">E34+F56</f>
        <v>25299.0880396885</v>
      </c>
      <c r="G34" s="5" t="n">
        <f aca="false">F34+G56</f>
        <v>29790.2556606574</v>
      </c>
    </row>
    <row r="35" customFormat="false" ht="14.25" hidden="false" customHeight="false" outlineLevel="0" collapsed="false">
      <c r="A35" s="3" t="s">
        <v>156</v>
      </c>
      <c r="B35" s="5" t="n">
        <f aca="false">Datos!G18</f>
        <v>32283</v>
      </c>
      <c r="C35" s="5" t="n">
        <f aca="false">-C20*C11/365</f>
        <v>33412.905</v>
      </c>
      <c r="D35" s="5" t="n">
        <f aca="false">-D20*D11/365</f>
        <v>34582.356675</v>
      </c>
      <c r="E35" s="5" t="n">
        <f aca="false">-E20*E11/365</f>
        <v>35792.739158625</v>
      </c>
      <c r="F35" s="5" t="n">
        <f aca="false">-F20*F11/365</f>
        <v>37045.4850291769</v>
      </c>
      <c r="G35" s="5" t="n">
        <f aca="false">-G20*G11/365</f>
        <v>38342.0770051981</v>
      </c>
    </row>
    <row r="36" customFormat="false" ht="14.25" hidden="false" customHeight="false" outlineLevel="0" collapsed="false">
      <c r="A36" s="3" t="s">
        <v>282</v>
      </c>
      <c r="B36" s="5" t="n">
        <f aca="false">Datos!G19-Datos!G17-Datos!G18</f>
        <v>6951</v>
      </c>
      <c r="C36" s="5" t="n">
        <f aca="false">C19*C12</f>
        <v>7194.285</v>
      </c>
      <c r="D36" s="5" t="n">
        <f aca="false">D19*D12</f>
        <v>7446.084975</v>
      </c>
      <c r="E36" s="5" t="n">
        <f aca="false">E19*E12</f>
        <v>7706.697949125</v>
      </c>
      <c r="F36" s="5" t="n">
        <f aca="false">F19*F12</f>
        <v>7976.43237734437</v>
      </c>
      <c r="G36" s="5" t="n">
        <f aca="false">G19*G12</f>
        <v>8255.60751055143</v>
      </c>
    </row>
    <row r="37" customFormat="false" ht="14.25" hidden="false" customHeight="false" outlineLevel="0" collapsed="false">
      <c r="A37" s="3" t="s">
        <v>157</v>
      </c>
      <c r="B37" s="5" t="n">
        <f aca="false">SUM(B34:B36)</f>
        <v>48529</v>
      </c>
      <c r="C37" s="5" t="n">
        <f aca="false">SUM(C34:C36)</f>
        <v>53622.3815372269</v>
      </c>
      <c r="D37" s="5" t="n">
        <f aca="false">SUM(D34:D36)</f>
        <v>58946.7396788449</v>
      </c>
      <c r="E37" s="5" t="n">
        <f aca="false">SUM(E34:E36)</f>
        <v>64510.1586060079</v>
      </c>
      <c r="F37" s="5" t="n">
        <f aca="false">SUM(F34:F36)</f>
        <v>70321.0054462098</v>
      </c>
      <c r="G37" s="5" t="n">
        <f aca="false">SUM(G34:G36)</f>
        <v>76387.9401764069</v>
      </c>
    </row>
    <row r="38" customFormat="false" ht="14.25" hidden="false" customHeight="false" outlineLevel="0" collapsed="false">
      <c r="A38" s="3" t="s">
        <v>283</v>
      </c>
      <c r="B38" s="5" t="n">
        <f aca="false">Datos!G20-Datos!G19</f>
        <v>107509</v>
      </c>
      <c r="C38" s="5" t="n">
        <f aca="false">B38-C54+C24</f>
        <v>105982.375</v>
      </c>
      <c r="D38" s="5" t="n">
        <f aca="false">C38-D54+D24</f>
        <v>104402.318125</v>
      </c>
      <c r="E38" s="5" t="n">
        <f aca="false">D38-E54+E24</f>
        <v>102766.959259375</v>
      </c>
      <c r="F38" s="5" t="n">
        <f aca="false">E38-F54+F24</f>
        <v>101074.362833453</v>
      </c>
      <c r="G38" s="5" t="n">
        <f aca="false">F38-G54+G24</f>
        <v>99322.525532624</v>
      </c>
    </row>
    <row r="39" customFormat="false" ht="14.25" hidden="false" customHeight="false" outlineLevel="0" collapsed="false">
      <c r="A39" s="3" t="s">
        <v>92</v>
      </c>
      <c r="B39" s="5" t="n">
        <f aca="false">B37+B38</f>
        <v>156038</v>
      </c>
      <c r="C39" s="5" t="n">
        <f aca="false">C37+C38</f>
        <v>159604.756537227</v>
      </c>
      <c r="D39" s="5" t="n">
        <f aca="false">D37+D38</f>
        <v>163349.057803845</v>
      </c>
      <c r="E39" s="5" t="n">
        <f aca="false">E37+E38</f>
        <v>167277.117865383</v>
      </c>
      <c r="F39" s="5" t="n">
        <f aca="false">F37+F38</f>
        <v>171395.368279663</v>
      </c>
      <c r="G39" s="5" t="n">
        <f aca="false">G37+G38</f>
        <v>175710.465709031</v>
      </c>
    </row>
    <row r="40" customFormat="false" ht="14.25" hidden="false" customHeight="false" outlineLevel="0" collapsed="false">
      <c r="A40" s="3" t="s">
        <v>284</v>
      </c>
      <c r="B40" s="5" t="n">
        <f aca="false">Datos!G21-Datos!G25-Datos!G27</f>
        <v>35543</v>
      </c>
      <c r="C40" s="5" t="n">
        <f aca="false">C19*C13</f>
        <v>36787.005</v>
      </c>
      <c r="D40" s="5" t="n">
        <f aca="false">D19*D13</f>
        <v>38074.550175</v>
      </c>
      <c r="E40" s="5" t="n">
        <f aca="false">E19*E13</f>
        <v>39407.159431125</v>
      </c>
      <c r="F40" s="5" t="n">
        <f aca="false">F19*F13</f>
        <v>40786.4100112144</v>
      </c>
      <c r="G40" s="5" t="n">
        <f aca="false">G19*G13</f>
        <v>42213.9343616069</v>
      </c>
    </row>
    <row r="41" customFormat="false" ht="14.25" hidden="false" customHeight="false" outlineLevel="0" collapsed="false">
      <c r="A41" s="3" t="s">
        <v>285</v>
      </c>
      <c r="B41" s="5" t="n">
        <f aca="false">Datos!G25+Datos!G26</f>
        <v>11500</v>
      </c>
      <c r="C41" s="5" t="n">
        <f aca="false">B41</f>
        <v>11500</v>
      </c>
      <c r="D41" s="5" t="n">
        <f aca="false">C41</f>
        <v>11500</v>
      </c>
      <c r="E41" s="5" t="n">
        <f aca="false">D41</f>
        <v>11500</v>
      </c>
      <c r="F41" s="5" t="n">
        <f aca="false">E41</f>
        <v>11500</v>
      </c>
      <c r="G41" s="5" t="n">
        <f aca="false">F41</f>
        <v>11500</v>
      </c>
    </row>
    <row r="42" customFormat="false" ht="14.25" hidden="false" customHeight="false" outlineLevel="0" collapsed="false">
      <c r="A42" s="3" t="s">
        <v>286</v>
      </c>
      <c r="B42" s="5" t="n">
        <f aca="false">Datos!G27+Datos!G28</f>
        <v>12118</v>
      </c>
      <c r="C42" s="5" t="n">
        <f aca="false">B42</f>
        <v>12118</v>
      </c>
      <c r="D42" s="5" t="n">
        <f aca="false">C42</f>
        <v>12118</v>
      </c>
      <c r="E42" s="5" t="n">
        <f aca="false">D42</f>
        <v>12118</v>
      </c>
      <c r="F42" s="5" t="n">
        <f aca="false">E42</f>
        <v>12118</v>
      </c>
      <c r="G42" s="5" t="n">
        <f aca="false">F42</f>
        <v>12118</v>
      </c>
    </row>
    <row r="43" customFormat="false" ht="14.25" hidden="false" customHeight="false" outlineLevel="0" collapsed="false">
      <c r="A43" s="3" t="s">
        <v>287</v>
      </c>
      <c r="B43" s="5" t="n">
        <f aca="false">Datos!G23-Datos!G21-Datos!G26-Datos!G28</f>
        <v>12145</v>
      </c>
      <c r="C43" s="5" t="n">
        <f aca="false">B43</f>
        <v>12145</v>
      </c>
      <c r="D43" s="5" t="n">
        <f aca="false">C43</f>
        <v>12145</v>
      </c>
      <c r="E43" s="5" t="n">
        <f aca="false">D43</f>
        <v>12145</v>
      </c>
      <c r="F43" s="5" t="n">
        <f aca="false">E43</f>
        <v>12145</v>
      </c>
      <c r="G43" s="5" t="n">
        <f aca="false">F43</f>
        <v>12145</v>
      </c>
    </row>
    <row r="44" customFormat="false" ht="14.25" hidden="false" customHeight="false" outlineLevel="0" collapsed="false">
      <c r="A44" s="3" t="s">
        <v>93</v>
      </c>
      <c r="B44" s="5" t="n">
        <f aca="false">SUM(B40:B43)</f>
        <v>71306</v>
      </c>
      <c r="C44" s="5" t="n">
        <f aca="false">SUM(C40:C43)</f>
        <v>72550.005</v>
      </c>
      <c r="D44" s="5" t="n">
        <f aca="false">SUM(D40:D43)</f>
        <v>73837.550175</v>
      </c>
      <c r="E44" s="5" t="n">
        <f aca="false">SUM(E40:E43)</f>
        <v>75170.159431125</v>
      </c>
      <c r="F44" s="5" t="n">
        <f aca="false">SUM(F40:F43)</f>
        <v>76549.4100112144</v>
      </c>
      <c r="G44" s="5" t="n">
        <f aca="false">SUM(G40:G43)</f>
        <v>77976.9343616069</v>
      </c>
    </row>
    <row r="45" customFormat="false" ht="14.25" hidden="false" customHeight="false" outlineLevel="0" collapsed="false">
      <c r="A45" s="3" t="s">
        <v>94</v>
      </c>
      <c r="B45" s="5" t="n">
        <f aca="false">Datos!G24</f>
        <v>84732</v>
      </c>
      <c r="C45" s="5" t="n">
        <f aca="false">B45+C30+C31</f>
        <v>87054.7515372269</v>
      </c>
      <c r="D45" s="5" t="n">
        <f aca="false">C45+D30+D31</f>
        <v>89511.507628845</v>
      </c>
      <c r="E45" s="5" t="n">
        <f aca="false">D45+E30+E31</f>
        <v>92106.9584342579</v>
      </c>
      <c r="F45" s="5" t="n">
        <f aca="false">E45+F30+F31</f>
        <v>94845.9582684485</v>
      </c>
      <c r="G45" s="5" t="n">
        <f aca="false">F45+G30+G31</f>
        <v>97733.5313474241</v>
      </c>
    </row>
    <row r="46" customFormat="false" ht="14.25" hidden="false" customHeight="false" outlineLevel="0" collapsed="false">
      <c r="A46" s="3" t="s">
        <v>288</v>
      </c>
      <c r="B46" s="5" t="n">
        <f aca="false">B44+B45</f>
        <v>156038</v>
      </c>
      <c r="C46" s="5" t="n">
        <f aca="false">C44+C45</f>
        <v>159604.756537227</v>
      </c>
      <c r="D46" s="5" t="n">
        <f aca="false">D44+D45</f>
        <v>163349.057803845</v>
      </c>
      <c r="E46" s="5" t="n">
        <f aca="false">E44+E45</f>
        <v>167277.117865383</v>
      </c>
      <c r="F46" s="5" t="n">
        <f aca="false">F44+F45</f>
        <v>171395.368279663</v>
      </c>
      <c r="G46" s="5" t="n">
        <f aca="false">G44+G45</f>
        <v>175710.465709031</v>
      </c>
    </row>
    <row r="47" customFormat="false" ht="14.25" hidden="false" customHeight="false" outlineLevel="0" collapsed="false">
      <c r="A47" s="58" t="s">
        <v>289</v>
      </c>
      <c r="B47" s="59" t="n">
        <f aca="false">B39-B46</f>
        <v>0</v>
      </c>
      <c r="C47" s="59" t="n">
        <f aca="false">C39-C46</f>
        <v>0</v>
      </c>
      <c r="D47" s="59" t="n">
        <f aca="false">D39-D46</f>
        <v>0</v>
      </c>
      <c r="E47" s="59" t="n">
        <f aca="false">E39-E46</f>
        <v>0</v>
      </c>
      <c r="F47" s="59" t="n">
        <f aca="false">F39-F46</f>
        <v>0</v>
      </c>
      <c r="G47" s="59" t="n">
        <f aca="false">G39-G46</f>
        <v>0</v>
      </c>
    </row>
    <row r="48" customFormat="false" ht="14.25" hidden="false" customHeight="false" outlineLevel="0" collapsed="false">
      <c r="A48" s="35"/>
      <c r="B48" s="35"/>
      <c r="C48" s="35"/>
      <c r="D48" s="35"/>
      <c r="E48" s="35"/>
      <c r="F48" s="35"/>
      <c r="G48" s="35"/>
    </row>
    <row r="49" customFormat="false" ht="14.25" hidden="false" customHeight="false" outlineLevel="0" collapsed="false">
      <c r="A49" s="1" t="s">
        <v>290</v>
      </c>
      <c r="B49" s="1" t="s">
        <v>233</v>
      </c>
      <c r="C49" s="1" t="s">
        <v>234</v>
      </c>
      <c r="D49" s="1" t="s">
        <v>235</v>
      </c>
      <c r="E49" s="1" t="s">
        <v>236</v>
      </c>
      <c r="F49" s="1" t="s">
        <v>237</v>
      </c>
      <c r="G49" s="1" t="s">
        <v>238</v>
      </c>
    </row>
    <row r="50" customFormat="false" ht="14.25" hidden="false" customHeight="false" outlineLevel="0" collapsed="false">
      <c r="A50" s="3" t="s">
        <v>89</v>
      </c>
      <c r="B50" s="3"/>
      <c r="C50" s="5" t="n">
        <f aca="false">C30</f>
        <v>3318.89949999999</v>
      </c>
      <c r="D50" s="5" t="n">
        <f aca="false">D30</f>
        <v>3510.37398249999</v>
      </c>
      <c r="E50" s="5" t="n">
        <f aca="false">E30</f>
        <v>3708.55007188749</v>
      </c>
      <c r="F50" s="5" t="n">
        <f aca="false">F30</f>
        <v>3913.66232440357</v>
      </c>
      <c r="G50" s="5" t="n">
        <f aca="false">G30</f>
        <v>4125.95350575769</v>
      </c>
    </row>
    <row r="51" customFormat="false" ht="14.25" hidden="false" customHeight="false" outlineLevel="0" collapsed="false">
      <c r="A51" s="3" t="s">
        <v>250</v>
      </c>
      <c r="B51" s="3"/>
      <c r="C51" s="5" t="n">
        <f aca="false">-C24</f>
        <v>4493.97</v>
      </c>
      <c r="D51" s="5" t="n">
        <f aca="false">-D24</f>
        <v>4651.25895</v>
      </c>
      <c r="E51" s="5" t="n">
        <f aca="false">-E24</f>
        <v>4814.05301325</v>
      </c>
      <c r="F51" s="5" t="n">
        <f aca="false">-F24</f>
        <v>4982.54486871375</v>
      </c>
      <c r="G51" s="5" t="n">
        <f aca="false">-G24</f>
        <v>5156.93393911873</v>
      </c>
    </row>
    <row r="52" customFormat="false" ht="14.25" hidden="false" customHeight="false" outlineLevel="0" collapsed="false">
      <c r="A52" s="3" t="s">
        <v>291</v>
      </c>
      <c r="B52" s="3"/>
      <c r="C52" s="5" t="n">
        <f aca="false">-(C35-B35)</f>
        <v>-1129.905</v>
      </c>
      <c r="D52" s="5" t="n">
        <f aca="false">-(D35-C35)</f>
        <v>-1169.451675</v>
      </c>
      <c r="E52" s="5" t="n">
        <f aca="false">-(E35-D35)</f>
        <v>-1210.382483625</v>
      </c>
      <c r="F52" s="5" t="n">
        <f aca="false">-(F35-E35)</f>
        <v>-1252.74587055187</v>
      </c>
      <c r="G52" s="5" t="n">
        <f aca="false">-(G35-F35)</f>
        <v>-1296.59197602119</v>
      </c>
    </row>
    <row r="53" customFormat="false" ht="14.25" hidden="false" customHeight="false" outlineLevel="0" collapsed="false">
      <c r="A53" s="3" t="s">
        <v>292</v>
      </c>
      <c r="B53" s="3"/>
      <c r="C53" s="5" t="n">
        <f aca="false">-(C36-B36)</f>
        <v>-243.285</v>
      </c>
      <c r="D53" s="5" t="n">
        <f aca="false">-(D36-C36)</f>
        <v>-251.799975</v>
      </c>
      <c r="E53" s="5" t="n">
        <f aca="false">-(E36-D36)</f>
        <v>-260.612974124999</v>
      </c>
      <c r="F53" s="5" t="n">
        <f aca="false">-(F36-E36)</f>
        <v>-269.734428219374</v>
      </c>
      <c r="G53" s="5" t="n">
        <f aca="false">-(G36-F36)</f>
        <v>-279.175133207054</v>
      </c>
    </row>
    <row r="54" customFormat="false" ht="14.25" hidden="false" customHeight="false" outlineLevel="0" collapsed="false">
      <c r="A54" s="3" t="s">
        <v>251</v>
      </c>
      <c r="B54" s="3"/>
      <c r="C54" s="5" t="n">
        <f aca="false">-C19*C8</f>
        <v>-2967.345</v>
      </c>
      <c r="D54" s="5" t="n">
        <f aca="false">-D19*D8</f>
        <v>-3071.202075</v>
      </c>
      <c r="E54" s="5" t="n">
        <f aca="false">-E19*E8</f>
        <v>-3178.694147625</v>
      </c>
      <c r="F54" s="5" t="n">
        <f aca="false">-F19*F8</f>
        <v>-3289.94844279187</v>
      </c>
      <c r="G54" s="5" t="n">
        <f aca="false">-G19*G8</f>
        <v>-3405.09663828959</v>
      </c>
    </row>
    <row r="55" customFormat="false" ht="14.25" hidden="false" customHeight="false" outlineLevel="0" collapsed="false">
      <c r="A55" s="3" t="s">
        <v>293</v>
      </c>
      <c r="B55" s="3"/>
      <c r="C55" s="5" t="n">
        <f aca="false">C40-B40</f>
        <v>1244.005</v>
      </c>
      <c r="D55" s="5" t="n">
        <f aca="false">D40-C40</f>
        <v>1287.54517499999</v>
      </c>
      <c r="E55" s="5" t="n">
        <f aca="false">E40-D40</f>
        <v>1332.609256125</v>
      </c>
      <c r="F55" s="5" t="n">
        <f aca="false">F40-E40</f>
        <v>1379.25058008938</v>
      </c>
      <c r="G55" s="5" t="n">
        <f aca="false">G40-F40</f>
        <v>1427.52435039249</v>
      </c>
    </row>
    <row r="56" customFormat="false" ht="14.25" hidden="false" customHeight="false" outlineLevel="0" collapsed="false">
      <c r="A56" s="3" t="s">
        <v>294</v>
      </c>
      <c r="B56" s="3"/>
      <c r="C56" s="5" t="n">
        <f aca="false">SUM(C50:C55)+C31</f>
        <v>3720.19153722689</v>
      </c>
      <c r="D56" s="5" t="n">
        <f aca="false">SUM(D50:D55)+D31</f>
        <v>3903.10649161806</v>
      </c>
      <c r="E56" s="5" t="n">
        <f aca="false">SUM(E50:E55)+E31</f>
        <v>4092.42346941293</v>
      </c>
      <c r="F56" s="5" t="n">
        <f aca="false">SUM(F50:F55)+F31</f>
        <v>4288.36654143064</v>
      </c>
      <c r="G56" s="5" t="n">
        <f aca="false">SUM(G50:G55)+G31</f>
        <v>4491.16762096892</v>
      </c>
    </row>
    <row r="57" customFormat="false" ht="14.25" hidden="false" customHeight="false" outlineLevel="0" collapsed="false">
      <c r="A57" s="35"/>
      <c r="B57" s="35"/>
      <c r="C57" s="35"/>
      <c r="D57" s="35"/>
      <c r="E57" s="35"/>
      <c r="F57" s="35"/>
      <c r="G57" s="35"/>
    </row>
    <row r="58" customFormat="false" ht="14.25" hidden="false" customHeight="false" outlineLevel="0" collapsed="false">
      <c r="A58" s="1" t="s">
        <v>295</v>
      </c>
      <c r="B58" s="1" t="s">
        <v>233</v>
      </c>
      <c r="C58" s="1" t="s">
        <v>234</v>
      </c>
      <c r="D58" s="1" t="s">
        <v>235</v>
      </c>
      <c r="E58" s="1" t="s">
        <v>236</v>
      </c>
      <c r="F58" s="1" t="s">
        <v>237</v>
      </c>
      <c r="G58" s="1" t="s">
        <v>238</v>
      </c>
    </row>
    <row r="59" customFormat="false" ht="14.25" hidden="false" customHeight="false" outlineLevel="0" collapsed="false">
      <c r="A59" s="3" t="s">
        <v>81</v>
      </c>
      <c r="B59" s="3"/>
      <c r="C59" s="5" t="n">
        <f aca="false">C25</f>
        <v>7815.28499999999</v>
      </c>
      <c r="D59" s="5" t="n">
        <f aca="false">D25</f>
        <v>8088.81997499999</v>
      </c>
      <c r="E59" s="5" t="n">
        <f aca="false">E25</f>
        <v>8371.92867412499</v>
      </c>
      <c r="F59" s="5" t="n">
        <f aca="false">F25</f>
        <v>8664.94617771939</v>
      </c>
      <c r="G59" s="5" t="n">
        <f aca="false">G25</f>
        <v>8968.21929393956</v>
      </c>
    </row>
    <row r="60" customFormat="false" ht="14.25" hidden="false" customHeight="false" outlineLevel="0" collapsed="false">
      <c r="A60" s="3" t="s">
        <v>248</v>
      </c>
      <c r="B60" s="3"/>
      <c r="C60" s="5" t="n">
        <f aca="false">-C59*C10</f>
        <v>-2344.5855</v>
      </c>
      <c r="D60" s="5" t="n">
        <f aca="false">-D59*D10</f>
        <v>-2426.6459925</v>
      </c>
      <c r="E60" s="5" t="n">
        <f aca="false">-E59*E10</f>
        <v>-2511.5786022375</v>
      </c>
      <c r="F60" s="5" t="n">
        <f aca="false">-F59*F10</f>
        <v>-2599.48385331582</v>
      </c>
      <c r="G60" s="5" t="n">
        <f aca="false">-G59*G10</f>
        <v>-2690.46578818187</v>
      </c>
    </row>
    <row r="61" customFormat="false" ht="14.25" hidden="false" customHeight="false" outlineLevel="0" collapsed="false">
      <c r="A61" s="3" t="s">
        <v>296</v>
      </c>
      <c r="B61" s="3"/>
      <c r="C61" s="5" t="n">
        <f aca="false">C59+C60</f>
        <v>5470.69949999999</v>
      </c>
      <c r="D61" s="5" t="n">
        <f aca="false">D59+D60</f>
        <v>5662.17398249999</v>
      </c>
      <c r="E61" s="5" t="n">
        <f aca="false">E59+E60</f>
        <v>5860.35007188749</v>
      </c>
      <c r="F61" s="5" t="n">
        <f aca="false">F59+F60</f>
        <v>6065.46232440357</v>
      </c>
      <c r="G61" s="5" t="n">
        <f aca="false">G59+G60</f>
        <v>6277.75350575769</v>
      </c>
    </row>
    <row r="62" customFormat="false" ht="14.25" hidden="false" customHeight="false" outlineLevel="0" collapsed="false">
      <c r="A62" s="3" t="s">
        <v>250</v>
      </c>
      <c r="B62" s="3"/>
      <c r="C62" s="5" t="n">
        <f aca="false">C51</f>
        <v>4493.97</v>
      </c>
      <c r="D62" s="5" t="n">
        <f aca="false">D51</f>
        <v>4651.25895</v>
      </c>
      <c r="E62" s="5" t="n">
        <f aca="false">E51</f>
        <v>4814.05301325</v>
      </c>
      <c r="F62" s="5" t="n">
        <f aca="false">F51</f>
        <v>4982.54486871375</v>
      </c>
      <c r="G62" s="5" t="n">
        <f aca="false">G51</f>
        <v>5156.93393911873</v>
      </c>
    </row>
    <row r="63" customFormat="false" ht="14.25" hidden="false" customHeight="false" outlineLevel="0" collapsed="false">
      <c r="A63" s="3" t="s">
        <v>251</v>
      </c>
      <c r="B63" s="3"/>
      <c r="C63" s="5" t="n">
        <f aca="false">C54</f>
        <v>-2967.345</v>
      </c>
      <c r="D63" s="5" t="n">
        <f aca="false">D54</f>
        <v>-3071.202075</v>
      </c>
      <c r="E63" s="5" t="n">
        <f aca="false">E54</f>
        <v>-3178.694147625</v>
      </c>
      <c r="F63" s="5" t="n">
        <f aca="false">F54</f>
        <v>-3289.94844279187</v>
      </c>
      <c r="G63" s="5" t="n">
        <f aca="false">G54</f>
        <v>-3405.09663828959</v>
      </c>
    </row>
    <row r="64" customFormat="false" ht="14.25" hidden="false" customHeight="false" outlineLevel="0" collapsed="false">
      <c r="A64" s="3" t="s">
        <v>252</v>
      </c>
      <c r="B64" s="3"/>
      <c r="C64" s="5" t="n">
        <f aca="false">C52+C53+C55</f>
        <v>-129.185000000001</v>
      </c>
      <c r="D64" s="5" t="n">
        <f aca="false">D52+D53+D55</f>
        <v>-133.706475000005</v>
      </c>
      <c r="E64" s="5" t="n">
        <f aca="false">E52+E53+E55</f>
        <v>-138.386201625</v>
      </c>
      <c r="F64" s="5" t="n">
        <f aca="false">F52+F53+F55</f>
        <v>-143.229718681862</v>
      </c>
      <c r="G64" s="5" t="n">
        <f aca="false">G52+G53+G55</f>
        <v>-148.24275883575</v>
      </c>
    </row>
    <row r="65" customFormat="false" ht="14.25" hidden="false" customHeight="false" outlineLevel="0" collapsed="false">
      <c r="A65" s="3" t="s">
        <v>297</v>
      </c>
      <c r="B65" s="3"/>
      <c r="C65" s="5" t="n">
        <f aca="false">SUM(C61:C64)</f>
        <v>6868.13949999999</v>
      </c>
      <c r="D65" s="5" t="n">
        <f aca="false">SUM(D61:D64)</f>
        <v>7108.52438249999</v>
      </c>
      <c r="E65" s="5" t="n">
        <f aca="false">SUM(E61:E64)</f>
        <v>7357.32273588749</v>
      </c>
      <c r="F65" s="5" t="n">
        <f aca="false">SUM(F61:F64)</f>
        <v>7614.82903164358</v>
      </c>
      <c r="G65" s="5" t="n">
        <f aca="false">SUM(G61:G64)</f>
        <v>7881.34804775108</v>
      </c>
    </row>
    <row r="66" customFormat="false" ht="14.25" hidden="false" customHeight="false" outlineLevel="0" collapsed="false">
      <c r="A66" s="3" t="s">
        <v>246</v>
      </c>
      <c r="B66" s="3"/>
      <c r="C66" s="45" t="n">
        <v>1</v>
      </c>
      <c r="D66" s="45" t="n">
        <f aca="false">C66+1</f>
        <v>2</v>
      </c>
      <c r="E66" s="45" t="n">
        <f aca="false">D66+1</f>
        <v>3</v>
      </c>
      <c r="F66" s="45" t="n">
        <f aca="false">E66+1</f>
        <v>4</v>
      </c>
      <c r="G66" s="45" t="n">
        <f aca="false">F66+1</f>
        <v>5</v>
      </c>
    </row>
    <row r="67" customFormat="false" ht="14.25" hidden="false" customHeight="false" outlineLevel="0" collapsed="false">
      <c r="A67" s="3" t="s">
        <v>254</v>
      </c>
      <c r="B67" s="3"/>
      <c r="C67" s="46" t="n">
        <f aca="false">1/(1+C15)^C66</f>
        <v>0.908570394025854</v>
      </c>
      <c r="D67" s="46" t="n">
        <f aca="false">1/(1+D15)^D66</f>
        <v>0.825500160900296</v>
      </c>
      <c r="E67" s="46" t="n">
        <f aca="false">1/(1+E15)^E66</f>
        <v>0.750025006457588</v>
      </c>
      <c r="F67" s="46" t="n">
        <f aca="false">1/(1+F15)^F66</f>
        <v>0.681450515646415</v>
      </c>
      <c r="G67" s="46" t="n">
        <f aca="false">1/(1+G15)^G66</f>
        <v>0.619145763509984</v>
      </c>
    </row>
    <row r="68" customFormat="false" ht="14.25" hidden="false" customHeight="false" outlineLevel="0" collapsed="false">
      <c r="A68" s="3" t="s">
        <v>298</v>
      </c>
      <c r="B68" s="3"/>
      <c r="C68" s="5" t="n">
        <f aca="false">C65*C67</f>
        <v>6240.18821173953</v>
      </c>
      <c r="D68" s="5" t="n">
        <f aca="false">D65*D67</f>
        <v>5868.08802151742</v>
      </c>
      <c r="E68" s="5" t="n">
        <f aca="false">E65*E67</f>
        <v>5518.17603249457</v>
      </c>
      <c r="F68" s="5" t="n">
        <f aca="false">F65*F67</f>
        <v>5189.12917017281</v>
      </c>
      <c r="G68" s="5" t="n">
        <f aca="false">G65*G67</f>
        <v>4879.70325451277</v>
      </c>
    </row>
    <row r="69" customFormat="false" ht="14.25" hidden="false" customHeight="false" outlineLevel="0" collapsed="false">
      <c r="A69" s="35"/>
      <c r="B69" s="35"/>
      <c r="C69" s="35"/>
      <c r="D69" s="35"/>
      <c r="E69" s="35"/>
      <c r="F69" s="35"/>
      <c r="G69" s="35"/>
    </row>
    <row r="70" customFormat="false" ht="14.25" hidden="false" customHeight="false" outlineLevel="0" collapsed="false">
      <c r="A70" s="1" t="s">
        <v>299</v>
      </c>
      <c r="B70" s="1" t="s">
        <v>78</v>
      </c>
      <c r="C70" s="35"/>
      <c r="D70" s="35"/>
      <c r="E70" s="35"/>
      <c r="F70" s="35"/>
      <c r="G70" s="35"/>
    </row>
    <row r="71" customFormat="false" ht="14.25" hidden="false" customHeight="false" outlineLevel="0" collapsed="false">
      <c r="A71" s="3" t="s">
        <v>300</v>
      </c>
      <c r="B71" s="5" t="n">
        <f aca="false">SUM(C68:G68)</f>
        <v>27695.2846904371</v>
      </c>
      <c r="C71" s="35"/>
      <c r="D71" s="35"/>
      <c r="E71" s="35"/>
      <c r="F71" s="35"/>
      <c r="G71" s="35"/>
    </row>
    <row r="72" customFormat="false" ht="14.25" hidden="false" customHeight="false" outlineLevel="0" collapsed="false">
      <c r="A72" s="3" t="s">
        <v>301</v>
      </c>
      <c r="B72" s="5" t="n">
        <f aca="false">G65*(1+G16)</f>
        <v>8157.19522942237</v>
      </c>
      <c r="C72" s="35"/>
      <c r="D72" s="35"/>
      <c r="E72" s="35"/>
      <c r="F72" s="35"/>
      <c r="G72" s="35"/>
    </row>
    <row r="73" customFormat="false" ht="14.25" hidden="false" customHeight="false" outlineLevel="0" collapsed="false">
      <c r="A73" s="3" t="s">
        <v>302</v>
      </c>
      <c r="B73" s="5" t="n">
        <f aca="false">B72/(G15-G16)</f>
        <v>124290.299461584</v>
      </c>
      <c r="C73" s="35"/>
      <c r="D73" s="35"/>
      <c r="E73" s="35"/>
      <c r="F73" s="35"/>
      <c r="G73" s="35"/>
    </row>
    <row r="74" customFormat="false" ht="14.25" hidden="false" customHeight="false" outlineLevel="0" collapsed="false">
      <c r="A74" s="3" t="s">
        <v>303</v>
      </c>
      <c r="B74" s="5" t="n">
        <f aca="false">B73*G67</f>
        <v>76953.8123570269</v>
      </c>
      <c r="C74" s="35"/>
      <c r="D74" s="35"/>
      <c r="E74" s="35"/>
      <c r="F74" s="35"/>
      <c r="G74" s="35"/>
    </row>
    <row r="75" customFormat="false" ht="14.25" hidden="false" customHeight="false" outlineLevel="0" collapsed="false">
      <c r="A75" s="3" t="s">
        <v>304</v>
      </c>
      <c r="B75" s="5" t="n">
        <f aca="false">B71+B74</f>
        <v>104649.097047464</v>
      </c>
      <c r="C75" s="35"/>
      <c r="D75" s="35"/>
      <c r="E75" s="35"/>
      <c r="F75" s="35"/>
      <c r="G75" s="35"/>
    </row>
    <row r="76" customFormat="false" ht="14.25" hidden="false" customHeight="false" outlineLevel="0" collapsed="false">
      <c r="A76" s="3" t="s">
        <v>305</v>
      </c>
      <c r="B76" s="7" t="n">
        <f aca="false">B74/B75</f>
        <v>0.735350944520087</v>
      </c>
      <c r="C76" s="35"/>
      <c r="D76" s="35"/>
      <c r="E76" s="35"/>
      <c r="F76" s="35"/>
      <c r="G76" s="35"/>
    </row>
    <row r="77" customFormat="false" ht="14.25" hidden="false" customHeight="false" outlineLevel="0" collapsed="false">
      <c r="A77" s="35"/>
      <c r="B77" s="35"/>
      <c r="C77" s="35"/>
      <c r="D77" s="35"/>
      <c r="E77" s="35"/>
      <c r="F77" s="35"/>
      <c r="G77" s="35"/>
    </row>
    <row r="78" customFormat="false" ht="14.25" hidden="false" customHeight="false" outlineLevel="0" collapsed="false">
      <c r="A78" s="1" t="s">
        <v>306</v>
      </c>
      <c r="B78" s="1" t="s">
        <v>78</v>
      </c>
      <c r="C78" s="35"/>
      <c r="D78" s="35"/>
      <c r="E78" s="35"/>
      <c r="F78" s="35"/>
      <c r="G78" s="35"/>
    </row>
    <row r="79" customFormat="false" ht="14.25" hidden="false" customHeight="false" outlineLevel="0" collapsed="false">
      <c r="A79" s="3" t="s">
        <v>304</v>
      </c>
      <c r="B79" s="5" t="n">
        <f aca="false">B75</f>
        <v>104649.097047464</v>
      </c>
      <c r="C79" s="35"/>
      <c r="D79" s="35"/>
      <c r="E79" s="35"/>
      <c r="F79" s="35"/>
      <c r="G79" s="35"/>
    </row>
    <row r="80" customFormat="false" ht="14.25" hidden="false" customHeight="false" outlineLevel="0" collapsed="false">
      <c r="A80" s="3" t="s">
        <v>307</v>
      </c>
      <c r="B80" s="5" t="n">
        <f aca="false">-B41</f>
        <v>-11500</v>
      </c>
      <c r="C80" s="35"/>
      <c r="D80" s="35"/>
      <c r="E80" s="35"/>
      <c r="F80" s="35"/>
      <c r="G80" s="35"/>
    </row>
    <row r="81" customFormat="false" ht="14.25" hidden="false" customHeight="false" outlineLevel="0" collapsed="false">
      <c r="A81" s="3" t="s">
        <v>308</v>
      </c>
      <c r="B81" s="5" t="n">
        <f aca="false">-B42</f>
        <v>-12118</v>
      </c>
      <c r="C81" s="35"/>
      <c r="D81" s="35"/>
      <c r="E81" s="35"/>
      <c r="F81" s="35"/>
      <c r="G81" s="35"/>
    </row>
    <row r="82" customFormat="false" ht="14.25" hidden="false" customHeight="false" outlineLevel="0" collapsed="false">
      <c r="A82" s="3" t="s">
        <v>309</v>
      </c>
      <c r="B82" s="5" t="n">
        <f aca="false">B34</f>
        <v>9295</v>
      </c>
      <c r="C82" s="35"/>
      <c r="D82" s="35"/>
      <c r="E82" s="35"/>
      <c r="F82" s="35"/>
      <c r="G82" s="35"/>
    </row>
    <row r="83" customFormat="false" ht="14.25" hidden="false" customHeight="false" outlineLevel="0" collapsed="false">
      <c r="A83" s="3" t="s">
        <v>310</v>
      </c>
      <c r="B83" s="5" t="n">
        <f aca="false">SUM(B79:B82)</f>
        <v>90326.0970474639</v>
      </c>
      <c r="C83" s="35"/>
      <c r="D83" s="35"/>
      <c r="E83" s="35"/>
      <c r="F83" s="35"/>
      <c r="G83" s="35"/>
    </row>
    <row r="84" customFormat="false" ht="14.25" hidden="false" customHeight="false" outlineLevel="0" collapsed="false">
      <c r="A84" s="3" t="s">
        <v>57</v>
      </c>
      <c r="B84" s="16" t="n">
        <f aca="false">Valuación!B40</f>
        <v>1800</v>
      </c>
      <c r="C84" s="35"/>
      <c r="D84" s="35"/>
      <c r="E84" s="35"/>
      <c r="F84" s="35"/>
      <c r="G84" s="35"/>
    </row>
    <row r="85" customFormat="false" ht="14.25" hidden="false" customHeight="false" outlineLevel="0" collapsed="false">
      <c r="A85" s="3" t="s">
        <v>311</v>
      </c>
      <c r="B85" s="24" t="n">
        <f aca="false">B83/B84</f>
        <v>50.1811650263689</v>
      </c>
      <c r="C85" s="35"/>
      <c r="D85" s="35"/>
      <c r="E85" s="35"/>
      <c r="F85" s="35"/>
      <c r="G85" s="35"/>
    </row>
    <row r="86" customFormat="false" ht="14.25" hidden="false" customHeight="false" outlineLevel="0" collapsed="false">
      <c r="A86" s="3" t="s">
        <v>16</v>
      </c>
      <c r="B86" s="24" t="n">
        <f aca="false">Valuación!B42</f>
        <v>33.48</v>
      </c>
      <c r="C86" s="35"/>
      <c r="D86" s="35"/>
      <c r="E86" s="35"/>
      <c r="F86" s="35"/>
      <c r="G86" s="35"/>
    </row>
    <row r="87" customFormat="false" ht="14.25" hidden="false" customHeight="false" outlineLevel="0" collapsed="false">
      <c r="A87" s="3" t="s">
        <v>17</v>
      </c>
      <c r="B87" s="7" t="n">
        <f aca="false">B85/B86-1</f>
        <v>0.498840054551041</v>
      </c>
      <c r="C87" s="35"/>
      <c r="D87" s="35"/>
      <c r="E87" s="35"/>
      <c r="F87" s="35"/>
      <c r="G87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F1" activePane="topRight" state="frozen"/>
      <selection pane="topLeft" activeCell="A1" activeCellId="0" sqref="A1"/>
      <selection pane="topRight" activeCell="H30" activeCellId="0" sqref="H30"/>
    </sheetView>
  </sheetViews>
  <sheetFormatPr defaultColWidth="10.66796875" defaultRowHeight="14.25" zeroHeight="false" outlineLevelRow="0" outlineLevelCol="0"/>
  <cols>
    <col collapsed="false" customWidth="true" hidden="false" outlineLevel="0" max="1" min="1" style="0" width="61.11"/>
    <col collapsed="false" customWidth="true" hidden="false" outlineLevel="0" max="5" min="2" style="0" width="20"/>
    <col collapsed="false" customWidth="true" hidden="false" outlineLevel="0" max="8" min="6" style="0" width="26.88"/>
    <col collapsed="false" customWidth="true" hidden="false" outlineLevel="0" max="10" min="9" style="0" width="20"/>
  </cols>
  <sheetData>
    <row r="1" customFormat="false" ht="15" hidden="false" customHeight="true" outlineLevel="0" collapsed="false">
      <c r="A1" s="60"/>
      <c r="B1" s="60"/>
      <c r="C1" s="60"/>
      <c r="D1" s="60"/>
      <c r="E1" s="60"/>
      <c r="F1" s="60"/>
      <c r="G1" s="60"/>
      <c r="H1" s="60"/>
      <c r="I1" s="60"/>
    </row>
    <row r="2" customFormat="false" ht="15" hidden="false" customHeight="true" outlineLevel="0" collapsed="false">
      <c r="A2" s="60"/>
      <c r="B2" s="60"/>
      <c r="C2" s="60"/>
      <c r="D2" s="60"/>
      <c r="E2" s="60"/>
      <c r="F2" s="60"/>
      <c r="G2" s="60"/>
      <c r="H2" s="60"/>
      <c r="I2" s="60"/>
      <c r="J2" s="60"/>
    </row>
    <row r="3" customFormat="false" ht="15" hidden="false" customHeight="true" outlineLevel="0" collapsed="false">
      <c r="A3" s="61" t="s">
        <v>312</v>
      </c>
      <c r="B3" s="60"/>
      <c r="C3" s="60"/>
      <c r="D3" s="60"/>
      <c r="E3" s="60"/>
      <c r="F3" s="60"/>
      <c r="G3" s="60"/>
      <c r="H3" s="60"/>
      <c r="I3" s="60"/>
      <c r="J3" s="60"/>
    </row>
    <row r="4" customFormat="false" ht="15" hidden="false" customHeight="true" outlineLevel="0" collapsed="false">
      <c r="A4" s="48" t="s">
        <v>195</v>
      </c>
      <c r="B4" s="48" t="s">
        <v>313</v>
      </c>
      <c r="C4" s="48" t="s">
        <v>314</v>
      </c>
      <c r="D4" s="48" t="s">
        <v>315</v>
      </c>
      <c r="E4" s="48" t="s">
        <v>316</v>
      </c>
      <c r="F4" s="48" t="s">
        <v>317</v>
      </c>
      <c r="G4" s="48" t="s">
        <v>318</v>
      </c>
      <c r="H4" s="48" t="s">
        <v>319</v>
      </c>
      <c r="I4" s="60"/>
      <c r="J4" s="60"/>
    </row>
    <row r="5" customFormat="false" ht="15" hidden="false" customHeight="true" outlineLevel="0" collapsed="false">
      <c r="A5" s="48" t="s">
        <v>320</v>
      </c>
      <c r="B5" s="62" t="n">
        <f aca="false">I39</f>
        <v>3</v>
      </c>
      <c r="C5" s="62" t="n">
        <f aca="false">I40</f>
        <v>4</v>
      </c>
      <c r="D5" s="62" t="n">
        <f aca="false">I41</f>
        <v>5</v>
      </c>
      <c r="E5" s="62" t="n">
        <f aca="false">I42</f>
        <v>6</v>
      </c>
      <c r="F5" s="63"/>
      <c r="G5" s="63"/>
      <c r="H5" s="55"/>
      <c r="I5" s="60"/>
      <c r="J5" s="60"/>
    </row>
    <row r="6" customFormat="false" ht="15" hidden="false" customHeight="true" outlineLevel="0" collapsed="false">
      <c r="A6" s="48" t="s">
        <v>247</v>
      </c>
      <c r="B6" s="63" t="n">
        <f aca="false">J39</f>
        <v>41995.3</v>
      </c>
      <c r="C6" s="63" t="n">
        <f aca="false">J40</f>
        <v>41321.2</v>
      </c>
      <c r="D6" s="63" t="n">
        <f aca="false">J41</f>
        <v>40647.1</v>
      </c>
      <c r="E6" s="63" t="n">
        <f aca="false">J42</f>
        <v>39973</v>
      </c>
      <c r="F6" s="63" t="n">
        <f aca="false">SUM(B6:E6)</f>
        <v>163936.6</v>
      </c>
      <c r="G6" s="63" t="n">
        <f aca="false">SUM(Datos!C6:F6)</f>
        <v>174278</v>
      </c>
      <c r="H6" s="55" t="n">
        <f aca="false">IFERROR((F6-G6)/ABS(G6),"")</f>
        <v>-0.0593385280987848</v>
      </c>
      <c r="I6" s="60"/>
      <c r="J6" s="60"/>
    </row>
    <row r="7" customFormat="false" ht="15" hidden="false" customHeight="true" outlineLevel="0" collapsed="false">
      <c r="A7" s="48" t="s">
        <v>321</v>
      </c>
      <c r="B7" s="63" t="n">
        <f aca="false">J56</f>
        <v>40013.5</v>
      </c>
      <c r="C7" s="63" t="n">
        <f aca="false">J57</f>
        <v>39314.8</v>
      </c>
      <c r="D7" s="63" t="n">
        <f aca="false">J58</f>
        <v>38616.1</v>
      </c>
      <c r="E7" s="63" t="n">
        <f aca="false">J59</f>
        <v>37917.4</v>
      </c>
      <c r="F7" s="63" t="n">
        <f aca="false">SUM(B7:E7)</f>
        <v>155861.8</v>
      </c>
      <c r="G7" s="63" t="n">
        <f aca="false">SUM(Datos!C6:F6)-SUM(Datos!C9:F9)</f>
        <v>166647</v>
      </c>
      <c r="H7" s="55" t="n">
        <f aca="false">IFERROR((F7-G7)/ABS(G7),"")</f>
        <v>-0.0647188368227452</v>
      </c>
      <c r="I7" s="60"/>
      <c r="J7" s="60"/>
    </row>
    <row r="8" customFormat="false" ht="15" hidden="false" customHeight="true" outlineLevel="0" collapsed="false">
      <c r="A8" s="48" t="s">
        <v>322</v>
      </c>
      <c r="B8" s="63" t="n">
        <f aca="false">B6-B7</f>
        <v>1981.8</v>
      </c>
      <c r="C8" s="63" t="n">
        <f aca="false">C6-C7</f>
        <v>2006.4</v>
      </c>
      <c r="D8" s="63" t="n">
        <f aca="false">D6-D7</f>
        <v>2031</v>
      </c>
      <c r="E8" s="63" t="n">
        <f aca="false">E6-E7</f>
        <v>2055.60000000001</v>
      </c>
      <c r="F8" s="63" t="n">
        <f aca="false">SUM(B8:E8)</f>
        <v>8074.8</v>
      </c>
      <c r="G8" s="63" t="n">
        <f aca="false">G6-G7</f>
        <v>7631</v>
      </c>
      <c r="H8" s="55" t="n">
        <f aca="false">IFERROR((F8-G8)/ABS(G8),"")</f>
        <v>0.0581575153977202</v>
      </c>
      <c r="I8" s="60"/>
      <c r="J8" s="60"/>
    </row>
    <row r="9" customFormat="false" ht="15" hidden="false" customHeight="true" outlineLevel="0" collapsed="false">
      <c r="A9" s="48" t="s">
        <v>240</v>
      </c>
      <c r="B9" s="55" t="n">
        <f aca="false">B8/B6</f>
        <v>0.0471909951827942</v>
      </c>
      <c r="C9" s="55" t="n">
        <f aca="false">C8/C6</f>
        <v>0.0485561890748575</v>
      </c>
      <c r="D9" s="55" t="n">
        <f aca="false">D8/D6</f>
        <v>0.0499666642884732</v>
      </c>
      <c r="E9" s="55" t="n">
        <f aca="false">E8/E6</f>
        <v>0.0514247116803844</v>
      </c>
      <c r="F9" s="55" t="n">
        <f aca="false">F8/F6</f>
        <v>0.0492556268703877</v>
      </c>
      <c r="G9" s="55" t="n">
        <f aca="false">G8/G6</f>
        <v>0.0437863643144861</v>
      </c>
      <c r="H9" s="55"/>
      <c r="I9" s="60"/>
      <c r="J9" s="60"/>
    </row>
    <row r="10" customFormat="false" ht="15" hidden="false" customHeight="true" outlineLevel="0" collapsed="false">
      <c r="A10" s="48" t="s">
        <v>323</v>
      </c>
      <c r="B10" s="55" t="n">
        <f aca="false">J73</f>
        <v>0.224855634155331</v>
      </c>
      <c r="C10" s="55" t="n">
        <f aca="false">J74</f>
        <v>0.202996529891104</v>
      </c>
      <c r="D10" s="55" t="n">
        <f aca="false">J75</f>
        <v>0.181137425626876</v>
      </c>
      <c r="E10" s="55" t="n">
        <f aca="false">J76</f>
        <v>0.159278321362649</v>
      </c>
      <c r="F10" s="55" t="n">
        <f aca="false">1-F11/F8</f>
        <v>0.191734007304675</v>
      </c>
      <c r="G10" s="55" t="n">
        <f aca="false">SUM(Datos!C12:F12)/SUM(Datos!C11:F11)</f>
        <v>0.269473684210526</v>
      </c>
      <c r="H10" s="55"/>
      <c r="I10" s="60"/>
      <c r="J10" s="60"/>
    </row>
    <row r="11" customFormat="false" ht="15" hidden="false" customHeight="true" outlineLevel="0" collapsed="false">
      <c r="A11" s="48" t="s">
        <v>324</v>
      </c>
      <c r="B11" s="63" t="n">
        <f aca="false">B8*(1-B10)</f>
        <v>1536.18110423096</v>
      </c>
      <c r="C11" s="63" t="n">
        <f aca="false">C8*(1-C10)</f>
        <v>1599.10776242649</v>
      </c>
      <c r="D11" s="63" t="n">
        <f aca="false">D8*(1-D10)</f>
        <v>1663.10988855181</v>
      </c>
      <c r="E11" s="63" t="n">
        <f aca="false">E8*(1-E10)</f>
        <v>1728.18748260694</v>
      </c>
      <c r="F11" s="63" t="n">
        <f aca="false">SUM(B11:E11)</f>
        <v>6526.58623781621</v>
      </c>
      <c r="G11" s="63" t="n">
        <f aca="false">G8*(1-G10)</f>
        <v>5574.64631578947</v>
      </c>
      <c r="H11" s="55" t="n">
        <f aca="false">IFERROR((F11-G11)/ABS(G11),"")</f>
        <v>0.17076238887667</v>
      </c>
      <c r="I11" s="60"/>
      <c r="J11" s="60"/>
    </row>
    <row r="12" customFormat="false" ht="15" hidden="false" customHeight="true" outlineLevel="0" collapsed="false">
      <c r="A12" s="48" t="s">
        <v>250</v>
      </c>
      <c r="B12" s="63" t="n">
        <f aca="false">J90</f>
        <v>1011.854</v>
      </c>
      <c r="C12" s="63" t="n">
        <f aca="false">J91</f>
        <v>996.7536</v>
      </c>
      <c r="D12" s="63" t="n">
        <f aca="false">J92</f>
        <v>981.6532</v>
      </c>
      <c r="E12" s="63" t="n">
        <f aca="false">J93</f>
        <v>966.5528</v>
      </c>
      <c r="F12" s="63" t="n">
        <f aca="false">SUM(B12:E12)</f>
        <v>3956.8136</v>
      </c>
      <c r="G12" s="63" t="n">
        <f aca="false">SUM(Datos!C14:F14)</f>
        <v>4179.871</v>
      </c>
      <c r="H12" s="55" t="n">
        <f aca="false">IFERROR((F12-G12)/ABS(G12),"")</f>
        <v>-0.0533646612539</v>
      </c>
      <c r="I12" s="60"/>
      <c r="J12" s="60"/>
    </row>
    <row r="13" customFormat="false" ht="15" hidden="false" customHeight="true" outlineLevel="0" collapsed="false">
      <c r="A13" s="48" t="s">
        <v>251</v>
      </c>
      <c r="B13" s="63" t="n">
        <f aca="false">J107</f>
        <v>798.82</v>
      </c>
      <c r="C13" s="63" t="n">
        <f aca="false">J108</f>
        <v>820.74</v>
      </c>
      <c r="D13" s="63" t="n">
        <f aca="false">J109</f>
        <v>842.66</v>
      </c>
      <c r="E13" s="63" t="n">
        <f aca="false">J110</f>
        <v>864.58</v>
      </c>
      <c r="F13" s="63" t="n">
        <f aca="false">SUM(B13:E13)</f>
        <v>3326.8</v>
      </c>
      <c r="G13" s="63" t="n">
        <f aca="false">SUM(Datos!C16:F16)</f>
        <v>3002.1</v>
      </c>
      <c r="H13" s="55" t="n">
        <f aca="false">IFERROR((F13-G13)/ABS(G13),"")</f>
        <v>0.108157622997235</v>
      </c>
      <c r="I13" s="60"/>
      <c r="J13" s="60"/>
    </row>
    <row r="14" customFormat="false" ht="15" hidden="false" customHeight="true" outlineLevel="0" collapsed="false">
      <c r="A14" s="48" t="s">
        <v>325</v>
      </c>
      <c r="B14" s="63" t="n">
        <f aca="false">J124</f>
        <v>6975.4312</v>
      </c>
      <c r="C14" s="63" t="n">
        <f aca="false">J125</f>
        <v>6036.11400000001</v>
      </c>
      <c r="D14" s="63" t="n">
        <f aca="false">J126</f>
        <v>5096.79680000001</v>
      </c>
      <c r="E14" s="63" t="n">
        <f aca="false">J127</f>
        <v>4157.47960000001</v>
      </c>
      <c r="F14" s="63" t="n">
        <f aca="false">E14</f>
        <v>4157.47960000001</v>
      </c>
      <c r="G14" s="63" t="n">
        <f aca="false">Datos!F19-Datos!F21</f>
        <v>7301.914</v>
      </c>
      <c r="H14" s="55"/>
      <c r="I14" s="60"/>
      <c r="J14" s="60"/>
    </row>
    <row r="15" customFormat="false" ht="15" hidden="false" customHeight="true" outlineLevel="0" collapsed="false">
      <c r="A15" s="48" t="s">
        <v>326</v>
      </c>
      <c r="B15" s="63" t="n">
        <f aca="false">B14-(Datos!$F$19-Datos!$F$21)</f>
        <v>-326.482800000001</v>
      </c>
      <c r="C15" s="63" t="n">
        <f aca="false">C14-B14</f>
        <v>-939.317199999999</v>
      </c>
      <c r="D15" s="63" t="n">
        <f aca="false">D14-C14</f>
        <v>-939.3172</v>
      </c>
      <c r="E15" s="63" t="n">
        <f aca="false">E14-D14</f>
        <v>-939.3172</v>
      </c>
      <c r="F15" s="63" t="n">
        <f aca="false">SUM(B15:E15)</f>
        <v>-3144.4344</v>
      </c>
      <c r="G15" s="63" t="n">
        <f aca="false">(Datos!F19-Datos!F21)-(Datos!B19-Datos!B21)</f>
        <v>-3764.086</v>
      </c>
      <c r="H15" s="55"/>
      <c r="I15" s="60"/>
      <c r="J15" s="60"/>
    </row>
    <row r="16" customFormat="false" ht="15" hidden="false" customHeight="true" outlineLevel="0" collapsed="false">
      <c r="A16" s="48" t="s">
        <v>327</v>
      </c>
      <c r="B16" s="63" t="n">
        <f aca="false">B11+B12-B13-B15</f>
        <v>2075.69790423096</v>
      </c>
      <c r="C16" s="63" t="n">
        <f aca="false">C11+C12-C13-C15</f>
        <v>2714.43856242649</v>
      </c>
      <c r="D16" s="63" t="n">
        <f aca="false">D11+D12-D13-D15</f>
        <v>2741.42028855181</v>
      </c>
      <c r="E16" s="63" t="n">
        <f aca="false">E11+E12-E13-E15</f>
        <v>2769.47748260694</v>
      </c>
      <c r="F16" s="63" t="n">
        <f aca="false">F11+F12-F13-F15</f>
        <v>10301.0342378162</v>
      </c>
      <c r="G16" s="63" t="n">
        <f aca="false">G11+G12-G13-G15</f>
        <v>10516.5033157895</v>
      </c>
      <c r="H16" s="55" t="n">
        <f aca="false">IFERROR((F16-G16)/ABS(G16),"")</f>
        <v>-0.0204886616305018</v>
      </c>
      <c r="I16" s="60"/>
      <c r="J16" s="60"/>
    </row>
    <row r="17" customFormat="false" ht="15" hidden="false" customHeight="true" outlineLevel="0" collapsed="false">
      <c r="A17" s="60"/>
      <c r="B17" s="60"/>
      <c r="C17" s="60"/>
      <c r="D17" s="60"/>
      <c r="E17" s="60"/>
      <c r="F17" s="60"/>
      <c r="G17" s="60"/>
      <c r="H17" s="60"/>
      <c r="I17" s="60"/>
      <c r="J17" s="60"/>
    </row>
    <row r="18" customFormat="false" ht="15" hidden="false" customHeight="true" outlineLevel="0" collapsed="false">
      <c r="A18" s="64" t="s">
        <v>328</v>
      </c>
      <c r="B18" s="48"/>
      <c r="C18" s="60"/>
      <c r="D18" s="60"/>
      <c r="E18" s="60"/>
      <c r="F18" s="60"/>
      <c r="G18" s="60"/>
      <c r="H18" s="60"/>
      <c r="I18" s="60"/>
      <c r="J18" s="60"/>
    </row>
    <row r="19" customFormat="false" ht="15" hidden="false" customHeight="true" outlineLevel="0" collapsed="false">
      <c r="A19" s="48" t="s">
        <v>329</v>
      </c>
      <c r="B19" s="65" t="n">
        <f aca="false">'Variables Externas'!H22</f>
        <v>-0.009</v>
      </c>
      <c r="C19" s="60"/>
      <c r="D19" s="60"/>
      <c r="E19" s="60"/>
      <c r="F19" s="60"/>
      <c r="G19" s="60"/>
      <c r="H19" s="60"/>
      <c r="I19" s="60"/>
      <c r="J19" s="60"/>
    </row>
    <row r="20" customFormat="false" ht="15" hidden="false" customHeight="true" outlineLevel="0" collapsed="false">
      <c r="A20" s="48" t="s">
        <v>330</v>
      </c>
      <c r="B20" s="65" t="n">
        <f aca="false">'Variables Externas'!I22</f>
        <v>0.0052</v>
      </c>
      <c r="C20" s="60"/>
      <c r="D20" s="60"/>
      <c r="E20" s="60"/>
      <c r="F20" s="60"/>
      <c r="G20" s="60"/>
      <c r="H20" s="60"/>
      <c r="I20" s="60"/>
      <c r="J20" s="60"/>
    </row>
    <row r="21" customFormat="false" ht="15" hidden="false" customHeight="true" outlineLevel="0" collapsed="false">
      <c r="A21" s="48" t="s">
        <v>331</v>
      </c>
      <c r="B21" s="65" t="n">
        <f aca="false">'Variables Externas'!J22</f>
        <v>0.025</v>
      </c>
      <c r="C21" s="60"/>
      <c r="D21" s="60"/>
      <c r="E21" s="60"/>
      <c r="F21" s="60"/>
      <c r="G21" s="60"/>
      <c r="H21" s="60"/>
      <c r="I21" s="60"/>
      <c r="J21" s="60"/>
    </row>
    <row r="22" customFormat="false" ht="15" hidden="false" customHeight="true" outlineLevel="0" collapsed="false">
      <c r="A22" s="60"/>
      <c r="B22" s="60"/>
      <c r="C22" s="60"/>
      <c r="D22" s="60"/>
      <c r="E22" s="60"/>
      <c r="F22" s="60"/>
      <c r="G22" s="60"/>
      <c r="H22" s="60"/>
      <c r="I22" s="60"/>
      <c r="J22" s="60"/>
    </row>
    <row r="23" customFormat="false" ht="15" hidden="false" customHeight="true" outlineLevel="0" collapsed="false">
      <c r="A23" s="48" t="s">
        <v>195</v>
      </c>
      <c r="B23" s="48" t="s">
        <v>313</v>
      </c>
      <c r="C23" s="48" t="s">
        <v>314</v>
      </c>
      <c r="D23" s="48" t="s">
        <v>315</v>
      </c>
      <c r="E23" s="48" t="s">
        <v>316</v>
      </c>
      <c r="F23" s="48" t="s">
        <v>332</v>
      </c>
      <c r="G23" s="48" t="s">
        <v>333</v>
      </c>
      <c r="H23" s="48" t="s">
        <v>334</v>
      </c>
      <c r="I23" s="60"/>
      <c r="J23" s="60"/>
    </row>
    <row r="24" customFormat="false" ht="15" hidden="false" customHeight="true" outlineLevel="0" collapsed="false">
      <c r="A24" s="48" t="s">
        <v>247</v>
      </c>
      <c r="B24" s="63" t="n">
        <f aca="false">B6*(1+$B$19)</f>
        <v>41617.3423</v>
      </c>
      <c r="C24" s="63" t="n">
        <f aca="false">C6*(1+$B$19)</f>
        <v>40949.3092</v>
      </c>
      <c r="D24" s="63" t="n">
        <f aca="false">D6*(1+$B$19)</f>
        <v>40281.2761</v>
      </c>
      <c r="E24" s="63" t="n">
        <f aca="false">E6*(1+$B$19)</f>
        <v>39613.243</v>
      </c>
      <c r="F24" s="63" t="n">
        <f aca="false">SUM(B24:E24)</f>
        <v>162461.1706</v>
      </c>
      <c r="G24" s="63" t="n">
        <f aca="false">F6</f>
        <v>163936.6</v>
      </c>
      <c r="H24" s="55" t="n">
        <f aca="false">IFERROR((F24-G24)/ABS(G24),"")</f>
        <v>-0.00899999999999978</v>
      </c>
      <c r="I24" s="60"/>
      <c r="J24" s="60"/>
    </row>
    <row r="25" customFormat="false" ht="15" hidden="false" customHeight="true" outlineLevel="0" collapsed="false">
      <c r="A25" s="48" t="s">
        <v>321</v>
      </c>
      <c r="B25" s="63" t="n">
        <f aca="false">B7*(1+$B$19)*(1+$B$20)</f>
        <v>39859.5760682</v>
      </c>
      <c r="C25" s="63" t="n">
        <f aca="false">C7*(1+$B$19)*(1+$B$20)</f>
        <v>39163.56382736</v>
      </c>
      <c r="D25" s="63" t="n">
        <f aca="false">D7*(1+$B$19)*(1+$B$20)</f>
        <v>38467.55158652</v>
      </c>
      <c r="E25" s="63" t="n">
        <f aca="false">E7*(1+$B$19)*(1+$B$20)</f>
        <v>37771.53934568</v>
      </c>
      <c r="F25" s="63" t="n">
        <f aca="false">SUM(B25:E25)</f>
        <v>155262.23082776</v>
      </c>
      <c r="G25" s="63" t="n">
        <f aca="false">F7</f>
        <v>155861.8</v>
      </c>
      <c r="H25" s="55" t="n">
        <f aca="false">IFERROR((F25-G25)/ABS(G25),"")</f>
        <v>-0.00384679999999986</v>
      </c>
      <c r="I25" s="60"/>
      <c r="J25" s="60"/>
    </row>
    <row r="26" customFormat="false" ht="15" hidden="false" customHeight="true" outlineLevel="0" collapsed="false">
      <c r="A26" s="48" t="s">
        <v>322</v>
      </c>
      <c r="B26" s="63" t="n">
        <f aca="false">B24-B25</f>
        <v>1757.76623179999</v>
      </c>
      <c r="C26" s="63" t="n">
        <f aca="false">C24-C25</f>
        <v>1785.74537264</v>
      </c>
      <c r="D26" s="63" t="n">
        <f aca="false">D24-D25</f>
        <v>1813.72451348</v>
      </c>
      <c r="E26" s="63" t="n">
        <f aca="false">E24-E25</f>
        <v>1841.70365432001</v>
      </c>
      <c r="F26" s="63" t="n">
        <f aca="false">SUM(B26:E26)</f>
        <v>7198.93977224</v>
      </c>
      <c r="G26" s="63" t="n">
        <f aca="false">F8</f>
        <v>8074.8</v>
      </c>
      <c r="H26" s="55" t="n">
        <f aca="false">IFERROR((F26-G26)/ABS(G26),"")</f>
        <v>-0.108468349403082</v>
      </c>
      <c r="I26" s="60"/>
      <c r="J26" s="60"/>
    </row>
    <row r="27" customFormat="false" ht="15" hidden="false" customHeight="true" outlineLevel="0" collapsed="false">
      <c r="A27" s="48" t="s">
        <v>240</v>
      </c>
      <c r="B27" s="55" t="n">
        <f aca="false">B26/B24</f>
        <v>0.0422363883577446</v>
      </c>
      <c r="C27" s="55" t="n">
        <f aca="false">C26/C24</f>
        <v>0.0436086812580467</v>
      </c>
      <c r="D27" s="55" t="n">
        <f aca="false">D26/D24</f>
        <v>0.0450264909427732</v>
      </c>
      <c r="E27" s="55" t="n">
        <f aca="false">E26/E24</f>
        <v>0.0464921201811225</v>
      </c>
      <c r="F27" s="55" t="n">
        <f aca="false">F26/F24</f>
        <v>0.0443117561301137</v>
      </c>
      <c r="G27" s="55" t="n">
        <f aca="false">F9</f>
        <v>0.0492556268703877</v>
      </c>
      <c r="H27" s="55"/>
      <c r="I27" s="60"/>
      <c r="J27" s="60"/>
    </row>
    <row r="28" customFormat="false" ht="15" hidden="false" customHeight="true" outlineLevel="0" collapsed="false">
      <c r="A28" s="48" t="s">
        <v>323</v>
      </c>
      <c r="B28" s="55" t="n">
        <f aca="false">B10</f>
        <v>0.224855634155331</v>
      </c>
      <c r="C28" s="55" t="n">
        <f aca="false">C10</f>
        <v>0.202996529891104</v>
      </c>
      <c r="D28" s="55" t="n">
        <f aca="false">D10</f>
        <v>0.181137425626876</v>
      </c>
      <c r="E28" s="55" t="n">
        <f aca="false">E10</f>
        <v>0.159278321362649</v>
      </c>
      <c r="F28" s="55" t="n">
        <f aca="false">1-F29/F26</f>
        <v>0.191642193710092</v>
      </c>
      <c r="G28" s="55" t="n">
        <f aca="false">F10</f>
        <v>0.191734007304675</v>
      </c>
      <c r="H28" s="55"/>
      <c r="I28" s="60"/>
      <c r="J28" s="60"/>
    </row>
    <row r="29" customFormat="false" ht="15" hidden="false" customHeight="true" outlineLevel="0" collapsed="false">
      <c r="A29" s="48" t="s">
        <v>324</v>
      </c>
      <c r="B29" s="63" t="n">
        <f aca="false">B26*(1-B28)</f>
        <v>1362.52259105178</v>
      </c>
      <c r="C29" s="63" t="n">
        <f aca="false">C26*(1-C28)</f>
        <v>1423.24525872498</v>
      </c>
      <c r="D29" s="63" t="n">
        <f aca="false">D26*(1-D28)</f>
        <v>1485.19112431187</v>
      </c>
      <c r="E29" s="63" t="n">
        <f aca="false">E26*(1-E28)</f>
        <v>1548.36018781246</v>
      </c>
      <c r="F29" s="63" t="n">
        <f aca="false">SUM(B29:E29)</f>
        <v>5819.31916190109</v>
      </c>
      <c r="G29" s="63" t="n">
        <f aca="false">F11</f>
        <v>6526.58623781621</v>
      </c>
      <c r="H29" s="55" t="n">
        <f aca="false">IFERROR((F29-G29)/ABS(G29),"")</f>
        <v>-0.108367077388342</v>
      </c>
      <c r="I29" s="60"/>
      <c r="J29" s="60"/>
    </row>
    <row r="30" customFormat="false" ht="15" hidden="false" customHeight="true" outlineLevel="0" collapsed="false">
      <c r="A30" s="48" t="s">
        <v>250</v>
      </c>
      <c r="B30" s="63" t="n">
        <f aca="false">B12</f>
        <v>1011.854</v>
      </c>
      <c r="C30" s="63" t="n">
        <f aca="false">C12</f>
        <v>996.7536</v>
      </c>
      <c r="D30" s="63" t="n">
        <f aca="false">D12</f>
        <v>981.6532</v>
      </c>
      <c r="E30" s="63" t="n">
        <f aca="false">E12</f>
        <v>966.5528</v>
      </c>
      <c r="F30" s="63" t="n">
        <f aca="false">SUM(B30:E30)</f>
        <v>3956.8136</v>
      </c>
      <c r="G30" s="63" t="n">
        <f aca="false">F12</f>
        <v>3956.8136</v>
      </c>
      <c r="H30" s="55" t="n">
        <f aca="false">IFERROR((F30-G30)/ABS(G30),"")</f>
        <v>0</v>
      </c>
      <c r="I30" s="60"/>
      <c r="J30" s="60"/>
    </row>
    <row r="31" customFormat="false" ht="15" hidden="false" customHeight="true" outlineLevel="0" collapsed="false">
      <c r="A31" s="48" t="s">
        <v>251</v>
      </c>
      <c r="B31" s="63" t="n">
        <f aca="false">B13*(1+$B$21)</f>
        <v>818.7905</v>
      </c>
      <c r="C31" s="63" t="n">
        <f aca="false">C13*(1+$B$21)</f>
        <v>841.2585</v>
      </c>
      <c r="D31" s="63" t="n">
        <f aca="false">D13*(1+$B$21)</f>
        <v>863.7265</v>
      </c>
      <c r="E31" s="63" t="n">
        <f aca="false">E13*(1+$B$21)</f>
        <v>886.1945</v>
      </c>
      <c r="F31" s="63" t="n">
        <f aca="false">SUM(B31:E31)</f>
        <v>3409.97</v>
      </c>
      <c r="G31" s="63" t="n">
        <f aca="false">F13</f>
        <v>3326.8</v>
      </c>
      <c r="H31" s="55" t="n">
        <f aca="false">IFERROR((F31-G31)/ABS(G31),"")</f>
        <v>0.0249999999999999</v>
      </c>
      <c r="I31" s="60"/>
      <c r="J31" s="60"/>
    </row>
    <row r="32" customFormat="false" ht="15" hidden="false" customHeight="true" outlineLevel="0" collapsed="false">
      <c r="A32" s="48" t="s">
        <v>335</v>
      </c>
      <c r="B32" s="63" t="n">
        <f aca="false">B15</f>
        <v>-326.482800000001</v>
      </c>
      <c r="C32" s="63" t="n">
        <f aca="false">C15</f>
        <v>-939.317199999999</v>
      </c>
      <c r="D32" s="63" t="n">
        <f aca="false">D15</f>
        <v>-939.3172</v>
      </c>
      <c r="E32" s="63" t="n">
        <f aca="false">E15</f>
        <v>-939.3172</v>
      </c>
      <c r="F32" s="63" t="n">
        <f aca="false">SUM(B32:E32)</f>
        <v>-3144.4344</v>
      </c>
      <c r="G32" s="63" t="n">
        <f aca="false">F15</f>
        <v>-3144.4344</v>
      </c>
      <c r="H32" s="55"/>
      <c r="I32" s="60"/>
      <c r="J32" s="60"/>
    </row>
    <row r="33" customFormat="false" ht="15" hidden="false" customHeight="true" outlineLevel="0" collapsed="false">
      <c r="A33" s="48" t="s">
        <v>336</v>
      </c>
      <c r="B33" s="63" t="n">
        <f aca="false">B29+B30-B31-B32</f>
        <v>1882.06889105178</v>
      </c>
      <c r="C33" s="63" t="n">
        <f aca="false">C29+C30-C31-C32</f>
        <v>2518.05755872498</v>
      </c>
      <c r="D33" s="63" t="n">
        <f aca="false">D29+D30-D31-D32</f>
        <v>2542.43502431187</v>
      </c>
      <c r="E33" s="63" t="n">
        <f aca="false">E29+E30-E31-E32</f>
        <v>2568.03568781246</v>
      </c>
      <c r="F33" s="63" t="n">
        <f aca="false">SUM(B33:E33)</f>
        <v>9510.59716190109</v>
      </c>
      <c r="G33" s="63" t="n">
        <f aca="false">F16</f>
        <v>10301.0342378162</v>
      </c>
      <c r="H33" s="55" t="n">
        <f aca="false">IFERROR((F33-G33)/ABS(G33),"")</f>
        <v>-0.0767337587339859</v>
      </c>
      <c r="I33" s="60"/>
      <c r="J33" s="60"/>
    </row>
    <row r="34" customFormat="false" ht="15" hidden="false" customHeight="true" outlineLevel="0" collapsed="false">
      <c r="A34" s="60"/>
      <c r="B34" s="60"/>
      <c r="C34" s="60"/>
      <c r="D34" s="60"/>
      <c r="E34" s="60"/>
      <c r="F34" s="60"/>
      <c r="G34" s="60"/>
      <c r="H34" s="60"/>
      <c r="I34" s="60"/>
      <c r="J34" s="60"/>
    </row>
    <row r="35" customFormat="false" ht="15" hidden="false" customHeight="true" outlineLevel="0" collapsed="false">
      <c r="A35" s="61" t="s">
        <v>337</v>
      </c>
      <c r="B35" s="60"/>
      <c r="C35" s="60"/>
      <c r="D35" s="60"/>
      <c r="E35" s="60"/>
      <c r="F35" s="60"/>
      <c r="G35" s="60"/>
      <c r="H35" s="60"/>
      <c r="I35" s="60"/>
      <c r="J35" s="60"/>
    </row>
    <row r="36" customFormat="false" ht="15" hidden="false" customHeight="true" outlineLevel="0" collapsed="false">
      <c r="A36" s="60"/>
      <c r="B36" s="60"/>
      <c r="C36" s="60"/>
      <c r="D36" s="60"/>
      <c r="E36" s="60"/>
      <c r="F36" s="60"/>
      <c r="G36" s="60"/>
      <c r="H36" s="60"/>
      <c r="I36" s="60"/>
      <c r="J36" s="60"/>
    </row>
    <row r="37" customFormat="false" ht="15" hidden="false" customHeight="true" outlineLevel="0" collapsed="false">
      <c r="A37" s="61" t="s">
        <v>338</v>
      </c>
      <c r="B37" s="60"/>
      <c r="C37" s="60"/>
      <c r="D37" s="60"/>
      <c r="E37" s="60"/>
      <c r="F37" s="60"/>
      <c r="G37" s="60"/>
      <c r="H37" s="60"/>
      <c r="I37" s="60"/>
      <c r="J37" s="60"/>
    </row>
    <row r="38" customFormat="false" ht="15" hidden="false" customHeight="true" outlineLevel="0" collapsed="false">
      <c r="A38" s="64" t="s">
        <v>339</v>
      </c>
      <c r="B38" s="64" t="s">
        <v>340</v>
      </c>
      <c r="C38" s="64" t="s">
        <v>341</v>
      </c>
      <c r="D38" s="64" t="s">
        <v>342</v>
      </c>
      <c r="E38" s="64" t="s">
        <v>343</v>
      </c>
      <c r="F38" s="64" t="s">
        <v>344</v>
      </c>
      <c r="G38" s="60"/>
      <c r="H38" s="64" t="s">
        <v>345</v>
      </c>
      <c r="I38" s="64" t="s">
        <v>320</v>
      </c>
      <c r="J38" s="64" t="s">
        <v>346</v>
      </c>
    </row>
    <row r="39" customFormat="false" ht="15" hidden="false" customHeight="true" outlineLevel="0" collapsed="false">
      <c r="A39" s="48" t="str">
        <f aca="false">Datos!B$5</f>
        <v>2T25</v>
      </c>
      <c r="B39" s="48" t="n">
        <v>1</v>
      </c>
      <c r="C39" s="66" t="n">
        <f aca="false">B39-(COUNT($B$39:$B$43)+1)/2</f>
        <v>-2</v>
      </c>
      <c r="D39" s="63" t="n">
        <f aca="false">Datos!B6</f>
        <v>45810</v>
      </c>
      <c r="E39" s="63" t="n">
        <f aca="false">C39*D39</f>
        <v>-91620</v>
      </c>
      <c r="F39" s="67" t="n">
        <f aca="false">C39^2</f>
        <v>4</v>
      </c>
      <c r="G39" s="60"/>
      <c r="H39" s="48" t="s">
        <v>313</v>
      </c>
      <c r="I39" s="62" t="n">
        <f aca="false">MAX($C$39:$C$43)+1</f>
        <v>3</v>
      </c>
      <c r="J39" s="68" t="n">
        <f aca="false">$B$48+$B$47*I39</f>
        <v>41995.3</v>
      </c>
    </row>
    <row r="40" customFormat="false" ht="15" hidden="false" customHeight="true" outlineLevel="0" collapsed="false">
      <c r="A40" s="48" t="str">
        <f aca="false">Datos!C$5</f>
        <v>3T25</v>
      </c>
      <c r="B40" s="48" t="n">
        <v>2</v>
      </c>
      <c r="C40" s="66" t="n">
        <f aca="false">B40-(COUNT($B$39:$B$43)+1)/2</f>
        <v>-1</v>
      </c>
      <c r="D40" s="63" t="n">
        <f aca="false">Datos!C6</f>
        <v>42683</v>
      </c>
      <c r="E40" s="63" t="n">
        <f aca="false">C40*D40</f>
        <v>-42683</v>
      </c>
      <c r="F40" s="67" t="n">
        <f aca="false">C40^2</f>
        <v>1</v>
      </c>
      <c r="G40" s="60"/>
      <c r="H40" s="48" t="s">
        <v>314</v>
      </c>
      <c r="I40" s="62" t="n">
        <f aca="false">I39+1</f>
        <v>4</v>
      </c>
      <c r="J40" s="68" t="n">
        <f aca="false">$B$48+$B$47*I40</f>
        <v>41321.2</v>
      </c>
    </row>
    <row r="41" customFormat="false" ht="15" hidden="false" customHeight="true" outlineLevel="0" collapsed="false">
      <c r="A41" s="48" t="str">
        <f aca="false">Datos!D$5</f>
        <v>4T25</v>
      </c>
      <c r="B41" s="48" t="n">
        <v>3</v>
      </c>
      <c r="C41" s="66" t="n">
        <f aca="false">B41-(COUNT($B$39:$B$43)+1)/2</f>
        <v>0</v>
      </c>
      <c r="D41" s="63" t="n">
        <f aca="false">Datos!D6</f>
        <v>47592</v>
      </c>
      <c r="E41" s="63" t="n">
        <f aca="false">C41*D41</f>
        <v>0</v>
      </c>
      <c r="F41" s="67" t="n">
        <f aca="false">C41^2</f>
        <v>0</v>
      </c>
      <c r="G41" s="60"/>
      <c r="H41" s="48" t="s">
        <v>315</v>
      </c>
      <c r="I41" s="62" t="n">
        <f aca="false">I40+1</f>
        <v>5</v>
      </c>
      <c r="J41" s="68" t="n">
        <f aca="false">$B$48+$B$47*I41</f>
        <v>40647.1</v>
      </c>
    </row>
    <row r="42" customFormat="false" ht="15" hidden="false" customHeight="true" outlineLevel="0" collapsed="false">
      <c r="A42" s="48" t="str">
        <f aca="false">Datos!E$5</f>
        <v>1T26</v>
      </c>
      <c r="B42" s="48" t="n">
        <v>4</v>
      </c>
      <c r="C42" s="66" t="n">
        <f aca="false">B42-(COUNT($B$39:$B$43)+1)/2</f>
        <v>1</v>
      </c>
      <c r="D42" s="63" t="n">
        <f aca="false">Datos!E6</f>
        <v>40444</v>
      </c>
      <c r="E42" s="63" t="n">
        <f aca="false">C42*D42</f>
        <v>40444</v>
      </c>
      <c r="F42" s="67" t="n">
        <f aca="false">C42^2</f>
        <v>1</v>
      </c>
      <c r="G42" s="60"/>
      <c r="H42" s="48" t="s">
        <v>316</v>
      </c>
      <c r="I42" s="62" t="n">
        <f aca="false">I41+1</f>
        <v>6</v>
      </c>
      <c r="J42" s="68" t="n">
        <f aca="false">$B$48+$B$47*I42</f>
        <v>39973</v>
      </c>
    </row>
    <row r="43" customFormat="false" ht="15" hidden="false" customHeight="true" outlineLevel="0" collapsed="false">
      <c r="A43" s="48" t="str">
        <f aca="false">Datos!F$5</f>
        <v>2T26</v>
      </c>
      <c r="B43" s="48" t="n">
        <v>5</v>
      </c>
      <c r="C43" s="66" t="n">
        <f aca="false">B43-(COUNT($B$39:$B$43)+1)/2</f>
        <v>2</v>
      </c>
      <c r="D43" s="63" t="n">
        <f aca="false">Datos!F6</f>
        <v>43559</v>
      </c>
      <c r="E43" s="63" t="n">
        <f aca="false">C43*D43</f>
        <v>87118</v>
      </c>
      <c r="F43" s="67" t="n">
        <f aca="false">C43^2</f>
        <v>4</v>
      </c>
      <c r="G43" s="60"/>
      <c r="H43" s="60"/>
      <c r="I43" s="60"/>
      <c r="J43" s="60"/>
    </row>
    <row r="44" customFormat="false" ht="15" hidden="false" customHeight="true" outlineLevel="0" collapsed="false">
      <c r="A44" s="69" t="s">
        <v>347</v>
      </c>
      <c r="B44" s="69"/>
      <c r="C44" s="70" t="n">
        <f aca="false">SUM(C39:C43)</f>
        <v>0</v>
      </c>
      <c r="D44" s="68" t="n">
        <f aca="false">SUM(D39:D43)</f>
        <v>220088</v>
      </c>
      <c r="E44" s="68" t="n">
        <f aca="false">SUM(E39:E43)</f>
        <v>-6741</v>
      </c>
      <c r="F44" s="71" t="n">
        <f aca="false">SUM(F39:F43)</f>
        <v>10</v>
      </c>
      <c r="G44" s="60"/>
      <c r="H44" s="60" t="str">
        <f aca="false">"Ecuación: Y = "&amp;TEXT(B48,"#,##0.0000")&amp;" + ("&amp;TEXT(B47,"#,##0.0000")&amp;")·X"</f>
        <v>Ecuación: Y = 44,017.6000 + (-674.1000)·X</v>
      </c>
      <c r="I44" s="60"/>
      <c r="J44" s="60"/>
    </row>
    <row r="45" customFormat="false" ht="15" hidden="false" customHeight="true" outlineLevel="0" collapsed="false">
      <c r="A45" s="48" t="s">
        <v>348</v>
      </c>
      <c r="B45" s="48" t="n">
        <f aca="false">COUNT(B39:B43)</f>
        <v>5</v>
      </c>
      <c r="C45" s="60"/>
      <c r="D45" s="60"/>
      <c r="E45" s="60"/>
      <c r="F45" s="60"/>
      <c r="G45" s="60"/>
      <c r="H45" s="60"/>
      <c r="I45" s="60"/>
      <c r="J45" s="60"/>
    </row>
    <row r="46" customFormat="false" ht="15" hidden="false" customHeight="true" outlineLevel="0" collapsed="false">
      <c r="A46" s="48" t="s">
        <v>349</v>
      </c>
      <c r="B46" s="66" t="n">
        <f aca="false">C44/B45</f>
        <v>0</v>
      </c>
      <c r="C46" s="60"/>
      <c r="D46" s="60"/>
      <c r="E46" s="60"/>
      <c r="F46" s="60"/>
      <c r="G46" s="60"/>
      <c r="H46" s="60"/>
      <c r="I46" s="60"/>
      <c r="J46" s="60"/>
    </row>
    <row r="47" customFormat="false" ht="15" hidden="false" customHeight="true" outlineLevel="0" collapsed="false">
      <c r="A47" s="48" t="s">
        <v>350</v>
      </c>
      <c r="B47" s="63" t="n">
        <f aca="false">E44/F44</f>
        <v>-674.1</v>
      </c>
      <c r="C47" s="60"/>
      <c r="D47" s="60"/>
      <c r="E47" s="60"/>
      <c r="F47" s="60"/>
      <c r="G47" s="60"/>
      <c r="H47" s="60"/>
      <c r="I47" s="60"/>
      <c r="J47" s="60"/>
    </row>
    <row r="48" customFormat="false" ht="15" hidden="false" customHeight="true" outlineLevel="0" collapsed="false">
      <c r="A48" s="48" t="s">
        <v>351</v>
      </c>
      <c r="B48" s="63" t="n">
        <f aca="false">D44/B45</f>
        <v>44017.6</v>
      </c>
      <c r="C48" s="60"/>
      <c r="D48" s="60"/>
      <c r="E48" s="60"/>
      <c r="F48" s="60"/>
      <c r="G48" s="60"/>
      <c r="H48" s="60"/>
      <c r="I48" s="60"/>
      <c r="J48" s="60"/>
    </row>
    <row r="49" customFormat="false" ht="15" hidden="false" customHeight="true" outlineLevel="0" collapsed="false">
      <c r="A49" s="48" t="s">
        <v>352</v>
      </c>
      <c r="B49" s="72" t="n">
        <f aca="false">RSQ(D39:D43,C39:C43)</f>
        <v>0.147770485194537</v>
      </c>
      <c r="C49" s="60"/>
      <c r="D49" s="60"/>
      <c r="E49" s="60"/>
      <c r="F49" s="60"/>
      <c r="G49" s="60"/>
      <c r="H49" s="60"/>
      <c r="I49" s="60"/>
      <c r="J49" s="60"/>
    </row>
    <row r="50" customFormat="false" ht="15" hidden="false" customHeight="true" outlineLevel="0" collapsed="false">
      <c r="A50" s="60"/>
      <c r="B50" s="60"/>
      <c r="C50" s="60"/>
      <c r="D50" s="60"/>
      <c r="E50" s="60"/>
      <c r="F50" s="60"/>
      <c r="G50" s="60"/>
      <c r="H50" s="60"/>
      <c r="I50" s="60"/>
      <c r="J50" s="60"/>
    </row>
    <row r="51" customFormat="false" ht="15" hidden="false" customHeight="true" outlineLevel="0" collapsed="false">
      <c r="A51" s="60"/>
      <c r="B51" s="60"/>
      <c r="C51" s="60"/>
      <c r="D51" s="60"/>
      <c r="E51" s="60"/>
      <c r="F51" s="60"/>
      <c r="G51" s="60"/>
      <c r="H51" s="60"/>
      <c r="I51" s="60"/>
      <c r="J51" s="60"/>
    </row>
    <row r="52" customFormat="false" ht="15" hidden="false" customHeight="true" outlineLevel="0" collapsed="false">
      <c r="A52" s="60"/>
      <c r="B52" s="60"/>
      <c r="C52" s="60"/>
      <c r="D52" s="60"/>
      <c r="E52" s="60"/>
      <c r="F52" s="60"/>
      <c r="G52" s="60"/>
      <c r="H52" s="60"/>
      <c r="I52" s="60"/>
      <c r="J52" s="60"/>
    </row>
    <row r="53" customFormat="false" ht="15" hidden="false" customHeight="true" outlineLevel="0" collapsed="false">
      <c r="A53" s="60"/>
      <c r="B53" s="60"/>
      <c r="C53" s="60"/>
      <c r="D53" s="60"/>
      <c r="E53" s="60"/>
      <c r="F53" s="60"/>
      <c r="G53" s="60"/>
      <c r="H53" s="60"/>
      <c r="I53" s="60"/>
      <c r="J53" s="60"/>
    </row>
    <row r="54" customFormat="false" ht="15" hidden="false" customHeight="true" outlineLevel="0" collapsed="false">
      <c r="A54" s="61" t="s">
        <v>353</v>
      </c>
      <c r="B54" s="60"/>
      <c r="C54" s="60"/>
      <c r="D54" s="60"/>
      <c r="E54" s="60"/>
      <c r="F54" s="60"/>
      <c r="G54" s="60"/>
      <c r="H54" s="60"/>
      <c r="I54" s="60"/>
      <c r="J54" s="60"/>
    </row>
    <row r="55" customFormat="false" ht="15" hidden="false" customHeight="true" outlineLevel="0" collapsed="false">
      <c r="A55" s="64" t="s">
        <v>339</v>
      </c>
      <c r="B55" s="64" t="s">
        <v>340</v>
      </c>
      <c r="C55" s="64" t="s">
        <v>341</v>
      </c>
      <c r="D55" s="64" t="s">
        <v>342</v>
      </c>
      <c r="E55" s="64" t="s">
        <v>343</v>
      </c>
      <c r="F55" s="64" t="s">
        <v>344</v>
      </c>
      <c r="G55" s="60"/>
      <c r="H55" s="64" t="s">
        <v>345</v>
      </c>
      <c r="I55" s="64" t="s">
        <v>320</v>
      </c>
      <c r="J55" s="64" t="s">
        <v>346</v>
      </c>
    </row>
    <row r="56" customFormat="false" ht="15" hidden="false" customHeight="true" outlineLevel="0" collapsed="false">
      <c r="A56" s="48" t="str">
        <f aca="false">Datos!B$5</f>
        <v>2T25</v>
      </c>
      <c r="B56" s="48" t="n">
        <v>1</v>
      </c>
      <c r="C56" s="66" t="n">
        <f aca="false">B56-(COUNT($B$56:$B$60)+1)/2</f>
        <v>-2</v>
      </c>
      <c r="D56" s="63" t="n">
        <f aca="false">Datos!B6-Datos!B9</f>
        <v>43901</v>
      </c>
      <c r="E56" s="63" t="n">
        <f aca="false">C56*D56</f>
        <v>-87802</v>
      </c>
      <c r="F56" s="67" t="n">
        <f aca="false">C56^2</f>
        <v>4</v>
      </c>
      <c r="G56" s="60"/>
      <c r="H56" s="48" t="s">
        <v>313</v>
      </c>
      <c r="I56" s="62" t="n">
        <f aca="false">MAX($C$56:$C$60)+1</f>
        <v>3</v>
      </c>
      <c r="J56" s="68" t="n">
        <f aca="false">$B$65+$B$64*I56</f>
        <v>40013.5</v>
      </c>
    </row>
    <row r="57" customFormat="false" ht="15" hidden="false" customHeight="true" outlineLevel="0" collapsed="false">
      <c r="A57" s="48" t="str">
        <f aca="false">Datos!C$5</f>
        <v>3T25</v>
      </c>
      <c r="B57" s="48" t="n">
        <v>2</v>
      </c>
      <c r="C57" s="66" t="n">
        <f aca="false">B57-(COUNT($B$56:$B$60)+1)/2</f>
        <v>-1</v>
      </c>
      <c r="D57" s="63" t="n">
        <f aca="false">Datos!C6-Datos!C9</f>
        <v>41215</v>
      </c>
      <c r="E57" s="63" t="n">
        <f aca="false">C57*D57</f>
        <v>-41215</v>
      </c>
      <c r="F57" s="67" t="n">
        <f aca="false">C57^2</f>
        <v>1</v>
      </c>
      <c r="G57" s="60"/>
      <c r="H57" s="48" t="s">
        <v>314</v>
      </c>
      <c r="I57" s="62" t="n">
        <f aca="false">I56+1</f>
        <v>4</v>
      </c>
      <c r="J57" s="68" t="n">
        <f aca="false">$B$65+$B$64*I57</f>
        <v>39314.8</v>
      </c>
    </row>
    <row r="58" customFormat="false" ht="15" hidden="false" customHeight="true" outlineLevel="0" collapsed="false">
      <c r="A58" s="48" t="str">
        <f aca="false">Datos!D$5</f>
        <v>4T25</v>
      </c>
      <c r="B58" s="48" t="n">
        <v>3</v>
      </c>
      <c r="C58" s="66" t="n">
        <f aca="false">B58-(COUNT($B$56:$B$60)+1)/2</f>
        <v>0</v>
      </c>
      <c r="D58" s="63" t="n">
        <f aca="false">Datos!D6-Datos!D9</f>
        <v>45106</v>
      </c>
      <c r="E58" s="63" t="n">
        <f aca="false">C58*D58</f>
        <v>0</v>
      </c>
      <c r="F58" s="67" t="n">
        <f aca="false">C58^2</f>
        <v>0</v>
      </c>
      <c r="G58" s="60"/>
      <c r="H58" s="48" t="s">
        <v>315</v>
      </c>
      <c r="I58" s="62" t="n">
        <f aca="false">I57+1</f>
        <v>5</v>
      </c>
      <c r="J58" s="68" t="n">
        <f aca="false">$B$65+$B$64*I58</f>
        <v>38616.1</v>
      </c>
    </row>
    <row r="59" customFormat="false" ht="15" hidden="false" customHeight="true" outlineLevel="0" collapsed="false">
      <c r="A59" s="48" t="str">
        <f aca="false">Datos!E$5</f>
        <v>1T26</v>
      </c>
      <c r="B59" s="48" t="n">
        <v>4</v>
      </c>
      <c r="C59" s="66" t="n">
        <f aca="false">B59-(COUNT($B$56:$B$60)+1)/2</f>
        <v>1</v>
      </c>
      <c r="D59" s="63" t="n">
        <f aca="false">Datos!E6-Datos!E9</f>
        <v>38622</v>
      </c>
      <c r="E59" s="63" t="n">
        <f aca="false">C59*D59</f>
        <v>38622</v>
      </c>
      <c r="F59" s="67" t="n">
        <f aca="false">C59^2</f>
        <v>1</v>
      </c>
      <c r="G59" s="60"/>
      <c r="H59" s="48" t="s">
        <v>316</v>
      </c>
      <c r="I59" s="62" t="n">
        <f aca="false">I58+1</f>
        <v>6</v>
      </c>
      <c r="J59" s="68" t="n">
        <f aca="false">$B$65+$B$64*I59</f>
        <v>37917.4</v>
      </c>
    </row>
    <row r="60" customFormat="false" ht="15" hidden="false" customHeight="true" outlineLevel="0" collapsed="false">
      <c r="A60" s="48" t="str">
        <f aca="false">Datos!F$5</f>
        <v>2T26</v>
      </c>
      <c r="B60" s="48" t="n">
        <v>5</v>
      </c>
      <c r="C60" s="66" t="n">
        <f aca="false">B60-(COUNT($B$56:$B$60)+1)/2</f>
        <v>2</v>
      </c>
      <c r="D60" s="63" t="n">
        <f aca="false">Datos!F6-Datos!F9</f>
        <v>41704</v>
      </c>
      <c r="E60" s="63" t="n">
        <f aca="false">C60*D60</f>
        <v>83408</v>
      </c>
      <c r="F60" s="67" t="n">
        <f aca="false">C60^2</f>
        <v>4</v>
      </c>
      <c r="G60" s="60"/>
      <c r="H60" s="60"/>
      <c r="I60" s="60"/>
      <c r="J60" s="60"/>
    </row>
    <row r="61" customFormat="false" ht="15" hidden="false" customHeight="true" outlineLevel="0" collapsed="false">
      <c r="A61" s="69" t="s">
        <v>347</v>
      </c>
      <c r="B61" s="69"/>
      <c r="C61" s="70" t="n">
        <f aca="false">SUM(C56:C60)</f>
        <v>0</v>
      </c>
      <c r="D61" s="68" t="n">
        <f aca="false">SUM(D56:D60)</f>
        <v>210548</v>
      </c>
      <c r="E61" s="68" t="n">
        <f aca="false">SUM(E56:E60)</f>
        <v>-6987</v>
      </c>
      <c r="F61" s="71" t="n">
        <f aca="false">SUM(F56:F60)</f>
        <v>10</v>
      </c>
      <c r="G61" s="60"/>
      <c r="H61" s="60" t="str">
        <f aca="false">"Ecuación: Y = "&amp;TEXT(B65,"#,##0.0000")&amp;" + ("&amp;TEXT(B64,"#,##0.0000")&amp;")·X"</f>
        <v>Ecuación: Y = 42,109.6000 + (-698.7000)·X</v>
      </c>
      <c r="I61" s="60"/>
      <c r="J61" s="60"/>
    </row>
    <row r="62" customFormat="false" ht="15" hidden="false" customHeight="true" outlineLevel="0" collapsed="false">
      <c r="A62" s="48" t="s">
        <v>348</v>
      </c>
      <c r="B62" s="48" t="n">
        <f aca="false">COUNT(B56:B60)</f>
        <v>5</v>
      </c>
      <c r="C62" s="60"/>
      <c r="D62" s="60"/>
      <c r="E62" s="60"/>
      <c r="F62" s="60"/>
      <c r="G62" s="60"/>
      <c r="H62" s="60"/>
      <c r="I62" s="60"/>
      <c r="J62" s="60"/>
    </row>
    <row r="63" customFormat="false" ht="15" hidden="false" customHeight="true" outlineLevel="0" collapsed="false">
      <c r="A63" s="48" t="s">
        <v>349</v>
      </c>
      <c r="B63" s="66" t="n">
        <f aca="false">C61/B62</f>
        <v>0</v>
      </c>
      <c r="C63" s="60"/>
      <c r="D63" s="60"/>
      <c r="E63" s="60"/>
      <c r="F63" s="60"/>
      <c r="G63" s="60"/>
      <c r="H63" s="60"/>
      <c r="I63" s="60"/>
      <c r="J63" s="60"/>
    </row>
    <row r="64" customFormat="false" ht="15" hidden="false" customHeight="true" outlineLevel="0" collapsed="false">
      <c r="A64" s="48" t="s">
        <v>350</v>
      </c>
      <c r="B64" s="63" t="n">
        <f aca="false">E61/F61</f>
        <v>-698.7</v>
      </c>
      <c r="C64" s="60"/>
      <c r="D64" s="60"/>
      <c r="E64" s="60"/>
      <c r="F64" s="60"/>
      <c r="G64" s="60"/>
      <c r="H64" s="60"/>
      <c r="I64" s="60"/>
      <c r="J64" s="60"/>
    </row>
    <row r="65" customFormat="false" ht="15" hidden="false" customHeight="true" outlineLevel="0" collapsed="false">
      <c r="A65" s="48" t="s">
        <v>351</v>
      </c>
      <c r="B65" s="63" t="n">
        <f aca="false">D61/B62</f>
        <v>42109.6</v>
      </c>
      <c r="C65" s="60"/>
      <c r="D65" s="60"/>
      <c r="E65" s="60"/>
      <c r="F65" s="60"/>
      <c r="G65" s="60"/>
      <c r="H65" s="60"/>
      <c r="I65" s="60"/>
      <c r="J65" s="60"/>
    </row>
    <row r="66" customFormat="false" ht="15" hidden="false" customHeight="true" outlineLevel="0" collapsed="false">
      <c r="A66" s="48" t="s">
        <v>352</v>
      </c>
      <c r="B66" s="72" t="n">
        <f aca="false">RSQ(D56:D60,C56:C60)</f>
        <v>0.192837514609313</v>
      </c>
      <c r="C66" s="60"/>
      <c r="D66" s="60"/>
      <c r="E66" s="60"/>
      <c r="F66" s="60"/>
      <c r="G66" s="60"/>
      <c r="H66" s="60"/>
      <c r="I66" s="60"/>
      <c r="J66" s="60"/>
    </row>
    <row r="67" customFormat="false" ht="15" hidden="false" customHeight="true" outlineLevel="0" collapsed="false">
      <c r="A67" s="60"/>
      <c r="B67" s="60"/>
      <c r="C67" s="60"/>
      <c r="D67" s="60"/>
      <c r="E67" s="60"/>
      <c r="F67" s="60"/>
      <c r="G67" s="60"/>
      <c r="H67" s="60"/>
      <c r="I67" s="60"/>
      <c r="J67" s="60"/>
    </row>
    <row r="68" customFormat="false" ht="15" hidden="false" customHeight="true" outlineLevel="0" collapsed="false">
      <c r="A68" s="60"/>
      <c r="B68" s="60"/>
      <c r="C68" s="60"/>
      <c r="D68" s="60"/>
      <c r="E68" s="60"/>
      <c r="F68" s="60"/>
      <c r="G68" s="60"/>
      <c r="H68" s="60"/>
      <c r="I68" s="60"/>
      <c r="J68" s="60"/>
    </row>
    <row r="69" customFormat="false" ht="15" hidden="false" customHeight="true" outlineLevel="0" collapsed="false">
      <c r="A69" s="60"/>
      <c r="B69" s="60"/>
      <c r="C69" s="60"/>
      <c r="D69" s="60"/>
      <c r="E69" s="60"/>
      <c r="F69" s="60"/>
      <c r="G69" s="60"/>
      <c r="H69" s="60"/>
      <c r="I69" s="60"/>
      <c r="J69" s="60"/>
    </row>
    <row r="70" customFormat="false" ht="15" hidden="false" customHeight="true" outlineLevel="0" collapsed="false">
      <c r="A70" s="60"/>
      <c r="B70" s="60"/>
      <c r="C70" s="60"/>
      <c r="D70" s="60"/>
      <c r="E70" s="60"/>
      <c r="F70" s="60"/>
      <c r="G70" s="60"/>
      <c r="H70" s="60"/>
      <c r="I70" s="60"/>
      <c r="J70" s="60"/>
    </row>
    <row r="71" customFormat="false" ht="15" hidden="false" customHeight="true" outlineLevel="0" collapsed="false">
      <c r="A71" s="61" t="s">
        <v>354</v>
      </c>
      <c r="B71" s="60"/>
      <c r="C71" s="60"/>
      <c r="D71" s="60"/>
      <c r="E71" s="60"/>
      <c r="F71" s="60"/>
      <c r="G71" s="60"/>
      <c r="H71" s="60"/>
      <c r="I71" s="60"/>
      <c r="J71" s="60"/>
    </row>
    <row r="72" customFormat="false" ht="15" hidden="false" customHeight="true" outlineLevel="0" collapsed="false">
      <c r="A72" s="64" t="s">
        <v>339</v>
      </c>
      <c r="B72" s="64" t="s">
        <v>340</v>
      </c>
      <c r="C72" s="64" t="s">
        <v>341</v>
      </c>
      <c r="D72" s="64" t="s">
        <v>355</v>
      </c>
      <c r="E72" s="64" t="s">
        <v>343</v>
      </c>
      <c r="F72" s="64" t="s">
        <v>344</v>
      </c>
      <c r="G72" s="60"/>
      <c r="H72" s="64" t="s">
        <v>345</v>
      </c>
      <c r="I72" s="64" t="s">
        <v>320</v>
      </c>
      <c r="J72" s="64" t="s">
        <v>346</v>
      </c>
    </row>
    <row r="73" customFormat="false" ht="15" hidden="false" customHeight="true" outlineLevel="0" collapsed="false">
      <c r="A73" s="48" t="str">
        <f aca="false">Datos!B$5</f>
        <v>2T25</v>
      </c>
      <c r="B73" s="48" t="n">
        <v>1</v>
      </c>
      <c r="C73" s="66" t="n">
        <f aca="false">B73-(COUNT($B$73:$B$77)+1)/2</f>
        <v>-2</v>
      </c>
      <c r="D73" s="73" t="n">
        <f aca="false">Datos!B12/Datos!B11</f>
        <v>0.383208645054032</v>
      </c>
      <c r="E73" s="74" t="n">
        <f aca="false">C73*D73</f>
        <v>-0.766417290108063</v>
      </c>
      <c r="F73" s="67" t="n">
        <f aca="false">C73^2</f>
        <v>4</v>
      </c>
      <c r="G73" s="60"/>
      <c r="H73" s="48" t="s">
        <v>313</v>
      </c>
      <c r="I73" s="62" t="n">
        <f aca="false">MAX($C$73:$C$77)+1</f>
        <v>3</v>
      </c>
      <c r="J73" s="75" t="n">
        <f aca="false">$B$82+$B$81*I73</f>
        <v>0.224855634155331</v>
      </c>
    </row>
    <row r="74" customFormat="false" ht="15" hidden="false" customHeight="true" outlineLevel="0" collapsed="false">
      <c r="A74" s="48" t="str">
        <f aca="false">Datos!C$5</f>
        <v>3T25</v>
      </c>
      <c r="B74" s="48" t="n">
        <v>2</v>
      </c>
      <c r="C74" s="66" t="n">
        <f aca="false">B74-(COUNT($B$73:$B$77)+1)/2</f>
        <v>-1</v>
      </c>
      <c r="D74" s="73" t="n">
        <f aca="false">Datos!C12/Datos!C11</f>
        <v>0.234293193717278</v>
      </c>
      <c r="E74" s="74" t="n">
        <f aca="false">C74*D74</f>
        <v>-0.234293193717278</v>
      </c>
      <c r="F74" s="67" t="n">
        <f aca="false">C74^2</f>
        <v>1</v>
      </c>
      <c r="G74" s="60"/>
      <c r="H74" s="48" t="s">
        <v>314</v>
      </c>
      <c r="I74" s="62" t="n">
        <f aca="false">I73+1</f>
        <v>4</v>
      </c>
      <c r="J74" s="75" t="n">
        <f aca="false">$B$82+$B$81*I74</f>
        <v>0.202996529891104</v>
      </c>
    </row>
    <row r="75" customFormat="false" ht="15" hidden="false" customHeight="true" outlineLevel="0" collapsed="false">
      <c r="A75" s="48" t="str">
        <f aca="false">Datos!D$5</f>
        <v>4T25</v>
      </c>
      <c r="B75" s="48" t="n">
        <v>3</v>
      </c>
      <c r="C75" s="66" t="n">
        <f aca="false">B75-(COUNT($B$73:$B$77)+1)/2</f>
        <v>0</v>
      </c>
      <c r="D75" s="73" t="n">
        <f aca="false">Datos!D12/Datos!D11</f>
        <v>0.258082813386273</v>
      </c>
      <c r="E75" s="74" t="n">
        <f aca="false">C75*D75</f>
        <v>0</v>
      </c>
      <c r="F75" s="67" t="n">
        <f aca="false">C75^2</f>
        <v>0</v>
      </c>
      <c r="G75" s="60"/>
      <c r="H75" s="48" t="s">
        <v>315</v>
      </c>
      <c r="I75" s="62" t="n">
        <f aca="false">I74+1</f>
        <v>5</v>
      </c>
      <c r="J75" s="75" t="n">
        <f aca="false">$B$82+$B$81*I75</f>
        <v>0.181137425626876</v>
      </c>
    </row>
    <row r="76" customFormat="false" ht="15" hidden="false" customHeight="true" outlineLevel="0" collapsed="false">
      <c r="A76" s="48" t="str">
        <f aca="false">Datos!E$5</f>
        <v>1T26</v>
      </c>
      <c r="B76" s="48" t="n">
        <v>4</v>
      </c>
      <c r="C76" s="66" t="n">
        <f aca="false">B76-(COUNT($B$73:$B$77)+1)/2</f>
        <v>1</v>
      </c>
      <c r="D76" s="73" t="n">
        <f aca="false">Datos!E12/Datos!E11</f>
        <v>0.3710407239819</v>
      </c>
      <c r="E76" s="74" t="n">
        <f aca="false">C76*D76</f>
        <v>0.3710407239819</v>
      </c>
      <c r="F76" s="67" t="n">
        <f aca="false">C76^2</f>
        <v>1</v>
      </c>
      <c r="G76" s="60"/>
      <c r="H76" s="48" t="s">
        <v>316</v>
      </c>
      <c r="I76" s="62" t="n">
        <f aca="false">I75+1</f>
        <v>6</v>
      </c>
      <c r="J76" s="75" t="n">
        <f aca="false">$B$82+$B$81*I76</f>
        <v>0.159278321362649</v>
      </c>
    </row>
    <row r="77" customFormat="false" ht="15" hidden="false" customHeight="true" outlineLevel="0" collapsed="false">
      <c r="A77" s="48" t="str">
        <f aca="false">Datos!F$5</f>
        <v>2T26</v>
      </c>
      <c r="B77" s="48" t="n">
        <v>5</v>
      </c>
      <c r="C77" s="66" t="n">
        <f aca="false">B77-(COUNT($B$73:$B$77)+1)/2</f>
        <v>2</v>
      </c>
      <c r="D77" s="73" t="n">
        <f aca="false">Datos!F12/Datos!F11</f>
        <v>0.205539358600583</v>
      </c>
      <c r="E77" s="74" t="n">
        <f aca="false">C77*D77</f>
        <v>0.411078717201166</v>
      </c>
      <c r="F77" s="67" t="n">
        <f aca="false">C77^2</f>
        <v>4</v>
      </c>
      <c r="G77" s="60"/>
      <c r="H77" s="60"/>
      <c r="I77" s="60"/>
      <c r="J77" s="60"/>
    </row>
    <row r="78" customFormat="false" ht="15" hidden="false" customHeight="true" outlineLevel="0" collapsed="false">
      <c r="A78" s="69" t="s">
        <v>347</v>
      </c>
      <c r="B78" s="69"/>
      <c r="C78" s="70" t="n">
        <f aca="false">SUM(C73:C77)</f>
        <v>0</v>
      </c>
      <c r="D78" s="75" t="n">
        <f aca="false">SUM(D73:D77)</f>
        <v>1.45216473474007</v>
      </c>
      <c r="E78" s="76" t="n">
        <f aca="false">SUM(E73:E77)</f>
        <v>-0.218591042642274</v>
      </c>
      <c r="F78" s="71" t="n">
        <f aca="false">SUM(F73:F77)</f>
        <v>10</v>
      </c>
      <c r="G78" s="60"/>
      <c r="H78" s="60" t="str">
        <f aca="false">"Ecuación: Y = "&amp;TEXT(B82,"#,##0.0000")&amp;" + ("&amp;TEXT(B81,"#,##0.0000")&amp;")·X"</f>
        <v>Ecuación: Y = 0.2904 + (-0.0219)·X</v>
      </c>
      <c r="I78" s="60"/>
      <c r="J78" s="60"/>
    </row>
    <row r="79" customFormat="false" ht="15" hidden="false" customHeight="true" outlineLevel="0" collapsed="false">
      <c r="A79" s="48" t="s">
        <v>348</v>
      </c>
      <c r="B79" s="48" t="n">
        <f aca="false">COUNT(B73:B77)</f>
        <v>5</v>
      </c>
      <c r="C79" s="60"/>
      <c r="D79" s="60"/>
      <c r="E79" s="60"/>
      <c r="F79" s="60"/>
      <c r="G79" s="60"/>
      <c r="H79" s="60"/>
      <c r="I79" s="60"/>
      <c r="J79" s="60"/>
    </row>
    <row r="80" customFormat="false" ht="15" hidden="false" customHeight="true" outlineLevel="0" collapsed="false">
      <c r="A80" s="48" t="s">
        <v>349</v>
      </c>
      <c r="B80" s="66" t="n">
        <f aca="false">C78/B79</f>
        <v>0</v>
      </c>
      <c r="C80" s="60"/>
      <c r="D80" s="60"/>
      <c r="E80" s="60"/>
      <c r="F80" s="60"/>
      <c r="G80" s="60"/>
      <c r="H80" s="60"/>
      <c r="I80" s="60"/>
      <c r="J80" s="60"/>
    </row>
    <row r="81" customFormat="false" ht="15" hidden="false" customHeight="true" outlineLevel="0" collapsed="false">
      <c r="A81" s="48" t="s">
        <v>350</v>
      </c>
      <c r="B81" s="74" t="n">
        <f aca="false">E78/F78</f>
        <v>-0.0218591042642274</v>
      </c>
      <c r="C81" s="60"/>
      <c r="D81" s="60"/>
      <c r="E81" s="60"/>
      <c r="F81" s="60"/>
      <c r="G81" s="60"/>
      <c r="H81" s="60"/>
      <c r="I81" s="60"/>
      <c r="J81" s="60"/>
    </row>
    <row r="82" customFormat="false" ht="15" hidden="false" customHeight="true" outlineLevel="0" collapsed="false">
      <c r="A82" s="48" t="s">
        <v>351</v>
      </c>
      <c r="B82" s="74" t="n">
        <f aca="false">D78/B79</f>
        <v>0.290432946948013</v>
      </c>
      <c r="C82" s="60"/>
      <c r="D82" s="60"/>
      <c r="E82" s="60"/>
      <c r="F82" s="60"/>
      <c r="G82" s="60"/>
      <c r="H82" s="60"/>
      <c r="I82" s="60"/>
      <c r="J82" s="60"/>
    </row>
    <row r="83" customFormat="false" ht="15" hidden="false" customHeight="true" outlineLevel="0" collapsed="false">
      <c r="A83" s="48" t="s">
        <v>352</v>
      </c>
      <c r="B83" s="72" t="n">
        <f aca="false">RSQ(D73:D77,C73:C77)</f>
        <v>0.1802411199598</v>
      </c>
      <c r="C83" s="60"/>
      <c r="D83" s="60"/>
      <c r="E83" s="60"/>
      <c r="F83" s="60"/>
      <c r="G83" s="60"/>
      <c r="H83" s="60"/>
      <c r="I83" s="60"/>
      <c r="J83" s="60"/>
    </row>
    <row r="84" customFormat="false" ht="15" hidden="false" customHeight="true" outlineLevel="0" collapsed="false">
      <c r="A84" s="60"/>
      <c r="B84" s="60"/>
      <c r="C84" s="60"/>
      <c r="D84" s="60"/>
      <c r="E84" s="60"/>
      <c r="F84" s="60"/>
      <c r="G84" s="60"/>
      <c r="H84" s="60"/>
      <c r="I84" s="60"/>
      <c r="J84" s="60"/>
    </row>
    <row r="85" customFormat="false" ht="15" hidden="false" customHeight="true" outlineLevel="0" collapsed="false">
      <c r="A85" s="60"/>
      <c r="B85" s="60"/>
      <c r="C85" s="60"/>
      <c r="D85" s="60"/>
      <c r="E85" s="60"/>
      <c r="F85" s="60"/>
      <c r="G85" s="60"/>
      <c r="H85" s="60"/>
      <c r="I85" s="60"/>
      <c r="J85" s="60"/>
    </row>
    <row r="86" customFormat="false" ht="15" hidden="false" customHeight="true" outlineLevel="0" collapsed="false">
      <c r="A86" s="60"/>
      <c r="B86" s="60"/>
      <c r="C86" s="60"/>
      <c r="D86" s="60"/>
      <c r="E86" s="60"/>
      <c r="F86" s="60"/>
      <c r="G86" s="60"/>
      <c r="H86" s="60"/>
      <c r="I86" s="60"/>
      <c r="J86" s="60"/>
    </row>
    <row r="87" customFormat="false" ht="15" hidden="false" customHeight="true" outlineLevel="0" collapsed="false">
      <c r="A87" s="60"/>
      <c r="B87" s="60"/>
      <c r="C87" s="60"/>
      <c r="D87" s="60"/>
      <c r="E87" s="60"/>
      <c r="F87" s="60"/>
      <c r="G87" s="60"/>
      <c r="H87" s="60"/>
      <c r="I87" s="60"/>
      <c r="J87" s="60"/>
    </row>
    <row r="88" customFormat="false" ht="15" hidden="false" customHeight="true" outlineLevel="0" collapsed="false">
      <c r="A88" s="61" t="s">
        <v>356</v>
      </c>
      <c r="B88" s="60"/>
      <c r="C88" s="60"/>
      <c r="D88" s="60"/>
      <c r="E88" s="60"/>
      <c r="F88" s="60"/>
      <c r="G88" s="60"/>
      <c r="H88" s="60"/>
      <c r="I88" s="60"/>
      <c r="J88" s="60"/>
    </row>
    <row r="89" customFormat="false" ht="15" hidden="false" customHeight="true" outlineLevel="0" collapsed="false">
      <c r="A89" s="64" t="s">
        <v>339</v>
      </c>
      <c r="B89" s="64" t="s">
        <v>340</v>
      </c>
      <c r="C89" s="64" t="s">
        <v>341</v>
      </c>
      <c r="D89" s="64" t="s">
        <v>342</v>
      </c>
      <c r="E89" s="64" t="s">
        <v>343</v>
      </c>
      <c r="F89" s="64" t="s">
        <v>344</v>
      </c>
      <c r="G89" s="60"/>
      <c r="H89" s="64" t="s">
        <v>345</v>
      </c>
      <c r="I89" s="64" t="s">
        <v>320</v>
      </c>
      <c r="J89" s="64" t="s">
        <v>346</v>
      </c>
    </row>
    <row r="90" customFormat="false" ht="15" hidden="false" customHeight="true" outlineLevel="0" collapsed="false">
      <c r="A90" s="48" t="str">
        <f aca="false">Datos!B$5</f>
        <v>2T25</v>
      </c>
      <c r="B90" s="48" t="n">
        <v>1</v>
      </c>
      <c r="C90" s="66" t="n">
        <f aca="false">B90-(COUNT($B$90:$B$94)+1)/2</f>
        <v>-2</v>
      </c>
      <c r="D90" s="63" t="n">
        <f aca="false">Datos!B14</f>
        <v>1105.905</v>
      </c>
      <c r="E90" s="63" t="n">
        <f aca="false">C90*D90</f>
        <v>-2211.81</v>
      </c>
      <c r="F90" s="67" t="n">
        <f aca="false">C90^2</f>
        <v>4</v>
      </c>
      <c r="G90" s="60"/>
      <c r="H90" s="48" t="s">
        <v>313</v>
      </c>
      <c r="I90" s="62" t="n">
        <f aca="false">MAX($C$90:$C$94)+1</f>
        <v>3</v>
      </c>
      <c r="J90" s="68" t="n">
        <f aca="false">$B$99+$B$98*I90</f>
        <v>1011.854</v>
      </c>
    </row>
    <row r="91" customFormat="false" ht="15" hidden="false" customHeight="true" outlineLevel="0" collapsed="false">
      <c r="A91" s="48" t="str">
        <f aca="false">Datos!C$5</f>
        <v>3T25</v>
      </c>
      <c r="B91" s="48" t="n">
        <v>2</v>
      </c>
      <c r="C91" s="66" t="n">
        <f aca="false">B91-(COUNT($B$90:$B$94)+1)/2</f>
        <v>-1</v>
      </c>
      <c r="D91" s="63" t="n">
        <f aca="false">Datos!C14</f>
        <v>1049.349</v>
      </c>
      <c r="E91" s="63" t="n">
        <f aca="false">C91*D91</f>
        <v>-1049.349</v>
      </c>
      <c r="F91" s="67" t="n">
        <f aca="false">C91^2</f>
        <v>1</v>
      </c>
      <c r="G91" s="60"/>
      <c r="H91" s="48" t="s">
        <v>314</v>
      </c>
      <c r="I91" s="62" t="n">
        <f aca="false">I90+1</f>
        <v>4</v>
      </c>
      <c r="J91" s="68" t="n">
        <f aca="false">$B$99+$B$98*I91</f>
        <v>996.7536</v>
      </c>
    </row>
    <row r="92" customFormat="false" ht="15" hidden="false" customHeight="true" outlineLevel="0" collapsed="false">
      <c r="A92" s="48" t="str">
        <f aca="false">Datos!D$5</f>
        <v>4T25</v>
      </c>
      <c r="B92" s="48" t="n">
        <v>3</v>
      </c>
      <c r="C92" s="66" t="n">
        <f aca="false">B92-(COUNT($B$90:$B$94)+1)/2</f>
        <v>0</v>
      </c>
      <c r="D92" s="63" t="n">
        <f aca="false">Datos!D14</f>
        <v>1051</v>
      </c>
      <c r="E92" s="63" t="n">
        <f aca="false">C92*D92</f>
        <v>0</v>
      </c>
      <c r="F92" s="67" t="n">
        <f aca="false">C92^2</f>
        <v>0</v>
      </c>
      <c r="G92" s="60"/>
      <c r="H92" s="48" t="s">
        <v>315</v>
      </c>
      <c r="I92" s="62" t="n">
        <f aca="false">I91+1</f>
        <v>5</v>
      </c>
      <c r="J92" s="68" t="n">
        <f aca="false">$B$99+$B$98*I92</f>
        <v>981.6532</v>
      </c>
    </row>
    <row r="93" customFormat="false" ht="15" hidden="false" customHeight="true" outlineLevel="0" collapsed="false">
      <c r="A93" s="48" t="str">
        <f aca="false">Datos!E$5</f>
        <v>1T26</v>
      </c>
      <c r="B93" s="48" t="n">
        <v>4</v>
      </c>
      <c r="C93" s="66" t="n">
        <f aca="false">B93-(COUNT($B$90:$B$94)+1)/2</f>
        <v>1</v>
      </c>
      <c r="D93" s="63" t="n">
        <f aca="false">Datos!E14</f>
        <v>1048.889</v>
      </c>
      <c r="E93" s="63" t="n">
        <f aca="false">C93*D93</f>
        <v>1048.889</v>
      </c>
      <c r="F93" s="67" t="n">
        <f aca="false">C93^2</f>
        <v>1</v>
      </c>
      <c r="G93" s="60"/>
      <c r="H93" s="48" t="s">
        <v>316</v>
      </c>
      <c r="I93" s="62" t="n">
        <f aca="false">I92+1</f>
        <v>6</v>
      </c>
      <c r="J93" s="68" t="n">
        <f aca="false">$B$99+$B$98*I93</f>
        <v>966.5528</v>
      </c>
    </row>
    <row r="94" customFormat="false" ht="15" hidden="false" customHeight="true" outlineLevel="0" collapsed="false">
      <c r="A94" s="48" t="str">
        <f aca="false">Datos!F$5</f>
        <v>2T26</v>
      </c>
      <c r="B94" s="48" t="n">
        <v>5</v>
      </c>
      <c r="C94" s="66" t="n">
        <f aca="false">B94-(COUNT($B$90:$B$94)+1)/2</f>
        <v>2</v>
      </c>
      <c r="D94" s="63" t="n">
        <f aca="false">Datos!F14</f>
        <v>1030.633</v>
      </c>
      <c r="E94" s="63" t="n">
        <f aca="false">C94*D94</f>
        <v>2061.266</v>
      </c>
      <c r="F94" s="67" t="n">
        <f aca="false">C94^2</f>
        <v>4</v>
      </c>
      <c r="G94" s="60"/>
      <c r="H94" s="60"/>
      <c r="I94" s="60"/>
      <c r="J94" s="60"/>
    </row>
    <row r="95" customFormat="false" ht="15" hidden="false" customHeight="true" outlineLevel="0" collapsed="false">
      <c r="A95" s="69" t="s">
        <v>347</v>
      </c>
      <c r="B95" s="69"/>
      <c r="C95" s="70" t="n">
        <f aca="false">SUM(C90:C94)</f>
        <v>0</v>
      </c>
      <c r="D95" s="68" t="n">
        <f aca="false">SUM(D90:D94)</f>
        <v>5285.776</v>
      </c>
      <c r="E95" s="68" t="n">
        <f aca="false">SUM(E90:E94)</f>
        <v>-151.004</v>
      </c>
      <c r="F95" s="71" t="n">
        <f aca="false">SUM(F90:F94)</f>
        <v>10</v>
      </c>
      <c r="G95" s="60"/>
      <c r="H95" s="60" t="str">
        <f aca="false">"Ecuación: Y = "&amp;TEXT(B99,"#,##0.0000")&amp;" + ("&amp;TEXT(B98,"#,##0.0000")&amp;")·X"</f>
        <v>Ecuación: Y = 1,057.1552 + (-15.1004)·X</v>
      </c>
      <c r="I95" s="60"/>
      <c r="J95" s="60"/>
    </row>
    <row r="96" customFormat="false" ht="15" hidden="false" customHeight="true" outlineLevel="0" collapsed="false">
      <c r="A96" s="48" t="s">
        <v>348</v>
      </c>
      <c r="B96" s="48" t="n">
        <f aca="false">COUNT(B90:B94)</f>
        <v>5</v>
      </c>
      <c r="C96" s="60"/>
      <c r="D96" s="60"/>
      <c r="E96" s="60"/>
      <c r="F96" s="60"/>
      <c r="G96" s="60"/>
      <c r="H96" s="60"/>
      <c r="I96" s="60"/>
      <c r="J96" s="60"/>
    </row>
    <row r="97" customFormat="false" ht="15" hidden="false" customHeight="true" outlineLevel="0" collapsed="false">
      <c r="A97" s="48" t="s">
        <v>349</v>
      </c>
      <c r="B97" s="66" t="n">
        <f aca="false">C95/B96</f>
        <v>0</v>
      </c>
      <c r="C97" s="60"/>
      <c r="D97" s="60"/>
      <c r="E97" s="60"/>
      <c r="F97" s="60"/>
      <c r="G97" s="60"/>
      <c r="H97" s="60"/>
      <c r="I97" s="60"/>
      <c r="J97" s="60"/>
    </row>
    <row r="98" customFormat="false" ht="15" hidden="false" customHeight="true" outlineLevel="0" collapsed="false">
      <c r="A98" s="48" t="s">
        <v>350</v>
      </c>
      <c r="B98" s="63" t="n">
        <f aca="false">E95/F95</f>
        <v>-15.1004</v>
      </c>
      <c r="C98" s="60"/>
      <c r="D98" s="60"/>
      <c r="E98" s="60"/>
      <c r="F98" s="60"/>
      <c r="G98" s="60"/>
      <c r="H98" s="60"/>
      <c r="I98" s="60"/>
      <c r="J98" s="60"/>
    </row>
    <row r="99" customFormat="false" ht="15" hidden="false" customHeight="true" outlineLevel="0" collapsed="false">
      <c r="A99" s="48" t="s">
        <v>351</v>
      </c>
      <c r="B99" s="63" t="n">
        <f aca="false">D95/B96</f>
        <v>1057.1552</v>
      </c>
      <c r="C99" s="60"/>
      <c r="D99" s="60"/>
      <c r="E99" s="60"/>
      <c r="F99" s="60"/>
      <c r="G99" s="60"/>
      <c r="H99" s="60"/>
      <c r="I99" s="60"/>
      <c r="J99" s="60"/>
    </row>
    <row r="100" customFormat="false" ht="15" hidden="false" customHeight="true" outlineLevel="0" collapsed="false">
      <c r="A100" s="48" t="s">
        <v>352</v>
      </c>
      <c r="B100" s="72" t="n">
        <f aca="false">RSQ(D90:D94,C90:C94)</f>
        <v>0.702227947677694</v>
      </c>
      <c r="C100" s="60"/>
      <c r="D100" s="60"/>
      <c r="E100" s="60"/>
      <c r="F100" s="60"/>
      <c r="G100" s="60"/>
      <c r="H100" s="60"/>
      <c r="I100" s="60"/>
      <c r="J100" s="60"/>
    </row>
    <row r="101" customFormat="false" ht="15" hidden="false" customHeight="true" outlineLevel="0" collapsed="false">
      <c r="A101" s="60"/>
      <c r="B101" s="60"/>
      <c r="C101" s="60"/>
      <c r="D101" s="60"/>
      <c r="E101" s="60"/>
      <c r="F101" s="60"/>
      <c r="G101" s="60"/>
      <c r="H101" s="60"/>
      <c r="I101" s="60"/>
      <c r="J101" s="60"/>
    </row>
    <row r="102" customFormat="false" ht="15" hidden="false" customHeight="true" outlineLevel="0" collapsed="false">
      <c r="A102" s="60"/>
      <c r="B102" s="60"/>
      <c r="C102" s="60"/>
      <c r="D102" s="60"/>
      <c r="E102" s="60"/>
      <c r="F102" s="60"/>
      <c r="G102" s="60"/>
      <c r="H102" s="60"/>
      <c r="I102" s="60"/>
      <c r="J102" s="60"/>
    </row>
    <row r="103" customFormat="false" ht="15" hidden="false" customHeight="true" outlineLevel="0" collapsed="false">
      <c r="A103" s="60"/>
      <c r="B103" s="60"/>
      <c r="C103" s="60"/>
      <c r="D103" s="60"/>
      <c r="E103" s="60"/>
      <c r="F103" s="60"/>
      <c r="G103" s="60"/>
      <c r="H103" s="60"/>
      <c r="I103" s="60"/>
      <c r="J103" s="60"/>
    </row>
    <row r="104" customFormat="false" ht="15" hidden="false" customHeight="true" outlineLevel="0" collapsed="false">
      <c r="A104" s="60"/>
      <c r="B104" s="60"/>
      <c r="C104" s="60"/>
      <c r="D104" s="60"/>
      <c r="E104" s="60"/>
      <c r="F104" s="60"/>
      <c r="G104" s="60"/>
      <c r="H104" s="60"/>
      <c r="I104" s="60"/>
      <c r="J104" s="60"/>
    </row>
    <row r="105" customFormat="false" ht="15" hidden="false" customHeight="true" outlineLevel="0" collapsed="false">
      <c r="A105" s="61" t="s">
        <v>357</v>
      </c>
      <c r="B105" s="60"/>
      <c r="C105" s="60"/>
      <c r="D105" s="60"/>
      <c r="E105" s="60"/>
      <c r="F105" s="60"/>
      <c r="G105" s="60"/>
      <c r="H105" s="60"/>
      <c r="I105" s="60"/>
      <c r="J105" s="60"/>
    </row>
    <row r="106" customFormat="false" ht="15" hidden="false" customHeight="true" outlineLevel="0" collapsed="false">
      <c r="A106" s="64" t="s">
        <v>339</v>
      </c>
      <c r="B106" s="64" t="s">
        <v>340</v>
      </c>
      <c r="C106" s="64" t="s">
        <v>341</v>
      </c>
      <c r="D106" s="64" t="s">
        <v>342</v>
      </c>
      <c r="E106" s="64" t="s">
        <v>343</v>
      </c>
      <c r="F106" s="64" t="s">
        <v>344</v>
      </c>
      <c r="G106" s="60"/>
      <c r="H106" s="64" t="s">
        <v>345</v>
      </c>
      <c r="I106" s="64" t="s">
        <v>320</v>
      </c>
      <c r="J106" s="64" t="s">
        <v>346</v>
      </c>
    </row>
    <row r="107" customFormat="false" ht="15" hidden="false" customHeight="true" outlineLevel="0" collapsed="false">
      <c r="A107" s="48" t="str">
        <f aca="false">Datos!B$5</f>
        <v>2T25</v>
      </c>
      <c r="B107" s="48" t="n">
        <v>1</v>
      </c>
      <c r="C107" s="66" t="n">
        <f aca="false">B107-(COUNT($B$107:$B$111)+1)/2</f>
        <v>-2</v>
      </c>
      <c r="D107" s="63" t="n">
        <f aca="false">Datos!B16</f>
        <v>663.2</v>
      </c>
      <c r="E107" s="63" t="n">
        <f aca="false">C107*D107</f>
        <v>-1326.4</v>
      </c>
      <c r="F107" s="67" t="n">
        <f aca="false">C107^2</f>
        <v>4</v>
      </c>
      <c r="G107" s="60"/>
      <c r="H107" s="48" t="s">
        <v>313</v>
      </c>
      <c r="I107" s="62" t="n">
        <f aca="false">MAX($C$107:$C$111)+1</f>
        <v>3</v>
      </c>
      <c r="J107" s="68" t="n">
        <f aca="false">$B$116+$B$115*I107</f>
        <v>798.82</v>
      </c>
    </row>
    <row r="108" customFormat="false" ht="15" hidden="false" customHeight="true" outlineLevel="0" collapsed="false">
      <c r="A108" s="48" t="str">
        <f aca="false">Datos!C$5</f>
        <v>3T25</v>
      </c>
      <c r="B108" s="48" t="n">
        <v>2</v>
      </c>
      <c r="C108" s="66" t="n">
        <f aca="false">B108-(COUNT($B$107:$B$111)+1)/2</f>
        <v>-1</v>
      </c>
      <c r="D108" s="63" t="n">
        <f aca="false">Datos!C16</f>
        <v>775.2</v>
      </c>
      <c r="E108" s="63" t="n">
        <f aca="false">C108*D108</f>
        <v>-775.2</v>
      </c>
      <c r="F108" s="67" t="n">
        <f aca="false">C108^2</f>
        <v>1</v>
      </c>
      <c r="G108" s="60"/>
      <c r="H108" s="48" t="s">
        <v>314</v>
      </c>
      <c r="I108" s="62" t="n">
        <f aca="false">I107+1</f>
        <v>4</v>
      </c>
      <c r="J108" s="68" t="n">
        <f aca="false">$B$116+$B$115*I108</f>
        <v>820.74</v>
      </c>
    </row>
    <row r="109" customFormat="false" ht="15" hidden="false" customHeight="true" outlineLevel="0" collapsed="false">
      <c r="A109" s="48" t="str">
        <f aca="false">Datos!D$5</f>
        <v>4T25</v>
      </c>
      <c r="B109" s="48" t="n">
        <v>3</v>
      </c>
      <c r="C109" s="66" t="n">
        <f aca="false">B109-(COUNT($B$107:$B$111)+1)/2</f>
        <v>0</v>
      </c>
      <c r="D109" s="63" t="n">
        <f aca="false">Datos!D16</f>
        <v>816</v>
      </c>
      <c r="E109" s="63" t="n">
        <f aca="false">C109*D109</f>
        <v>0</v>
      </c>
      <c r="F109" s="67" t="n">
        <f aca="false">C109^2</f>
        <v>0</v>
      </c>
      <c r="G109" s="60"/>
      <c r="H109" s="48" t="s">
        <v>315</v>
      </c>
      <c r="I109" s="62" t="n">
        <f aca="false">I108+1</f>
        <v>5</v>
      </c>
      <c r="J109" s="68" t="n">
        <f aca="false">$B$116+$B$115*I109</f>
        <v>842.66</v>
      </c>
    </row>
    <row r="110" customFormat="false" ht="15" hidden="false" customHeight="true" outlineLevel="0" collapsed="false">
      <c r="A110" s="48" t="str">
        <f aca="false">Datos!E$5</f>
        <v>1T26</v>
      </c>
      <c r="B110" s="48" t="n">
        <v>4</v>
      </c>
      <c r="C110" s="66" t="n">
        <f aca="false">B110-(COUNT($B$107:$B$111)+1)/2</f>
        <v>1</v>
      </c>
      <c r="D110" s="63" t="n">
        <f aca="false">Datos!E16</f>
        <v>501</v>
      </c>
      <c r="E110" s="63" t="n">
        <f aca="false">C110*D110</f>
        <v>501</v>
      </c>
      <c r="F110" s="67" t="n">
        <f aca="false">C110^2</f>
        <v>1</v>
      </c>
      <c r="G110" s="60"/>
      <c r="H110" s="48" t="s">
        <v>316</v>
      </c>
      <c r="I110" s="62" t="n">
        <f aca="false">I109+1</f>
        <v>6</v>
      </c>
      <c r="J110" s="68" t="n">
        <f aca="false">$B$116+$B$115*I110</f>
        <v>864.58</v>
      </c>
    </row>
    <row r="111" customFormat="false" ht="15" hidden="false" customHeight="true" outlineLevel="0" collapsed="false">
      <c r="A111" s="48" t="str">
        <f aca="false">Datos!F$5</f>
        <v>2T26</v>
      </c>
      <c r="B111" s="48" t="n">
        <v>5</v>
      </c>
      <c r="C111" s="66" t="n">
        <f aca="false">B111-(COUNT($B$107:$B$111)+1)/2</f>
        <v>2</v>
      </c>
      <c r="D111" s="63" t="n">
        <f aca="false">Datos!F16</f>
        <v>909.9</v>
      </c>
      <c r="E111" s="63" t="n">
        <f aca="false">C111*D111</f>
        <v>1819.8</v>
      </c>
      <c r="F111" s="67" t="n">
        <f aca="false">C111^2</f>
        <v>4</v>
      </c>
      <c r="G111" s="60"/>
      <c r="H111" s="60"/>
      <c r="I111" s="60"/>
      <c r="J111" s="60"/>
    </row>
    <row r="112" customFormat="false" ht="15" hidden="false" customHeight="true" outlineLevel="0" collapsed="false">
      <c r="A112" s="69" t="s">
        <v>347</v>
      </c>
      <c r="B112" s="69"/>
      <c r="C112" s="70" t="n">
        <f aca="false">SUM(C107:C111)</f>
        <v>0</v>
      </c>
      <c r="D112" s="68" t="n">
        <f aca="false">SUM(D107:D111)</f>
        <v>3665.3</v>
      </c>
      <c r="E112" s="68" t="n">
        <f aca="false">SUM(E107:E111)</f>
        <v>219.2</v>
      </c>
      <c r="F112" s="71" t="n">
        <f aca="false">SUM(F107:F111)</f>
        <v>10</v>
      </c>
      <c r="G112" s="60"/>
      <c r="H112" s="60" t="str">
        <f aca="false">"Ecuación: Y = "&amp;TEXT(B116,"#,##0.0000")&amp;" + ("&amp;TEXT(B115,"#,##0.0000")&amp;")·X"</f>
        <v>Ecuación: Y = 733.0600 + (21.9200)·X</v>
      </c>
      <c r="I112" s="60"/>
      <c r="J112" s="60"/>
    </row>
    <row r="113" customFormat="false" ht="15" hidden="false" customHeight="true" outlineLevel="0" collapsed="false">
      <c r="A113" s="48" t="s">
        <v>348</v>
      </c>
      <c r="B113" s="48" t="n">
        <f aca="false">COUNT(B107:B111)</f>
        <v>5</v>
      </c>
      <c r="C113" s="60"/>
      <c r="D113" s="60"/>
      <c r="E113" s="60"/>
      <c r="F113" s="60"/>
      <c r="G113" s="60"/>
      <c r="H113" s="60"/>
      <c r="I113" s="60"/>
      <c r="J113" s="60"/>
    </row>
    <row r="114" customFormat="false" ht="15" hidden="false" customHeight="true" outlineLevel="0" collapsed="false">
      <c r="A114" s="48" t="s">
        <v>349</v>
      </c>
      <c r="B114" s="66" t="n">
        <f aca="false">C112/B113</f>
        <v>0</v>
      </c>
      <c r="C114" s="60"/>
      <c r="D114" s="60"/>
      <c r="E114" s="60"/>
      <c r="F114" s="60"/>
      <c r="G114" s="60"/>
      <c r="H114" s="60"/>
      <c r="I114" s="60"/>
      <c r="J114" s="60"/>
    </row>
    <row r="115" customFormat="false" ht="15" hidden="false" customHeight="true" outlineLevel="0" collapsed="false">
      <c r="A115" s="48" t="s">
        <v>350</v>
      </c>
      <c r="B115" s="63" t="n">
        <f aca="false">E112/F112</f>
        <v>21.92</v>
      </c>
      <c r="C115" s="60"/>
      <c r="D115" s="60"/>
      <c r="E115" s="60"/>
      <c r="F115" s="60"/>
      <c r="G115" s="60"/>
      <c r="H115" s="60"/>
      <c r="I115" s="60"/>
      <c r="J115" s="60"/>
    </row>
    <row r="116" customFormat="false" ht="15" hidden="false" customHeight="true" outlineLevel="0" collapsed="false">
      <c r="A116" s="48" t="s">
        <v>351</v>
      </c>
      <c r="B116" s="63" t="n">
        <f aca="false">D112/B113</f>
        <v>733.06</v>
      </c>
      <c r="C116" s="60"/>
      <c r="D116" s="60"/>
      <c r="E116" s="60"/>
      <c r="F116" s="60"/>
      <c r="G116" s="60"/>
      <c r="H116" s="60"/>
      <c r="I116" s="60"/>
      <c r="J116" s="60"/>
    </row>
    <row r="117" customFormat="false" ht="15" hidden="false" customHeight="true" outlineLevel="0" collapsed="false">
      <c r="A117" s="48" t="s">
        <v>352</v>
      </c>
      <c r="B117" s="72" t="n">
        <f aca="false">RSQ(D107:D111,C107:C111)</f>
        <v>0.0487014972064719</v>
      </c>
      <c r="C117" s="60"/>
      <c r="D117" s="60"/>
      <c r="E117" s="60"/>
      <c r="F117" s="60"/>
      <c r="G117" s="60"/>
      <c r="H117" s="60"/>
      <c r="I117" s="60"/>
      <c r="J117" s="60"/>
    </row>
    <row r="118" customFormat="false" ht="15" hidden="false" customHeight="true" outlineLevel="0" collapsed="false">
      <c r="A118" s="60"/>
      <c r="B118" s="60"/>
      <c r="C118" s="60"/>
      <c r="D118" s="60"/>
      <c r="E118" s="60"/>
      <c r="F118" s="60"/>
      <c r="G118" s="60"/>
      <c r="H118" s="60"/>
      <c r="I118" s="60"/>
      <c r="J118" s="60"/>
    </row>
    <row r="119" customFormat="false" ht="15" hidden="false" customHeight="true" outlineLevel="0" collapsed="false">
      <c r="A119" s="60"/>
      <c r="B119" s="60"/>
      <c r="C119" s="60"/>
      <c r="D119" s="60"/>
      <c r="E119" s="60"/>
      <c r="F119" s="60"/>
      <c r="G119" s="60"/>
      <c r="H119" s="60"/>
      <c r="I119" s="60"/>
      <c r="J119" s="60"/>
    </row>
    <row r="120" customFormat="false" ht="15" hidden="false" customHeight="true" outlineLevel="0" collapsed="false">
      <c r="A120" s="60"/>
      <c r="B120" s="60"/>
      <c r="C120" s="60"/>
      <c r="D120" s="60"/>
      <c r="E120" s="60"/>
      <c r="F120" s="60"/>
      <c r="G120" s="60"/>
      <c r="H120" s="60"/>
      <c r="I120" s="60"/>
      <c r="J120" s="60"/>
    </row>
    <row r="121" customFormat="false" ht="15" hidden="false" customHeight="true" outlineLevel="0" collapsed="false">
      <c r="A121" s="60"/>
      <c r="B121" s="60"/>
      <c r="C121" s="60"/>
      <c r="D121" s="60"/>
      <c r="E121" s="60"/>
      <c r="F121" s="60"/>
      <c r="G121" s="60"/>
      <c r="H121" s="60"/>
      <c r="I121" s="60"/>
      <c r="J121" s="60"/>
    </row>
    <row r="122" customFormat="false" ht="15" hidden="false" customHeight="true" outlineLevel="0" collapsed="false">
      <c r="A122" s="61" t="s">
        <v>358</v>
      </c>
      <c r="B122" s="60"/>
      <c r="C122" s="60"/>
      <c r="D122" s="60"/>
      <c r="E122" s="60"/>
      <c r="F122" s="60"/>
      <c r="G122" s="60"/>
      <c r="H122" s="60"/>
      <c r="I122" s="60"/>
      <c r="J122" s="60"/>
    </row>
    <row r="123" customFormat="false" ht="15" hidden="false" customHeight="true" outlineLevel="0" collapsed="false">
      <c r="A123" s="64" t="s">
        <v>339</v>
      </c>
      <c r="B123" s="64" t="s">
        <v>340</v>
      </c>
      <c r="C123" s="64" t="s">
        <v>341</v>
      </c>
      <c r="D123" s="64" t="s">
        <v>342</v>
      </c>
      <c r="E123" s="64" t="s">
        <v>343</v>
      </c>
      <c r="F123" s="64" t="s">
        <v>344</v>
      </c>
      <c r="G123" s="60"/>
      <c r="H123" s="64" t="s">
        <v>345</v>
      </c>
      <c r="I123" s="64" t="s">
        <v>320</v>
      </c>
      <c r="J123" s="64" t="s">
        <v>346</v>
      </c>
    </row>
    <row r="124" customFormat="false" ht="15" hidden="false" customHeight="true" outlineLevel="0" collapsed="false">
      <c r="A124" s="48" t="str">
        <f aca="false">Datos!B$5</f>
        <v>2T25</v>
      </c>
      <c r="B124" s="48" t="n">
        <v>1</v>
      </c>
      <c r="C124" s="66" t="n">
        <f aca="false">B124-(COUNT($B$124:$B$128)+1)/2</f>
        <v>-2</v>
      </c>
      <c r="D124" s="63" t="n">
        <f aca="false">Datos!B19-Datos!B21</f>
        <v>11066</v>
      </c>
      <c r="E124" s="63" t="n">
        <f aca="false">C124*D124</f>
        <v>-22132</v>
      </c>
      <c r="F124" s="67" t="n">
        <f aca="false">C124^2</f>
        <v>4</v>
      </c>
      <c r="G124" s="60"/>
      <c r="H124" s="48" t="s">
        <v>313</v>
      </c>
      <c r="I124" s="62" t="n">
        <f aca="false">MAX($C$124:$C$128)+1</f>
        <v>3</v>
      </c>
      <c r="J124" s="68" t="n">
        <f aca="false">$B$133+$B$132*I124</f>
        <v>6975.4312</v>
      </c>
    </row>
    <row r="125" customFormat="false" ht="15" hidden="false" customHeight="true" outlineLevel="0" collapsed="false">
      <c r="A125" s="48" t="str">
        <f aca="false">Datos!C$5</f>
        <v>3T25</v>
      </c>
      <c r="B125" s="48" t="n">
        <v>2</v>
      </c>
      <c r="C125" s="66" t="n">
        <f aca="false">B125-(COUNT($B$124:$B$128)+1)/2</f>
        <v>-1</v>
      </c>
      <c r="D125" s="63" t="n">
        <f aca="false">Datos!C19-Datos!C21</f>
        <v>11577</v>
      </c>
      <c r="E125" s="63" t="n">
        <f aca="false">C125*D125</f>
        <v>-11577</v>
      </c>
      <c r="F125" s="67" t="n">
        <f aca="false">C125^2</f>
        <v>1</v>
      </c>
      <c r="G125" s="60"/>
      <c r="H125" s="48" t="s">
        <v>314</v>
      </c>
      <c r="I125" s="62" t="n">
        <f aca="false">I124+1</f>
        <v>4</v>
      </c>
      <c r="J125" s="68" t="n">
        <f aca="false">$B$133+$B$132*I125</f>
        <v>6036.11400000001</v>
      </c>
    </row>
    <row r="126" customFormat="false" ht="15" hidden="false" customHeight="true" outlineLevel="0" collapsed="false">
      <c r="A126" s="48" t="str">
        <f aca="false">Datos!D$5</f>
        <v>4T25</v>
      </c>
      <c r="B126" s="48" t="n">
        <v>3</v>
      </c>
      <c r="C126" s="66" t="n">
        <f aca="false">B126-(COUNT($B$124:$B$128)+1)/2</f>
        <v>0</v>
      </c>
      <c r="D126" s="63" t="n">
        <f aca="false">Datos!D19-Datos!D21</f>
        <v>9310</v>
      </c>
      <c r="E126" s="63" t="n">
        <f aca="false">C126*D126</f>
        <v>0</v>
      </c>
      <c r="F126" s="67" t="n">
        <f aca="false">C126^2</f>
        <v>0</v>
      </c>
      <c r="G126" s="60"/>
      <c r="H126" s="48" t="s">
        <v>315</v>
      </c>
      <c r="I126" s="62" t="n">
        <f aca="false">I125+1</f>
        <v>5</v>
      </c>
      <c r="J126" s="68" t="n">
        <f aca="false">$B$133+$B$132*I126</f>
        <v>5096.79680000001</v>
      </c>
    </row>
    <row r="127" customFormat="false" ht="15" hidden="false" customHeight="true" outlineLevel="0" collapsed="false">
      <c r="A127" s="48" t="str">
        <f aca="false">Datos!E$5</f>
        <v>1T26</v>
      </c>
      <c r="B127" s="48" t="n">
        <v>4</v>
      </c>
      <c r="C127" s="66" t="n">
        <f aca="false">B127-(COUNT($B$124:$B$128)+1)/2</f>
        <v>1</v>
      </c>
      <c r="D127" s="63" t="n">
        <f aca="false">Datos!E19-Datos!E21</f>
        <v>9712</v>
      </c>
      <c r="E127" s="63" t="n">
        <f aca="false">C127*D127</f>
        <v>9712</v>
      </c>
      <c r="F127" s="67" t="n">
        <f aca="false">C127^2</f>
        <v>1</v>
      </c>
      <c r="G127" s="60"/>
      <c r="H127" s="48" t="s">
        <v>316</v>
      </c>
      <c r="I127" s="62" t="n">
        <f aca="false">I126+1</f>
        <v>6</v>
      </c>
      <c r="J127" s="68" t="n">
        <f aca="false">$B$133+$B$132*I127</f>
        <v>4157.47960000001</v>
      </c>
    </row>
    <row r="128" customFormat="false" ht="15" hidden="false" customHeight="true" outlineLevel="0" collapsed="false">
      <c r="A128" s="48" t="str">
        <f aca="false">Datos!F$5</f>
        <v>2T26</v>
      </c>
      <c r="B128" s="48" t="n">
        <v>5</v>
      </c>
      <c r="C128" s="66" t="n">
        <f aca="false">B128-(COUNT($B$124:$B$128)+1)/2</f>
        <v>2</v>
      </c>
      <c r="D128" s="63" t="n">
        <f aca="false">Datos!F19-Datos!F21</f>
        <v>7301.914</v>
      </c>
      <c r="E128" s="63" t="n">
        <f aca="false">C128*D128</f>
        <v>14603.828</v>
      </c>
      <c r="F128" s="67" t="n">
        <f aca="false">C128^2</f>
        <v>4</v>
      </c>
      <c r="G128" s="60"/>
      <c r="H128" s="60"/>
      <c r="I128" s="60"/>
      <c r="J128" s="60"/>
    </row>
    <row r="129" customFormat="false" ht="15" hidden="false" customHeight="true" outlineLevel="0" collapsed="false">
      <c r="A129" s="69" t="s">
        <v>347</v>
      </c>
      <c r="B129" s="69"/>
      <c r="C129" s="70" t="n">
        <f aca="false">SUM(C124:C128)</f>
        <v>0</v>
      </c>
      <c r="D129" s="68" t="n">
        <f aca="false">SUM(D124:D128)</f>
        <v>48966.914</v>
      </c>
      <c r="E129" s="68" t="n">
        <f aca="false">SUM(E124:E128)</f>
        <v>-9393.17199999999</v>
      </c>
      <c r="F129" s="71" t="n">
        <f aca="false">SUM(F124:F128)</f>
        <v>10</v>
      </c>
      <c r="G129" s="60"/>
      <c r="H129" s="60" t="str">
        <f aca="false">"Ecuación: Y = "&amp;TEXT(B133,"#,##0.0000")&amp;" + ("&amp;TEXT(B132,"#,##0.0000")&amp;")·X"</f>
        <v>Ecuación: Y = 9,793.3828 + (-939.3172)·X</v>
      </c>
      <c r="I129" s="60"/>
      <c r="J129" s="60"/>
    </row>
    <row r="130" customFormat="false" ht="15" hidden="false" customHeight="true" outlineLevel="0" collapsed="false">
      <c r="A130" s="48" t="s">
        <v>348</v>
      </c>
      <c r="B130" s="48" t="n">
        <f aca="false">COUNT(B124:B128)</f>
        <v>5</v>
      </c>
      <c r="C130" s="60"/>
      <c r="D130" s="60"/>
      <c r="E130" s="60"/>
      <c r="F130" s="60"/>
      <c r="G130" s="60"/>
      <c r="H130" s="60"/>
      <c r="I130" s="60"/>
      <c r="J130" s="60"/>
    </row>
    <row r="131" customFormat="false" ht="15" hidden="false" customHeight="true" outlineLevel="0" collapsed="false">
      <c r="A131" s="48" t="s">
        <v>349</v>
      </c>
      <c r="B131" s="66" t="n">
        <f aca="false">C129/B130</f>
        <v>0</v>
      </c>
      <c r="C131" s="60"/>
      <c r="D131" s="60"/>
      <c r="E131" s="60"/>
      <c r="F131" s="60"/>
      <c r="G131" s="60"/>
      <c r="H131" s="60"/>
      <c r="I131" s="60"/>
      <c r="J131" s="60"/>
    </row>
    <row r="132" customFormat="false" ht="15" hidden="false" customHeight="true" outlineLevel="0" collapsed="false">
      <c r="A132" s="48" t="s">
        <v>350</v>
      </c>
      <c r="B132" s="63" t="n">
        <f aca="false">E129/F129</f>
        <v>-939.317199999999</v>
      </c>
      <c r="C132" s="60"/>
      <c r="D132" s="60"/>
      <c r="E132" s="60"/>
      <c r="F132" s="60"/>
      <c r="G132" s="60"/>
      <c r="H132" s="60"/>
      <c r="I132" s="60"/>
      <c r="J132" s="60"/>
    </row>
    <row r="133" customFormat="false" ht="15" hidden="false" customHeight="true" outlineLevel="0" collapsed="false">
      <c r="A133" s="48" t="s">
        <v>351</v>
      </c>
      <c r="B133" s="63" t="n">
        <f aca="false">D129/B130</f>
        <v>9793.3828</v>
      </c>
      <c r="C133" s="60"/>
      <c r="D133" s="60"/>
      <c r="E133" s="60"/>
      <c r="F133" s="60"/>
      <c r="G133" s="60"/>
      <c r="H133" s="60"/>
      <c r="I133" s="60"/>
      <c r="J133" s="60"/>
    </row>
    <row r="134" customFormat="false" ht="15" hidden="false" customHeight="true" outlineLevel="0" collapsed="false">
      <c r="A134" s="48" t="s">
        <v>352</v>
      </c>
      <c r="B134" s="72" t="n">
        <f aca="false">RSQ(D124:D128,C124:C128)</f>
        <v>0.784383137632491</v>
      </c>
      <c r="C134" s="60"/>
      <c r="D134" s="60"/>
      <c r="E134" s="60"/>
      <c r="F134" s="60"/>
      <c r="G134" s="60"/>
      <c r="H134" s="60"/>
      <c r="I134" s="60"/>
      <c r="J134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4" activeCellId="0" sqref="A24"/>
    </sheetView>
  </sheetViews>
  <sheetFormatPr defaultColWidth="10.66796875" defaultRowHeight="14.25" zeroHeight="false" outlineLevelRow="0" outlineLevelCol="0"/>
  <cols>
    <col collapsed="false" customWidth="true" hidden="false" outlineLevel="0" max="1" min="1" style="0" width="4.67"/>
    <col collapsed="false" customWidth="true" hidden="false" outlineLevel="0" max="2" min="2" style="0" width="22.33"/>
    <col collapsed="false" customWidth="true" hidden="false" outlineLevel="0" max="3" min="3" style="0" width="25.88"/>
    <col collapsed="false" customWidth="true" hidden="false" outlineLevel="0" max="5" min="4" style="0" width="48.11"/>
    <col collapsed="false" customWidth="true" hidden="false" outlineLevel="0" max="6" min="6" style="0" width="20.33"/>
    <col collapsed="false" customWidth="true" hidden="false" outlineLevel="0" max="7" min="7" style="0" width="11.11"/>
    <col collapsed="false" customWidth="true" hidden="false" outlineLevel="0" max="10" min="8" style="0" width="14.67"/>
  </cols>
  <sheetData>
    <row r="1" customFormat="false" ht="18.75" hidden="false" customHeight="true" outlineLevel="0" collapsed="false">
      <c r="A1" s="13"/>
    </row>
    <row r="2" customFormat="false" ht="14.25" hidden="false" customHeight="false" outlineLevel="0" collapsed="false">
      <c r="A2" s="77"/>
    </row>
    <row r="4" customFormat="false" ht="31.5" hidden="false" customHeight="true" outlineLevel="0" collapsed="false">
      <c r="A4" s="78" t="s">
        <v>359</v>
      </c>
      <c r="B4" s="78" t="s">
        <v>360</v>
      </c>
      <c r="C4" s="78" t="s">
        <v>361</v>
      </c>
      <c r="D4" s="78" t="s">
        <v>362</v>
      </c>
      <c r="E4" s="78" t="s">
        <v>363</v>
      </c>
      <c r="F4" s="78" t="s">
        <v>364</v>
      </c>
      <c r="G4" s="78" t="s">
        <v>365</v>
      </c>
      <c r="H4" s="79" t="s">
        <v>366</v>
      </c>
      <c r="I4" s="79" t="s">
        <v>367</v>
      </c>
      <c r="J4" s="79" t="s">
        <v>368</v>
      </c>
    </row>
    <row r="5" customFormat="false" ht="48" hidden="false" customHeight="true" outlineLevel="0" collapsed="false">
      <c r="A5" s="80" t="n">
        <v>1</v>
      </c>
      <c r="B5" s="81" t="s">
        <v>369</v>
      </c>
      <c r="C5" s="81" t="s">
        <v>370</v>
      </c>
      <c r="D5" s="81" t="s">
        <v>371</v>
      </c>
      <c r="E5" s="81" t="s">
        <v>372</v>
      </c>
      <c r="F5" s="81" t="s">
        <v>247</v>
      </c>
      <c r="G5" s="80" t="s">
        <v>373</v>
      </c>
      <c r="H5" s="82" t="n">
        <v>0.005</v>
      </c>
      <c r="I5" s="82" t="n">
        <v>0</v>
      </c>
      <c r="J5" s="82" t="n">
        <v>0</v>
      </c>
    </row>
    <row r="6" customFormat="false" ht="48" hidden="false" customHeight="true" outlineLevel="0" collapsed="false">
      <c r="A6" s="80" t="n">
        <v>2</v>
      </c>
      <c r="B6" s="81" t="s">
        <v>369</v>
      </c>
      <c r="C6" s="81" t="s">
        <v>374</v>
      </c>
      <c r="D6" s="81" t="s">
        <v>375</v>
      </c>
      <c r="E6" s="81" t="s">
        <v>376</v>
      </c>
      <c r="F6" s="81" t="s">
        <v>377</v>
      </c>
      <c r="G6" s="80" t="s">
        <v>138</v>
      </c>
      <c r="H6" s="82" t="n">
        <v>0</v>
      </c>
      <c r="I6" s="82" t="n">
        <v>0</v>
      </c>
      <c r="J6" s="82" t="n">
        <v>0</v>
      </c>
    </row>
    <row r="7" customFormat="false" ht="31.5" hidden="false" customHeight="true" outlineLevel="0" collapsed="false">
      <c r="A7" s="80" t="n">
        <v>3</v>
      </c>
      <c r="B7" s="81" t="s">
        <v>378</v>
      </c>
      <c r="C7" s="81" t="s">
        <v>379</v>
      </c>
      <c r="D7" s="81" t="s">
        <v>380</v>
      </c>
      <c r="E7" s="81" t="s">
        <v>381</v>
      </c>
      <c r="F7" s="81" t="s">
        <v>382</v>
      </c>
      <c r="G7" s="80" t="s">
        <v>383</v>
      </c>
      <c r="H7" s="82" t="n">
        <v>0</v>
      </c>
      <c r="I7" s="82" t="n">
        <v>0</v>
      </c>
      <c r="J7" s="82" t="n">
        <v>0</v>
      </c>
    </row>
    <row r="8" customFormat="false" ht="31.5" hidden="false" customHeight="true" outlineLevel="0" collapsed="false">
      <c r="A8" s="80" t="n">
        <v>4</v>
      </c>
      <c r="B8" s="81" t="s">
        <v>369</v>
      </c>
      <c r="C8" s="81" t="s">
        <v>384</v>
      </c>
      <c r="D8" s="81" t="s">
        <v>385</v>
      </c>
      <c r="E8" s="81" t="s">
        <v>386</v>
      </c>
      <c r="F8" s="81" t="s">
        <v>387</v>
      </c>
      <c r="G8" s="80" t="s">
        <v>388</v>
      </c>
      <c r="H8" s="82" t="n">
        <v>0</v>
      </c>
      <c r="I8" s="82" t="n">
        <v>0.001</v>
      </c>
      <c r="J8" s="82" t="n">
        <v>0.01</v>
      </c>
    </row>
    <row r="9" customFormat="false" ht="31.5" hidden="false" customHeight="true" outlineLevel="0" collapsed="false">
      <c r="A9" s="80" t="n">
        <v>5</v>
      </c>
      <c r="B9" s="81" t="s">
        <v>369</v>
      </c>
      <c r="C9" s="81" t="s">
        <v>389</v>
      </c>
      <c r="D9" s="81" t="s">
        <v>390</v>
      </c>
      <c r="E9" s="81" t="s">
        <v>391</v>
      </c>
      <c r="F9" s="81" t="s">
        <v>247</v>
      </c>
      <c r="G9" s="80" t="s">
        <v>388</v>
      </c>
      <c r="H9" s="82" t="n">
        <v>-0.003</v>
      </c>
      <c r="I9" s="82" t="n">
        <v>0</v>
      </c>
      <c r="J9" s="82" t="n">
        <v>0</v>
      </c>
    </row>
    <row r="10" customFormat="false" ht="31.5" hidden="false" customHeight="true" outlineLevel="0" collapsed="false">
      <c r="A10" s="80" t="n">
        <v>6</v>
      </c>
      <c r="B10" s="81" t="s">
        <v>392</v>
      </c>
      <c r="C10" s="81" t="s">
        <v>393</v>
      </c>
      <c r="D10" s="81" t="s">
        <v>394</v>
      </c>
      <c r="E10" s="81" t="s">
        <v>395</v>
      </c>
      <c r="F10" s="81" t="s">
        <v>396</v>
      </c>
      <c r="G10" s="80" t="s">
        <v>397</v>
      </c>
      <c r="H10" s="82" t="n">
        <v>0.002</v>
      </c>
      <c r="I10" s="82" t="n">
        <v>0.0015</v>
      </c>
      <c r="J10" s="82" t="n">
        <v>0</v>
      </c>
    </row>
    <row r="11" customFormat="false" ht="31.5" hidden="false" customHeight="true" outlineLevel="0" collapsed="false">
      <c r="A11" s="80" t="n">
        <v>7</v>
      </c>
      <c r="B11" s="81" t="s">
        <v>392</v>
      </c>
      <c r="C11" s="81" t="s">
        <v>398</v>
      </c>
      <c r="D11" s="81" t="s">
        <v>399</v>
      </c>
      <c r="E11" s="81" t="s">
        <v>400</v>
      </c>
      <c r="F11" s="81" t="s">
        <v>401</v>
      </c>
      <c r="G11" s="80" t="s">
        <v>388</v>
      </c>
      <c r="H11" s="82" t="n">
        <v>0</v>
      </c>
      <c r="I11" s="82" t="n">
        <v>0.0005</v>
      </c>
      <c r="J11" s="82" t="n">
        <v>0</v>
      </c>
    </row>
    <row r="12" customFormat="false" ht="31.5" hidden="false" customHeight="true" outlineLevel="0" collapsed="false">
      <c r="A12" s="80" t="n">
        <v>8</v>
      </c>
      <c r="B12" s="81" t="s">
        <v>402</v>
      </c>
      <c r="C12" s="81" t="s">
        <v>403</v>
      </c>
      <c r="D12" s="81" t="s">
        <v>404</v>
      </c>
      <c r="E12" s="81" t="s">
        <v>405</v>
      </c>
      <c r="F12" s="81" t="s">
        <v>247</v>
      </c>
      <c r="G12" s="80" t="s">
        <v>388</v>
      </c>
      <c r="H12" s="82" t="n">
        <v>-0.002</v>
      </c>
      <c r="I12" s="82" t="n">
        <v>0</v>
      </c>
      <c r="J12" s="82" t="n">
        <v>0</v>
      </c>
    </row>
    <row r="13" customFormat="false" ht="31.5" hidden="false" customHeight="true" outlineLevel="0" collapsed="false">
      <c r="A13" s="80" t="n">
        <v>9</v>
      </c>
      <c r="B13" s="81" t="s">
        <v>406</v>
      </c>
      <c r="C13" s="81" t="s">
        <v>407</v>
      </c>
      <c r="D13" s="81" t="s">
        <v>408</v>
      </c>
      <c r="E13" s="81" t="s">
        <v>409</v>
      </c>
      <c r="F13" s="81" t="s">
        <v>387</v>
      </c>
      <c r="G13" s="80" t="s">
        <v>388</v>
      </c>
      <c r="H13" s="82" t="n">
        <v>0</v>
      </c>
      <c r="I13" s="82" t="n">
        <v>0.0005</v>
      </c>
      <c r="J13" s="82" t="n">
        <v>0.005</v>
      </c>
    </row>
    <row r="14" customFormat="false" ht="48" hidden="false" customHeight="true" outlineLevel="0" collapsed="false">
      <c r="A14" s="80" t="n">
        <v>10</v>
      </c>
      <c r="B14" s="81" t="s">
        <v>410</v>
      </c>
      <c r="C14" s="81" t="s">
        <v>411</v>
      </c>
      <c r="D14" s="81" t="s">
        <v>412</v>
      </c>
      <c r="E14" s="81" t="s">
        <v>413</v>
      </c>
      <c r="F14" s="81" t="s">
        <v>247</v>
      </c>
      <c r="G14" s="80" t="s">
        <v>388</v>
      </c>
      <c r="H14" s="82" t="n">
        <v>-0.003</v>
      </c>
      <c r="I14" s="82" t="n">
        <v>0</v>
      </c>
      <c r="J14" s="82" t="n">
        <v>0</v>
      </c>
    </row>
    <row r="15" customFormat="false" ht="48" hidden="false" customHeight="true" outlineLevel="0" collapsed="false">
      <c r="A15" s="80" t="n">
        <v>11</v>
      </c>
      <c r="B15" s="81" t="s">
        <v>414</v>
      </c>
      <c r="C15" s="81" t="s">
        <v>415</v>
      </c>
      <c r="D15" s="81" t="s">
        <v>416</v>
      </c>
      <c r="E15" s="81" t="s">
        <v>417</v>
      </c>
      <c r="F15" s="81" t="s">
        <v>247</v>
      </c>
      <c r="G15" s="80" t="s">
        <v>388</v>
      </c>
      <c r="H15" s="82" t="n">
        <v>-0.002</v>
      </c>
      <c r="I15" s="82" t="n">
        <v>0</v>
      </c>
      <c r="J15" s="82" t="n">
        <v>0</v>
      </c>
    </row>
    <row r="16" customFormat="false" ht="31.5" hidden="false" customHeight="true" outlineLevel="0" collapsed="false">
      <c r="A16" s="80" t="n">
        <v>12</v>
      </c>
      <c r="B16" s="81" t="s">
        <v>418</v>
      </c>
      <c r="C16" s="81" t="s">
        <v>419</v>
      </c>
      <c r="D16" s="81" t="s">
        <v>420</v>
      </c>
      <c r="E16" s="81" t="s">
        <v>421</v>
      </c>
      <c r="F16" s="81" t="s">
        <v>401</v>
      </c>
      <c r="G16" s="80" t="s">
        <v>388</v>
      </c>
      <c r="H16" s="82" t="n">
        <v>0</v>
      </c>
      <c r="I16" s="82" t="n">
        <v>0.0005</v>
      </c>
      <c r="J16" s="82" t="n">
        <v>0</v>
      </c>
    </row>
    <row r="17" customFormat="false" ht="48" hidden="false" customHeight="true" outlineLevel="0" collapsed="false">
      <c r="A17" s="80" t="n">
        <v>13</v>
      </c>
      <c r="B17" s="81" t="s">
        <v>422</v>
      </c>
      <c r="C17" s="81" t="s">
        <v>423</v>
      </c>
      <c r="D17" s="81" t="s">
        <v>424</v>
      </c>
      <c r="E17" s="81" t="s">
        <v>425</v>
      </c>
      <c r="F17" s="81" t="s">
        <v>247</v>
      </c>
      <c r="G17" s="80" t="s">
        <v>388</v>
      </c>
      <c r="H17" s="82" t="n">
        <v>-0.005</v>
      </c>
      <c r="I17" s="82" t="n">
        <v>0</v>
      </c>
      <c r="J17" s="82" t="n">
        <v>0</v>
      </c>
    </row>
    <row r="18" customFormat="false" ht="31.5" hidden="false" customHeight="true" outlineLevel="0" collapsed="false">
      <c r="A18" s="80" t="n">
        <v>14</v>
      </c>
      <c r="B18" s="81" t="s">
        <v>426</v>
      </c>
      <c r="C18" s="81" t="s">
        <v>427</v>
      </c>
      <c r="D18" s="81" t="s">
        <v>428</v>
      </c>
      <c r="E18" s="81" t="s">
        <v>429</v>
      </c>
      <c r="F18" s="81" t="s">
        <v>430</v>
      </c>
      <c r="G18" s="80" t="s">
        <v>388</v>
      </c>
      <c r="H18" s="82" t="n">
        <v>-0.005</v>
      </c>
      <c r="I18" s="82" t="n">
        <v>0.001</v>
      </c>
      <c r="J18" s="82" t="n">
        <v>0</v>
      </c>
    </row>
    <row r="19" customFormat="false" ht="48" hidden="false" customHeight="true" outlineLevel="0" collapsed="false">
      <c r="A19" s="80" t="n">
        <v>15</v>
      </c>
      <c r="B19" s="81" t="s">
        <v>426</v>
      </c>
      <c r="C19" s="81" t="s">
        <v>431</v>
      </c>
      <c r="D19" s="81" t="s">
        <v>432</v>
      </c>
      <c r="E19" s="81" t="s">
        <v>433</v>
      </c>
      <c r="F19" s="81" t="s">
        <v>434</v>
      </c>
      <c r="G19" s="80" t="s">
        <v>397</v>
      </c>
      <c r="H19" s="82" t="n">
        <v>0.002</v>
      </c>
      <c r="I19" s="82" t="n">
        <v>0</v>
      </c>
      <c r="J19" s="82" t="n">
        <v>0.01</v>
      </c>
    </row>
    <row r="20" customFormat="false" ht="48" hidden="false" customHeight="true" outlineLevel="0" collapsed="false">
      <c r="A20" s="80" t="n">
        <v>16</v>
      </c>
      <c r="B20" s="81" t="s">
        <v>435</v>
      </c>
      <c r="C20" s="81" t="s">
        <v>436</v>
      </c>
      <c r="D20" s="81" t="s">
        <v>437</v>
      </c>
      <c r="E20" s="81" t="s">
        <v>438</v>
      </c>
      <c r="F20" s="81" t="s">
        <v>439</v>
      </c>
      <c r="G20" s="80" t="s">
        <v>397</v>
      </c>
      <c r="H20" s="82" t="n">
        <v>0.001</v>
      </c>
      <c r="I20" s="82" t="n">
        <v>0.0002</v>
      </c>
      <c r="J20" s="82" t="n">
        <v>0</v>
      </c>
    </row>
    <row r="21" customFormat="false" ht="48" hidden="false" customHeight="true" outlineLevel="0" collapsed="false">
      <c r="A21" s="80" t="n">
        <v>17</v>
      </c>
      <c r="B21" s="81" t="s">
        <v>435</v>
      </c>
      <c r="C21" s="81" t="s">
        <v>440</v>
      </c>
      <c r="D21" s="81" t="s">
        <v>441</v>
      </c>
      <c r="E21" s="81" t="s">
        <v>442</v>
      </c>
      <c r="F21" s="81" t="s">
        <v>443</v>
      </c>
      <c r="G21" s="80" t="s">
        <v>373</v>
      </c>
      <c r="H21" s="82" t="n">
        <v>0.001</v>
      </c>
      <c r="I21" s="82" t="n">
        <v>0</v>
      </c>
      <c r="J21" s="82" t="n">
        <v>0</v>
      </c>
    </row>
    <row r="22" customFormat="false" ht="14.25" hidden="false" customHeight="false" outlineLevel="0" collapsed="false">
      <c r="A22" s="83" t="s">
        <v>444</v>
      </c>
      <c r="B22" s="83"/>
      <c r="C22" s="83" t="s">
        <v>445</v>
      </c>
      <c r="D22" s="83"/>
      <c r="E22" s="83"/>
      <c r="F22" s="83"/>
      <c r="G22" s="83"/>
      <c r="H22" s="84" t="n">
        <f aca="false">SUM(H5:H21)</f>
        <v>-0.009</v>
      </c>
      <c r="I22" s="84" t="n">
        <f aca="false">SUM(I5:I21)</f>
        <v>0.0052</v>
      </c>
      <c r="J22" s="84" t="n">
        <f aca="false">SUM(J5:J21)</f>
        <v>0.025</v>
      </c>
    </row>
    <row r="24" customFormat="false" ht="14.25" hidden="false" customHeight="false" outlineLevel="0" collapsed="false">
      <c r="A24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0"/>
  <sheetViews>
    <sheetView showFormulas="false" showGridLines="true" showRowColHeaders="true" showZeros="true" rightToLeft="false" tabSelected="false" showOutlineSymbols="true" defaultGridColor="true" view="normal" topLeftCell="A266" colorId="64" zoomScale="100" zoomScaleNormal="100" zoomScalePageLayoutView="100" workbookViewId="0">
      <selection pane="topLeft" activeCell="C202" activeCellId="0" sqref="C202"/>
    </sheetView>
  </sheetViews>
  <sheetFormatPr defaultColWidth="10.66796875" defaultRowHeight="14.25" zeroHeight="false" outlineLevelRow="0" outlineLevelCol="0"/>
  <cols>
    <col collapsed="false" customWidth="true" hidden="false" outlineLevel="0" max="1" min="1" style="0" width="61.11"/>
    <col collapsed="false" customWidth="true" hidden="false" outlineLevel="0" max="7" min="2" style="0" width="17.44"/>
  </cols>
  <sheetData>
    <row r="1" customFormat="false" ht="15" hidden="false" customHeight="true" outlineLevel="0" collapsed="false">
      <c r="A1" s="85"/>
      <c r="B1" s="86"/>
      <c r="C1" s="86"/>
      <c r="D1" s="86"/>
      <c r="E1" s="86"/>
      <c r="F1" s="86"/>
      <c r="G1" s="86"/>
    </row>
    <row r="2" customFormat="false" ht="15" hidden="false" customHeight="true" outlineLevel="0" collapsed="false">
      <c r="A2" s="87"/>
      <c r="B2" s="86"/>
      <c r="C2" s="86"/>
      <c r="D2" s="86"/>
      <c r="E2" s="86"/>
      <c r="F2" s="86"/>
      <c r="G2" s="86"/>
    </row>
    <row r="3" customFormat="false" ht="15" hidden="false" customHeight="true" outlineLevel="0" collapsed="false">
      <c r="A3" s="87"/>
      <c r="B3" s="86"/>
      <c r="C3" s="86"/>
      <c r="D3" s="86"/>
      <c r="E3" s="86"/>
      <c r="F3" s="86"/>
      <c r="G3" s="86"/>
    </row>
    <row r="4" customFormat="false" ht="15" hidden="false" customHeight="true" outlineLevel="0" collapsed="false">
      <c r="A4" s="86"/>
      <c r="B4" s="86"/>
      <c r="C4" s="86"/>
      <c r="D4" s="86"/>
      <c r="E4" s="86"/>
      <c r="F4" s="86"/>
      <c r="G4" s="86"/>
    </row>
    <row r="5" customFormat="false" ht="15" hidden="false" customHeight="true" outlineLevel="0" collapsed="false">
      <c r="A5" s="88" t="s">
        <v>446</v>
      </c>
      <c r="B5" s="88" t="s">
        <v>233</v>
      </c>
      <c r="C5" s="88" t="s">
        <v>234</v>
      </c>
      <c r="D5" s="88" t="s">
        <v>235</v>
      </c>
      <c r="E5" s="88" t="s">
        <v>236</v>
      </c>
      <c r="F5" s="88" t="s">
        <v>237</v>
      </c>
      <c r="G5" s="88" t="s">
        <v>238</v>
      </c>
    </row>
    <row r="6" customFormat="false" ht="15" hidden="false" customHeight="true" outlineLevel="0" collapsed="false">
      <c r="A6" s="89" t="s">
        <v>447</v>
      </c>
      <c r="B6" s="89"/>
      <c r="C6" s="90" t="n">
        <v>0.7</v>
      </c>
      <c r="D6" s="90" t="n">
        <v>0.7</v>
      </c>
      <c r="E6" s="90" t="n">
        <v>0.75</v>
      </c>
      <c r="F6" s="90" t="n">
        <v>0.8</v>
      </c>
      <c r="G6" s="90" t="n">
        <v>0.85</v>
      </c>
    </row>
    <row r="7" customFormat="false" ht="15" hidden="false" customHeight="true" outlineLevel="0" collapsed="false">
      <c r="A7" s="89" t="s">
        <v>448</v>
      </c>
      <c r="B7" s="89"/>
      <c r="C7" s="90" t="n">
        <f aca="false">1-C6</f>
        <v>0.3</v>
      </c>
      <c r="D7" s="90" t="n">
        <f aca="false">1-D6</f>
        <v>0.3</v>
      </c>
      <c r="E7" s="90" t="n">
        <f aca="false">1-E6</f>
        <v>0.25</v>
      </c>
      <c r="F7" s="90" t="n">
        <f aca="false">1-F6</f>
        <v>0.2</v>
      </c>
      <c r="G7" s="90" t="n">
        <f aca="false">1-G6</f>
        <v>0.15</v>
      </c>
    </row>
    <row r="8" customFormat="false" ht="15" hidden="false" customHeight="true" outlineLevel="0" collapsed="false">
      <c r="A8" s="91"/>
      <c r="B8" s="91"/>
      <c r="C8" s="91"/>
      <c r="D8" s="91"/>
      <c r="E8" s="91"/>
      <c r="F8" s="91"/>
      <c r="G8" s="91"/>
    </row>
    <row r="9" customFormat="false" ht="15" hidden="false" customHeight="true" outlineLevel="0" collapsed="false">
      <c r="A9" s="88" t="s">
        <v>449</v>
      </c>
      <c r="B9" s="88" t="s">
        <v>233</v>
      </c>
      <c r="C9" s="88" t="s">
        <v>234</v>
      </c>
      <c r="D9" s="88" t="s">
        <v>235</v>
      </c>
      <c r="E9" s="88" t="s">
        <v>236</v>
      </c>
      <c r="F9" s="88" t="s">
        <v>237</v>
      </c>
      <c r="G9" s="88" t="s">
        <v>238</v>
      </c>
    </row>
    <row r="10" customFormat="false" ht="15" hidden="false" customHeight="true" outlineLevel="0" collapsed="false">
      <c r="A10" s="89" t="s">
        <v>450</v>
      </c>
      <c r="B10" s="89"/>
      <c r="C10" s="92" t="n">
        <f aca="false">Inflación!B13</f>
        <v>0.0351</v>
      </c>
      <c r="D10" s="92" t="n">
        <f aca="false">Inflación!C13</f>
        <v>0.0351</v>
      </c>
      <c r="E10" s="92" t="n">
        <f aca="false">Inflación!D13</f>
        <v>0.0351</v>
      </c>
      <c r="F10" s="92" t="n">
        <f aca="false">Inflación!E13</f>
        <v>0.0351</v>
      </c>
      <c r="G10" s="92" t="n">
        <f aca="false">Inflación!F13</f>
        <v>0.0351</v>
      </c>
    </row>
    <row r="11" customFormat="false" ht="15" hidden="false" customHeight="true" outlineLevel="0" collapsed="false">
      <c r="A11" s="89" t="s">
        <v>451</v>
      </c>
      <c r="B11" s="89"/>
      <c r="C11" s="92" t="n">
        <v>0.014</v>
      </c>
      <c r="D11" s="92" t="n">
        <v>0.018</v>
      </c>
      <c r="E11" s="92" t="n">
        <v>0.02</v>
      </c>
      <c r="F11" s="92" t="n">
        <v>0.02</v>
      </c>
      <c r="G11" s="92" t="n">
        <v>0.02</v>
      </c>
    </row>
    <row r="12" customFormat="false" ht="15" hidden="false" customHeight="true" outlineLevel="0" collapsed="false">
      <c r="A12" s="89" t="s">
        <v>452</v>
      </c>
      <c r="B12" s="89"/>
      <c r="C12" s="93" t="n">
        <v>0.5</v>
      </c>
      <c r="D12" s="93" t="n">
        <v>0.5</v>
      </c>
      <c r="E12" s="93" t="n">
        <v>0.5</v>
      </c>
      <c r="F12" s="93" t="n">
        <v>0.5</v>
      </c>
      <c r="G12" s="93" t="n">
        <v>0.5</v>
      </c>
    </row>
    <row r="13" customFormat="false" ht="15" hidden="false" customHeight="true" outlineLevel="0" collapsed="false">
      <c r="A13" s="89" t="s">
        <v>453</v>
      </c>
      <c r="B13" s="89"/>
      <c r="C13" s="92" t="n">
        <v>-0.04</v>
      </c>
      <c r="D13" s="92" t="n">
        <v>-0.015</v>
      </c>
      <c r="E13" s="92" t="n">
        <v>-0.005</v>
      </c>
      <c r="F13" s="92" t="n">
        <v>0</v>
      </c>
      <c r="G13" s="92" t="n">
        <v>0</v>
      </c>
    </row>
    <row r="14" customFormat="false" ht="15" hidden="false" customHeight="true" outlineLevel="0" collapsed="false">
      <c r="A14" s="88" t="s">
        <v>454</v>
      </c>
      <c r="B14" s="88"/>
      <c r="C14" s="94" t="n">
        <f aca="false">C10+C11*C12+C13</f>
        <v>0.0021</v>
      </c>
      <c r="D14" s="94" t="n">
        <f aca="false">D10+D11*D12+D13</f>
        <v>0.0291</v>
      </c>
      <c r="E14" s="94" t="n">
        <f aca="false">E10+E11*E12+E13</f>
        <v>0.0401</v>
      </c>
      <c r="F14" s="94" t="n">
        <f aca="false">F10+F11*F12+F13</f>
        <v>0.0451</v>
      </c>
      <c r="G14" s="94" t="n">
        <f aca="false">G10+G11*G12+G13</f>
        <v>0.0451</v>
      </c>
    </row>
    <row r="15" customFormat="false" ht="15" hidden="false" customHeight="true" outlineLevel="0" collapsed="false">
      <c r="A15" s="89" t="s">
        <v>455</v>
      </c>
      <c r="B15" s="89"/>
      <c r="C15" s="92" t="n">
        <v>-0.03</v>
      </c>
      <c r="D15" s="92" t="n">
        <v>-0.02</v>
      </c>
      <c r="E15" s="92" t="n">
        <v>-0.0125</v>
      </c>
      <c r="F15" s="92" t="n">
        <v>-0.01</v>
      </c>
      <c r="G15" s="92" t="n">
        <v>-0.0075</v>
      </c>
    </row>
    <row r="16" customFormat="false" ht="15" hidden="false" customHeight="true" outlineLevel="0" collapsed="false">
      <c r="A16" s="89" t="s">
        <v>456</v>
      </c>
      <c r="B16" s="89"/>
      <c r="C16" s="92" t="n">
        <v>-0.01</v>
      </c>
      <c r="D16" s="92" t="n">
        <v>-0.005</v>
      </c>
      <c r="E16" s="92" t="n">
        <v>0</v>
      </c>
      <c r="F16" s="92" t="n">
        <v>0</v>
      </c>
      <c r="G16" s="92" t="n">
        <v>0</v>
      </c>
    </row>
    <row r="17" customFormat="false" ht="15" hidden="false" customHeight="true" outlineLevel="0" collapsed="false">
      <c r="A17" s="89" t="s">
        <v>457</v>
      </c>
      <c r="B17" s="89"/>
      <c r="C17" s="92" t="n">
        <v>-0.003</v>
      </c>
      <c r="D17" s="92" t="n">
        <v>-0.002</v>
      </c>
      <c r="E17" s="92" t="n">
        <v>-0.001</v>
      </c>
      <c r="F17" s="92" t="n">
        <v>0</v>
      </c>
      <c r="G17" s="92" t="n">
        <v>0</v>
      </c>
    </row>
    <row r="18" customFormat="false" ht="15" hidden="false" customHeight="true" outlineLevel="0" collapsed="false">
      <c r="A18" s="89" t="s">
        <v>458</v>
      </c>
      <c r="B18" s="89"/>
      <c r="C18" s="92" t="n">
        <v>-0.002</v>
      </c>
      <c r="D18" s="92" t="n">
        <v>-0.003</v>
      </c>
      <c r="E18" s="92" t="n">
        <v>-0.001</v>
      </c>
      <c r="F18" s="92" t="n">
        <v>0</v>
      </c>
      <c r="G18" s="92" t="n">
        <v>0</v>
      </c>
    </row>
    <row r="19" customFormat="false" ht="15" hidden="false" customHeight="true" outlineLevel="0" collapsed="false">
      <c r="A19" s="89" t="s">
        <v>459</v>
      </c>
      <c r="B19" s="89"/>
      <c r="C19" s="92" t="n">
        <v>0.002</v>
      </c>
      <c r="D19" s="92" t="n">
        <v>0.003</v>
      </c>
      <c r="E19" s="92" t="n">
        <v>0.003</v>
      </c>
      <c r="F19" s="92" t="n">
        <v>0.002</v>
      </c>
      <c r="G19" s="92" t="n">
        <v>0.002</v>
      </c>
    </row>
    <row r="20" customFormat="false" ht="15" hidden="false" customHeight="true" outlineLevel="0" collapsed="false">
      <c r="A20" s="89" t="s">
        <v>460</v>
      </c>
      <c r="B20" s="89"/>
      <c r="C20" s="92" t="n">
        <v>0.003</v>
      </c>
      <c r="D20" s="92" t="n">
        <v>0.004</v>
      </c>
      <c r="E20" s="92" t="n">
        <v>0.005</v>
      </c>
      <c r="F20" s="92" t="n">
        <v>0.005</v>
      </c>
      <c r="G20" s="92" t="n">
        <v>0.005</v>
      </c>
    </row>
    <row r="21" customFormat="false" ht="15" hidden="false" customHeight="true" outlineLevel="0" collapsed="false">
      <c r="A21" s="89" t="s">
        <v>461</v>
      </c>
      <c r="B21" s="89"/>
      <c r="C21" s="92" t="n">
        <v>-0.002</v>
      </c>
      <c r="D21" s="92" t="n">
        <v>-0.002</v>
      </c>
      <c r="E21" s="92" t="n">
        <v>-0.001</v>
      </c>
      <c r="F21" s="92" t="n">
        <v>0</v>
      </c>
      <c r="G21" s="92" t="n">
        <v>0</v>
      </c>
    </row>
    <row r="22" customFormat="false" ht="15" hidden="false" customHeight="true" outlineLevel="0" collapsed="false">
      <c r="A22" s="89" t="s">
        <v>462</v>
      </c>
      <c r="B22" s="89"/>
      <c r="C22" s="92" t="n">
        <v>0.001</v>
      </c>
      <c r="D22" s="92" t="n">
        <v>0.002</v>
      </c>
      <c r="E22" s="92" t="n">
        <v>0.002</v>
      </c>
      <c r="F22" s="92" t="n">
        <v>0.002</v>
      </c>
      <c r="G22" s="92" t="n">
        <v>0.002</v>
      </c>
    </row>
    <row r="23" customFormat="false" ht="15" hidden="false" customHeight="true" outlineLevel="0" collapsed="false">
      <c r="A23" s="88" t="s">
        <v>463</v>
      </c>
      <c r="B23" s="88"/>
      <c r="C23" s="94" t="n">
        <f aca="false">C14+SUM(C15:C22)</f>
        <v>-0.0389</v>
      </c>
      <c r="D23" s="94" t="n">
        <f aca="false">D14+SUM(D15:D22)</f>
        <v>0.0061</v>
      </c>
      <c r="E23" s="94" t="n">
        <f aca="false">E14+SUM(E15:E22)</f>
        <v>0.0346</v>
      </c>
      <c r="F23" s="94" t="n">
        <f aca="false">F14+SUM(F15:F22)</f>
        <v>0.0441</v>
      </c>
      <c r="G23" s="94" t="n">
        <f aca="false">G14+SUM(G15:G22)</f>
        <v>0.0466</v>
      </c>
    </row>
    <row r="24" customFormat="false" ht="15" hidden="false" customHeight="true" outlineLevel="0" collapsed="false">
      <c r="A24" s="91"/>
      <c r="B24" s="91"/>
      <c r="C24" s="91"/>
      <c r="D24" s="91"/>
      <c r="E24" s="91"/>
      <c r="F24" s="91"/>
      <c r="G24" s="91"/>
    </row>
    <row r="25" customFormat="false" ht="15" hidden="false" customHeight="true" outlineLevel="0" collapsed="false">
      <c r="A25" s="88" t="s">
        <v>464</v>
      </c>
      <c r="B25" s="88" t="s">
        <v>233</v>
      </c>
      <c r="C25" s="88" t="s">
        <v>234</v>
      </c>
      <c r="D25" s="88" t="s">
        <v>235</v>
      </c>
      <c r="E25" s="88" t="s">
        <v>236</v>
      </c>
      <c r="F25" s="88" t="s">
        <v>237</v>
      </c>
      <c r="G25" s="88" t="s">
        <v>238</v>
      </c>
    </row>
    <row r="26" customFormat="false" ht="15" hidden="false" customHeight="true" outlineLevel="0" collapsed="false">
      <c r="A26" s="89" t="s">
        <v>465</v>
      </c>
      <c r="B26" s="95" t="n">
        <f aca="false">'MC Soriana'!G6</f>
        <v>174278</v>
      </c>
      <c r="C26" s="95" t="n">
        <f aca="false">'MC Soriana'!F24</f>
        <v>162461.1706</v>
      </c>
      <c r="D26" s="95" t="n">
        <f aca="false">C26*(1+D10)</f>
        <v>168163.55768806</v>
      </c>
      <c r="E26" s="95" t="n">
        <f aca="false">D26*(1+E10)</f>
        <v>174066.098562911</v>
      </c>
      <c r="F26" s="95" t="n">
        <f aca="false">E26*(1+F10)</f>
        <v>180175.818622469</v>
      </c>
      <c r="G26" s="95" t="n">
        <f aca="false">F26*(1+G10)</f>
        <v>186499.989856118</v>
      </c>
    </row>
    <row r="27" customFormat="false" ht="15" hidden="false" customHeight="true" outlineLevel="0" collapsed="false">
      <c r="A27" s="89" t="s">
        <v>466</v>
      </c>
      <c r="B27" s="89"/>
      <c r="C27" s="90" t="n">
        <f aca="false">C26/B26-1</f>
        <v>-0.0678044813458956</v>
      </c>
      <c r="D27" s="90" t="n">
        <f aca="false">D26/C26-1</f>
        <v>0.0350999999999999</v>
      </c>
      <c r="E27" s="90" t="n">
        <f aca="false">E26/D26-1</f>
        <v>0.0350999999999999</v>
      </c>
      <c r="F27" s="90" t="n">
        <f aca="false">F26/E26-1</f>
        <v>0.0350999999999999</v>
      </c>
      <c r="G27" s="90" t="n">
        <f aca="false">G26/F26-1</f>
        <v>0.0350999999999999</v>
      </c>
    </row>
    <row r="28" customFormat="false" ht="15" hidden="false" customHeight="true" outlineLevel="0" collapsed="false">
      <c r="A28" s="88" t="s">
        <v>467</v>
      </c>
      <c r="B28" s="88"/>
      <c r="C28" s="96" t="n">
        <f aca="false">C$6*C23+C$7*C27</f>
        <v>-0.0475713444037687</v>
      </c>
      <c r="D28" s="96" t="n">
        <f aca="false">D$6*D23+D$7*D27</f>
        <v>0.0148</v>
      </c>
      <c r="E28" s="96" t="n">
        <f aca="false">E$6*E23+E$7*E27</f>
        <v>0.034725</v>
      </c>
      <c r="F28" s="96" t="n">
        <f aca="false">F$6*F23+F$7*F27</f>
        <v>0.0423</v>
      </c>
      <c r="G28" s="96" t="n">
        <f aca="false">G$6*G23+G$7*G27</f>
        <v>0.044875</v>
      </c>
    </row>
    <row r="29" customFormat="false" ht="15" hidden="false" customHeight="true" outlineLevel="0" collapsed="false">
      <c r="A29" s="91"/>
      <c r="B29" s="91"/>
      <c r="C29" s="91"/>
      <c r="D29" s="91"/>
      <c r="E29" s="91"/>
      <c r="F29" s="91"/>
      <c r="G29" s="91"/>
    </row>
    <row r="30" customFormat="false" ht="15" hidden="false" customHeight="true" outlineLevel="0" collapsed="false">
      <c r="A30" s="88" t="s">
        <v>468</v>
      </c>
      <c r="B30" s="88" t="s">
        <v>233</v>
      </c>
      <c r="C30" s="88" t="s">
        <v>234</v>
      </c>
      <c r="D30" s="88" t="s">
        <v>235</v>
      </c>
      <c r="E30" s="88" t="s">
        <v>236</v>
      </c>
      <c r="F30" s="88" t="s">
        <v>237</v>
      </c>
      <c r="G30" s="88" t="s">
        <v>238</v>
      </c>
    </row>
    <row r="31" customFormat="false" ht="15" hidden="false" customHeight="true" outlineLevel="0" collapsed="false">
      <c r="A31" s="89" t="s">
        <v>469</v>
      </c>
      <c r="B31" s="92" t="n">
        <f aca="false">Valuación!B10</f>
        <v>0.042542883699969</v>
      </c>
      <c r="C31" s="92" t="n">
        <f aca="false">B31+SUM(C32:C39)</f>
        <v>0.043742883699969</v>
      </c>
      <c r="D31" s="92" t="n">
        <f aca="false">C31+SUM(D32:D39)</f>
        <v>0.043442883699969</v>
      </c>
      <c r="E31" s="92" t="n">
        <f aca="false">D31+SUM(E32:E39)</f>
        <v>0.043742883699969</v>
      </c>
      <c r="F31" s="92" t="n">
        <f aca="false">E31+SUM(F32:F39)</f>
        <v>0.044042883699969</v>
      </c>
      <c r="G31" s="92" t="n">
        <f aca="false">F31+SUM(G32:G39)</f>
        <v>0.044342883699969</v>
      </c>
    </row>
    <row r="32" customFormat="false" ht="15" hidden="false" customHeight="true" outlineLevel="0" collapsed="false">
      <c r="A32" s="89" t="s">
        <v>470</v>
      </c>
      <c r="B32" s="92"/>
      <c r="C32" s="92" t="n">
        <v>0.0055</v>
      </c>
      <c r="D32" s="92" t="n">
        <v>0.003</v>
      </c>
      <c r="E32" s="92" t="n">
        <v>0.002</v>
      </c>
      <c r="F32" s="92" t="n">
        <v>0.001</v>
      </c>
      <c r="G32" s="92" t="n">
        <v>0.001</v>
      </c>
    </row>
    <row r="33" customFormat="false" ht="15" hidden="false" customHeight="true" outlineLevel="0" collapsed="false">
      <c r="A33" s="89" t="s">
        <v>471</v>
      </c>
      <c r="B33" s="92"/>
      <c r="C33" s="92" t="n">
        <v>-0.001</v>
      </c>
      <c r="D33" s="92" t="n">
        <v>-0.0015</v>
      </c>
      <c r="E33" s="92" t="n">
        <v>-0.0015</v>
      </c>
      <c r="F33" s="92" t="n">
        <v>-0.001</v>
      </c>
      <c r="G33" s="92" t="n">
        <v>-0.001</v>
      </c>
    </row>
    <row r="34" customFormat="false" ht="15" hidden="false" customHeight="true" outlineLevel="0" collapsed="false">
      <c r="A34" s="89" t="s">
        <v>472</v>
      </c>
      <c r="B34" s="92"/>
      <c r="C34" s="92" t="n">
        <v>-0.0015</v>
      </c>
      <c r="D34" s="92" t="n">
        <v>-0.001</v>
      </c>
      <c r="E34" s="92" t="n">
        <v>-0.001</v>
      </c>
      <c r="F34" s="92" t="n">
        <v>-0.0005</v>
      </c>
      <c r="G34" s="92" t="n">
        <v>0</v>
      </c>
    </row>
    <row r="35" customFormat="false" ht="15" hidden="false" customHeight="true" outlineLevel="0" collapsed="false">
      <c r="A35" s="89" t="s">
        <v>473</v>
      </c>
      <c r="B35" s="92"/>
      <c r="C35" s="92" t="n">
        <v>-0.0005</v>
      </c>
      <c r="D35" s="92" t="n">
        <v>-0.0005</v>
      </c>
      <c r="E35" s="92" t="n">
        <v>0</v>
      </c>
      <c r="F35" s="92" t="n">
        <v>0</v>
      </c>
      <c r="G35" s="92" t="n">
        <v>0</v>
      </c>
    </row>
    <row r="36" customFormat="false" ht="15" hidden="false" customHeight="true" outlineLevel="0" collapsed="false">
      <c r="A36" s="89" t="s">
        <v>474</v>
      </c>
      <c r="B36" s="92"/>
      <c r="C36" s="92" t="n">
        <v>-0.0005</v>
      </c>
      <c r="D36" s="92" t="n">
        <v>-0.0005</v>
      </c>
      <c r="E36" s="92" t="n">
        <v>0</v>
      </c>
      <c r="F36" s="92" t="n">
        <v>0</v>
      </c>
      <c r="G36" s="92" t="n">
        <v>0</v>
      </c>
    </row>
    <row r="37" customFormat="false" ht="15" hidden="false" customHeight="true" outlineLevel="0" collapsed="false">
      <c r="A37" s="89" t="s">
        <v>475</v>
      </c>
      <c r="B37" s="92"/>
      <c r="C37" s="92" t="n">
        <v>-0.0003</v>
      </c>
      <c r="D37" s="92" t="n">
        <v>-0.0003</v>
      </c>
      <c r="E37" s="92" t="n">
        <v>-0.0002</v>
      </c>
      <c r="F37" s="92" t="n">
        <v>-0.0002</v>
      </c>
      <c r="G37" s="92" t="n">
        <v>-0.0002</v>
      </c>
    </row>
    <row r="38" customFormat="false" ht="15" hidden="false" customHeight="true" outlineLevel="0" collapsed="false">
      <c r="A38" s="89" t="s">
        <v>476</v>
      </c>
      <c r="B38" s="92"/>
      <c r="C38" s="92" t="n">
        <v>0.0005</v>
      </c>
      <c r="D38" s="92" t="n">
        <v>0.001</v>
      </c>
      <c r="E38" s="92" t="n">
        <v>0.001</v>
      </c>
      <c r="F38" s="92" t="n">
        <v>0.001</v>
      </c>
      <c r="G38" s="92" t="n">
        <v>0.0005</v>
      </c>
    </row>
    <row r="39" customFormat="false" ht="15" hidden="false" customHeight="true" outlineLevel="0" collapsed="false">
      <c r="A39" s="89" t="s">
        <v>477</v>
      </c>
      <c r="B39" s="92"/>
      <c r="C39" s="92" t="n">
        <v>-0.001</v>
      </c>
      <c r="D39" s="92" t="n">
        <v>-0.0005</v>
      </c>
      <c r="E39" s="92" t="n">
        <v>0</v>
      </c>
      <c r="F39" s="92" t="n">
        <v>0</v>
      </c>
      <c r="G39" s="92" t="n">
        <v>0</v>
      </c>
    </row>
    <row r="40" customFormat="false" ht="15" hidden="false" customHeight="true" outlineLevel="0" collapsed="false">
      <c r="A40" s="89" t="s">
        <v>478</v>
      </c>
      <c r="B40" s="92"/>
      <c r="C40" s="92" t="n">
        <f aca="false">'MC Soriana'!$F$27</f>
        <v>0.0443117561301137</v>
      </c>
      <c r="D40" s="92" t="n">
        <f aca="false">'MC Soriana'!$F$27</f>
        <v>0.0443117561301137</v>
      </c>
      <c r="E40" s="92" t="n">
        <f aca="false">'MC Soriana'!$F$27</f>
        <v>0.0443117561301137</v>
      </c>
      <c r="F40" s="92" t="n">
        <f aca="false">'MC Soriana'!$F$27</f>
        <v>0.0443117561301137</v>
      </c>
      <c r="G40" s="92" t="n">
        <f aca="false">'MC Soriana'!$F$27</f>
        <v>0.0443117561301137</v>
      </c>
    </row>
    <row r="41" customFormat="false" ht="15" hidden="false" customHeight="true" outlineLevel="0" collapsed="false">
      <c r="A41" s="88" t="s">
        <v>479</v>
      </c>
      <c r="B41" s="94"/>
      <c r="C41" s="94" t="n">
        <f aca="false">C$6*C31+C$7*C40</f>
        <v>0.0439135454290124</v>
      </c>
      <c r="D41" s="94" t="n">
        <f aca="false">D$6*D31+D$7*D40</f>
        <v>0.0437035454290124</v>
      </c>
      <c r="E41" s="94" t="n">
        <f aca="false">E$6*E31+E$7*E40</f>
        <v>0.0438851018075052</v>
      </c>
      <c r="F41" s="94" t="n">
        <f aca="false">F$6*F31+F$7*F40</f>
        <v>0.044096658185998</v>
      </c>
      <c r="G41" s="94" t="n">
        <f aca="false">G$6*G31+G$7*G40</f>
        <v>0.0443382145644907</v>
      </c>
    </row>
    <row r="42" customFormat="false" ht="15" hidden="false" customHeight="true" outlineLevel="0" collapsed="false">
      <c r="A42" s="91"/>
      <c r="B42" s="91"/>
      <c r="C42" s="91"/>
      <c r="D42" s="91"/>
      <c r="E42" s="91"/>
      <c r="F42" s="91"/>
      <c r="G42" s="91"/>
    </row>
    <row r="43" customFormat="false" ht="15" hidden="false" customHeight="true" outlineLevel="0" collapsed="false">
      <c r="A43" s="88" t="s">
        <v>480</v>
      </c>
      <c r="B43" s="88" t="s">
        <v>233</v>
      </c>
      <c r="C43" s="88" t="s">
        <v>234</v>
      </c>
      <c r="D43" s="88" t="s">
        <v>235</v>
      </c>
      <c r="E43" s="88" t="s">
        <v>236</v>
      </c>
      <c r="F43" s="88" t="s">
        <v>237</v>
      </c>
      <c r="G43" s="88" t="s">
        <v>238</v>
      </c>
    </row>
    <row r="44" customFormat="false" ht="15" hidden="false" customHeight="true" outlineLevel="0" collapsed="false">
      <c r="A44" s="89" t="s">
        <v>481</v>
      </c>
      <c r="B44" s="89"/>
      <c r="C44" s="92" t="n">
        <f aca="false">Valuación!$B$11</f>
        <v>0.0244599047967777</v>
      </c>
      <c r="D44" s="92" t="n">
        <f aca="false">Valuación!$B$11</f>
        <v>0.0244599047967777</v>
      </c>
      <c r="E44" s="92" t="n">
        <f aca="false">Valuación!$B$11</f>
        <v>0.0244599047967777</v>
      </c>
      <c r="F44" s="92" t="n">
        <f aca="false">Valuación!$B$11</f>
        <v>0.0244599047967777</v>
      </c>
      <c r="G44" s="92" t="n">
        <f aca="false">Valuación!$B$11</f>
        <v>0.0244599047967777</v>
      </c>
    </row>
    <row r="45" customFormat="false" ht="15" hidden="false" customHeight="true" outlineLevel="0" collapsed="false">
      <c r="A45" s="89" t="s">
        <v>482</v>
      </c>
      <c r="B45" s="89"/>
      <c r="C45" s="92" t="n">
        <f aca="false">'MC Soriana'!$F$30/'MC Soriana'!$F$24</f>
        <v>0.0243554418904329</v>
      </c>
      <c r="D45" s="92" t="n">
        <f aca="false">'MC Soriana'!$F$30/'MC Soriana'!$F$24</f>
        <v>0.0243554418904329</v>
      </c>
      <c r="E45" s="92" t="n">
        <f aca="false">'MC Soriana'!$F$30/'MC Soriana'!$F$24</f>
        <v>0.0243554418904329</v>
      </c>
      <c r="F45" s="92" t="n">
        <f aca="false">'MC Soriana'!$F$30/'MC Soriana'!$F$24</f>
        <v>0.0243554418904329</v>
      </c>
      <c r="G45" s="92" t="n">
        <f aca="false">'MC Soriana'!$F$30/'MC Soriana'!$F$24</f>
        <v>0.0243554418904329</v>
      </c>
    </row>
    <row r="46" customFormat="false" ht="15" hidden="false" customHeight="true" outlineLevel="0" collapsed="false">
      <c r="A46" s="89" t="s">
        <v>483</v>
      </c>
      <c r="B46" s="89"/>
      <c r="C46" s="92" t="n">
        <f aca="false">C$6*C44+C$7*C45</f>
        <v>0.0244285659248743</v>
      </c>
      <c r="D46" s="92" t="n">
        <f aca="false">D$6*D44+D$7*D45</f>
        <v>0.0244285659248743</v>
      </c>
      <c r="E46" s="92" t="n">
        <f aca="false">E$6*E44+E$7*E45</f>
        <v>0.0244337890701915</v>
      </c>
      <c r="F46" s="92" t="n">
        <f aca="false">F$6*F44+F$7*F45</f>
        <v>0.0244390122155088</v>
      </c>
      <c r="G46" s="92" t="n">
        <f aca="false">G$6*G44+G$7*G45</f>
        <v>0.024444235360826</v>
      </c>
    </row>
    <row r="47" customFormat="false" ht="15" hidden="false" customHeight="true" outlineLevel="0" collapsed="false">
      <c r="A47" s="89" t="s">
        <v>484</v>
      </c>
      <c r="B47" s="89"/>
      <c r="C47" s="95" t="n">
        <v>4000</v>
      </c>
      <c r="D47" s="95"/>
      <c r="E47" s="95"/>
      <c r="F47" s="95"/>
      <c r="G47" s="95"/>
    </row>
    <row r="48" customFormat="false" ht="15" hidden="false" customHeight="true" outlineLevel="0" collapsed="false">
      <c r="A48" s="89" t="s">
        <v>485</v>
      </c>
      <c r="B48" s="89"/>
      <c r="C48" s="92"/>
      <c r="D48" s="92" t="n">
        <v>0.003</v>
      </c>
      <c r="E48" s="92" t="n">
        <v>0.003</v>
      </c>
      <c r="F48" s="92" t="n">
        <v>0.003</v>
      </c>
      <c r="G48" s="92" t="n">
        <v>0.003</v>
      </c>
    </row>
    <row r="49" customFormat="false" ht="15" hidden="false" customHeight="true" outlineLevel="0" collapsed="false">
      <c r="A49" s="89" t="s">
        <v>486</v>
      </c>
      <c r="B49" s="89"/>
      <c r="C49" s="92" t="n">
        <f aca="false">C47/C67</f>
        <v>0.0236587873664605</v>
      </c>
      <c r="D49" s="92" t="n">
        <f aca="false">Valuación!$B$12*(1+'Variables Externas'!$J$22)+D48</f>
        <v>0.0195545165197307</v>
      </c>
      <c r="E49" s="92" t="n">
        <f aca="false">Valuación!$B$12*(1+'Variables Externas'!$J$22)+E48</f>
        <v>0.0195545165197307</v>
      </c>
      <c r="F49" s="92" t="n">
        <f aca="false">Valuación!$B$12*(1+'Variables Externas'!$J$22)+F48</f>
        <v>0.0195545165197307</v>
      </c>
      <c r="G49" s="92" t="n">
        <f aca="false">Valuación!$B$12*(1+'Variables Externas'!$J$22)+G48</f>
        <v>0.0195545165197307</v>
      </c>
    </row>
    <row r="50" customFormat="false" ht="15" hidden="false" customHeight="true" outlineLevel="0" collapsed="false">
      <c r="A50" s="89" t="s">
        <v>487</v>
      </c>
      <c r="B50" s="89"/>
      <c r="C50" s="92" t="n">
        <f aca="false">'MC Soriana'!$F$31/'MC Soriana'!$F$24</f>
        <v>0.0209894462006296</v>
      </c>
      <c r="D50" s="92" t="n">
        <f aca="false">'MC Soriana'!$F$31/'MC Soriana'!$F$24</f>
        <v>0.0209894462006296</v>
      </c>
      <c r="E50" s="92" t="n">
        <f aca="false">'MC Soriana'!$F$31/'MC Soriana'!$F$24</f>
        <v>0.0209894462006296</v>
      </c>
      <c r="F50" s="92" t="n">
        <f aca="false">'MC Soriana'!$F$31/'MC Soriana'!$F$24</f>
        <v>0.0209894462006296</v>
      </c>
      <c r="G50" s="92" t="n">
        <f aca="false">'MC Soriana'!$F$31/'MC Soriana'!$F$24</f>
        <v>0.0209894462006296</v>
      </c>
    </row>
    <row r="51" customFormat="false" ht="15" hidden="false" customHeight="true" outlineLevel="0" collapsed="false">
      <c r="A51" s="88" t="s">
        <v>488</v>
      </c>
      <c r="B51" s="88"/>
      <c r="C51" s="94" t="n">
        <f aca="false">C$6*C49+C$7*C50</f>
        <v>0.0228579850167112</v>
      </c>
      <c r="D51" s="94" t="n">
        <f aca="false">D$6*D49+D$7*D50</f>
        <v>0.0199849954240004</v>
      </c>
      <c r="E51" s="94" t="n">
        <f aca="false">E$6*E49+E$7*E50</f>
        <v>0.0199132489399554</v>
      </c>
      <c r="F51" s="94" t="n">
        <f aca="false">F$6*F49+F$7*F50</f>
        <v>0.0198415024559105</v>
      </c>
      <c r="G51" s="94" t="n">
        <f aca="false">G$6*G49+G$7*G50</f>
        <v>0.0197697559718656</v>
      </c>
    </row>
    <row r="52" customFormat="false" ht="15" hidden="false" customHeight="true" outlineLevel="0" collapsed="false">
      <c r="A52" s="89" t="s">
        <v>489</v>
      </c>
      <c r="B52" s="89"/>
      <c r="C52" s="92" t="n">
        <v>0</v>
      </c>
      <c r="D52" s="92" t="n">
        <v>0.005</v>
      </c>
      <c r="E52" s="92" t="n">
        <v>0.005</v>
      </c>
      <c r="F52" s="92" t="n">
        <v>0.005</v>
      </c>
      <c r="G52" s="92" t="n">
        <v>0.005</v>
      </c>
    </row>
    <row r="53" customFormat="false" ht="15" hidden="false" customHeight="true" outlineLevel="0" collapsed="false">
      <c r="A53" s="89" t="s">
        <v>490</v>
      </c>
      <c r="B53" s="89"/>
      <c r="C53" s="92" t="n">
        <f aca="false">WACC!$B$10+C52</f>
        <v>0.3</v>
      </c>
      <c r="D53" s="92" t="n">
        <f aca="false">WACC!$B$10+D52</f>
        <v>0.305</v>
      </c>
      <c r="E53" s="92" t="n">
        <f aca="false">WACC!$B$10+E52</f>
        <v>0.305</v>
      </c>
      <c r="F53" s="92" t="n">
        <f aca="false">WACC!$B$10+F52</f>
        <v>0.305</v>
      </c>
      <c r="G53" s="92" t="n">
        <f aca="false">WACC!$B$10+G52</f>
        <v>0.305</v>
      </c>
    </row>
    <row r="54" customFormat="false" ht="15" hidden="false" customHeight="true" outlineLevel="0" collapsed="false">
      <c r="A54" s="89" t="s">
        <v>491</v>
      </c>
      <c r="B54" s="89"/>
      <c r="C54" s="92" t="n">
        <f aca="false">Datos!$G$12/Datos!$G$11</f>
        <v>0.300671422576584</v>
      </c>
      <c r="D54" s="92" t="n">
        <f aca="false">Datos!$G$12/Datos!$G$11</f>
        <v>0.300671422576584</v>
      </c>
      <c r="E54" s="92" t="n">
        <f aca="false">Datos!$G$12/Datos!$G$11</f>
        <v>0.300671422576584</v>
      </c>
      <c r="F54" s="92" t="n">
        <f aca="false">Datos!$G$12/Datos!$G$11</f>
        <v>0.300671422576584</v>
      </c>
      <c r="G54" s="92" t="n">
        <f aca="false">Datos!$G$12/Datos!$G$11</f>
        <v>0.300671422576584</v>
      </c>
    </row>
    <row r="55" customFormat="false" ht="15" hidden="false" customHeight="true" outlineLevel="0" collapsed="false">
      <c r="A55" s="88" t="s">
        <v>492</v>
      </c>
      <c r="B55" s="88"/>
      <c r="C55" s="94" t="n">
        <f aca="false">C$6*C53+C$7*C54</f>
        <v>0.300201426772975</v>
      </c>
      <c r="D55" s="94" t="n">
        <f aca="false">D$6*D53+D$7*D54</f>
        <v>0.303701426772975</v>
      </c>
      <c r="E55" s="94" t="n">
        <f aca="false">E$6*E53+E$7*E54</f>
        <v>0.303917855644146</v>
      </c>
      <c r="F55" s="94" t="n">
        <f aca="false">F$6*F53+F$7*F54</f>
        <v>0.304134284515317</v>
      </c>
      <c r="G55" s="94" t="n">
        <f aca="false">G$6*G53+G$7*G54</f>
        <v>0.304350713386488</v>
      </c>
    </row>
    <row r="56" customFormat="false" ht="15" hidden="false" customHeight="true" outlineLevel="0" collapsed="false">
      <c r="A56" s="89" t="s">
        <v>272</v>
      </c>
      <c r="B56" s="97" t="n">
        <f aca="false">Datos!G18/Datos!G7*365</f>
        <v>87.4443050938019</v>
      </c>
      <c r="C56" s="97" t="n">
        <v>88</v>
      </c>
      <c r="D56" s="97" t="n">
        <v>88</v>
      </c>
      <c r="E56" s="97" t="n">
        <v>87</v>
      </c>
      <c r="F56" s="97" t="n">
        <v>87</v>
      </c>
      <c r="G56" s="97" t="n">
        <v>87</v>
      </c>
    </row>
    <row r="57" customFormat="false" ht="15" hidden="false" customHeight="true" outlineLevel="0" collapsed="false">
      <c r="A57" s="89" t="s">
        <v>273</v>
      </c>
      <c r="B57" s="98" t="n">
        <f aca="false">(Datos!G19-Datos!G17-Datos!G18)/Datos!G6</f>
        <v>0.0391572543165366</v>
      </c>
      <c r="C57" s="98" t="n">
        <f aca="false">$B57</f>
        <v>0.0391572543165366</v>
      </c>
      <c r="D57" s="98" t="n">
        <f aca="false">$B57</f>
        <v>0.0391572543165366</v>
      </c>
      <c r="E57" s="98" t="n">
        <f aca="false">$B57</f>
        <v>0.0391572543165366</v>
      </c>
      <c r="F57" s="98" t="n">
        <f aca="false">$B57</f>
        <v>0.0391572543165366</v>
      </c>
      <c r="G57" s="98" t="n">
        <f aca="false">$B57</f>
        <v>0.0391572543165366</v>
      </c>
    </row>
    <row r="58" customFormat="false" ht="15" hidden="false" customHeight="true" outlineLevel="0" collapsed="false">
      <c r="A58" s="89" t="s">
        <v>274</v>
      </c>
      <c r="B58" s="98" t="n">
        <f aca="false">(Datos!G21-Datos!G25-Datos!G27)/Datos!G6</f>
        <v>0.200225333070445</v>
      </c>
      <c r="C58" s="98" t="n">
        <f aca="false">$B58</f>
        <v>0.200225333070445</v>
      </c>
      <c r="D58" s="98" t="n">
        <f aca="false">$B58</f>
        <v>0.200225333070445</v>
      </c>
      <c r="E58" s="98" t="n">
        <f aca="false">$B58</f>
        <v>0.200225333070445</v>
      </c>
      <c r="F58" s="98" t="n">
        <f aca="false">$B58</f>
        <v>0.200225333070445</v>
      </c>
      <c r="G58" s="98" t="n">
        <f aca="false">$B58</f>
        <v>0.200225333070445</v>
      </c>
    </row>
    <row r="59" customFormat="false" ht="15" hidden="false" customHeight="true" outlineLevel="0" collapsed="false">
      <c r="A59" s="89" t="s">
        <v>269</v>
      </c>
      <c r="B59" s="98" t="n">
        <f aca="false">Datos!G7/Datos!G6</f>
        <v>0.759102047714278</v>
      </c>
      <c r="C59" s="98" t="n">
        <v>0.756</v>
      </c>
      <c r="D59" s="98" t="n">
        <v>0.757</v>
      </c>
      <c r="E59" s="98" t="n">
        <v>0.758</v>
      </c>
      <c r="F59" s="98" t="n">
        <v>0.758</v>
      </c>
      <c r="G59" s="98" t="n">
        <v>0.758</v>
      </c>
    </row>
    <row r="60" customFormat="false" ht="15" hidden="false" customHeight="true" outlineLevel="0" collapsed="false">
      <c r="A60" s="89" t="s">
        <v>270</v>
      </c>
      <c r="B60" s="98" t="n">
        <f aca="false">-B70/B67</f>
        <v>0.173900797115737</v>
      </c>
      <c r="C60" s="98" t="n">
        <f aca="false">1-C59-C46-C41</f>
        <v>0.175657888646113</v>
      </c>
      <c r="D60" s="98" t="n">
        <f aca="false">1-D59-D46-D41</f>
        <v>0.174867888646113</v>
      </c>
      <c r="E60" s="98" t="n">
        <f aca="false">1-E59-E46-E41</f>
        <v>0.173681109122303</v>
      </c>
      <c r="F60" s="98" t="n">
        <f aca="false">1-F59-F46-F41</f>
        <v>0.173464329598493</v>
      </c>
      <c r="G60" s="98" t="n">
        <f aca="false">1-G59-G46-G41</f>
        <v>0.173217550074683</v>
      </c>
    </row>
    <row r="61" customFormat="false" ht="15" hidden="false" customHeight="true" outlineLevel="0" collapsed="false">
      <c r="A61" s="89" t="s">
        <v>271</v>
      </c>
      <c r="B61" s="99" t="n">
        <f aca="false">Datos!G10/(Datos!G25+Datos!G26+Datos!G27+Datos!G28)</f>
        <v>0.130154966550936</v>
      </c>
      <c r="C61" s="99" t="n">
        <v>0.1</v>
      </c>
      <c r="D61" s="99" t="n">
        <v>0.0975</v>
      </c>
      <c r="E61" s="99" t="n">
        <v>0.0975</v>
      </c>
      <c r="F61" s="99" t="n">
        <v>0.0975</v>
      </c>
      <c r="G61" s="99" t="n">
        <v>0.0975</v>
      </c>
    </row>
    <row r="62" customFormat="false" ht="15" hidden="false" customHeight="true" outlineLevel="0" collapsed="false">
      <c r="A62" s="89" t="s">
        <v>493</v>
      </c>
      <c r="B62" s="100"/>
      <c r="C62" s="100" t="n">
        <v>0</v>
      </c>
      <c r="D62" s="100" t="n">
        <v>-1500</v>
      </c>
      <c r="E62" s="100" t="n">
        <v>-1500</v>
      </c>
      <c r="F62" s="100" t="n">
        <v>-1500</v>
      </c>
      <c r="G62" s="100" t="n">
        <v>-1500</v>
      </c>
    </row>
    <row r="63" customFormat="false" ht="15" hidden="false" customHeight="true" outlineLevel="0" collapsed="false">
      <c r="A63" s="89" t="s">
        <v>275</v>
      </c>
      <c r="B63" s="98" t="n">
        <f aca="false">'Proyección Soriana'!B14</f>
        <v>0.300144057623049</v>
      </c>
      <c r="C63" s="98" t="n">
        <f aca="false">$B63</f>
        <v>0.300144057623049</v>
      </c>
      <c r="D63" s="98" t="n">
        <f aca="false">$B63</f>
        <v>0.300144057623049</v>
      </c>
      <c r="E63" s="98" t="n">
        <f aca="false">$B63</f>
        <v>0.300144057623049</v>
      </c>
      <c r="F63" s="98" t="n">
        <f aca="false">$B63</f>
        <v>0.300144057623049</v>
      </c>
      <c r="G63" s="98" t="n">
        <f aca="false">$B63</f>
        <v>0.300144057623049</v>
      </c>
    </row>
    <row r="64" customFormat="false" ht="15" hidden="false" customHeight="true" outlineLevel="0" collapsed="false">
      <c r="A64" s="101"/>
      <c r="B64" s="101"/>
      <c r="C64" s="101"/>
      <c r="D64" s="101"/>
      <c r="E64" s="101"/>
      <c r="F64" s="101"/>
      <c r="G64" s="101"/>
    </row>
    <row r="65" customFormat="false" ht="15" hidden="false" customHeight="true" outlineLevel="0" collapsed="false">
      <c r="A65" s="102" t="s">
        <v>494</v>
      </c>
      <c r="B65" s="101"/>
      <c r="C65" s="101"/>
      <c r="D65" s="101"/>
      <c r="E65" s="101"/>
      <c r="F65" s="101"/>
      <c r="G65" s="101"/>
    </row>
    <row r="66" customFormat="false" ht="15" hidden="false" customHeight="true" outlineLevel="0" collapsed="false">
      <c r="A66" s="88" t="s">
        <v>495</v>
      </c>
      <c r="B66" s="103" t="s">
        <v>233</v>
      </c>
      <c r="C66" s="103" t="s">
        <v>234</v>
      </c>
      <c r="D66" s="103" t="s">
        <v>235</v>
      </c>
      <c r="E66" s="103" t="s">
        <v>236</v>
      </c>
      <c r="F66" s="103" t="s">
        <v>237</v>
      </c>
      <c r="G66" s="103" t="s">
        <v>238</v>
      </c>
    </row>
    <row r="67" customFormat="false" ht="15" hidden="false" customHeight="true" outlineLevel="0" collapsed="false">
      <c r="A67" s="89" t="s">
        <v>247</v>
      </c>
      <c r="B67" s="100" t="n">
        <f aca="false">Datos!G6</f>
        <v>177515</v>
      </c>
      <c r="C67" s="100" t="n">
        <f aca="false">B67*(1+C28)</f>
        <v>169070.372798165</v>
      </c>
      <c r="D67" s="100" t="n">
        <f aca="false">C67*(1+D28)</f>
        <v>171572.614315578</v>
      </c>
      <c r="E67" s="100" t="n">
        <f aca="false">D67*(1+E28)</f>
        <v>177530.473347686</v>
      </c>
      <c r="F67" s="100" t="n">
        <f aca="false">E67*(1+F28)</f>
        <v>185040.012370293</v>
      </c>
      <c r="G67" s="100" t="n">
        <f aca="false">F67*(1+G28)</f>
        <v>193343.68292541</v>
      </c>
    </row>
    <row r="68" customFormat="false" ht="15" hidden="false" customHeight="true" outlineLevel="0" collapsed="false">
      <c r="A68" s="89" t="s">
        <v>86</v>
      </c>
      <c r="B68" s="100" t="n">
        <f aca="false">-Datos!G7</f>
        <v>-134752</v>
      </c>
      <c r="C68" s="100" t="n">
        <f aca="false">-C67*C59</f>
        <v>-127817.201835413</v>
      </c>
      <c r="D68" s="100" t="n">
        <f aca="false">-D67*D59</f>
        <v>-129880.469036892</v>
      </c>
      <c r="E68" s="100" t="n">
        <f aca="false">-E67*E59</f>
        <v>-134568.098797546</v>
      </c>
      <c r="F68" s="100" t="n">
        <f aca="false">-F67*F59</f>
        <v>-140260.329376682</v>
      </c>
      <c r="G68" s="100" t="n">
        <f aca="false">-G67*G59</f>
        <v>-146554.511657461</v>
      </c>
    </row>
    <row r="69" customFormat="false" ht="15" hidden="false" customHeight="true" outlineLevel="0" collapsed="false">
      <c r="A69" s="88" t="s">
        <v>80</v>
      </c>
      <c r="B69" s="104" t="n">
        <f aca="false">B67+B68</f>
        <v>42763</v>
      </c>
      <c r="C69" s="104" t="n">
        <f aca="false">C67+C68</f>
        <v>41253.1709627523</v>
      </c>
      <c r="D69" s="104" t="n">
        <f aca="false">D67+D68</f>
        <v>41692.1452786854</v>
      </c>
      <c r="E69" s="104" t="n">
        <f aca="false">E67+E68</f>
        <v>42962.3745501401</v>
      </c>
      <c r="F69" s="104" t="n">
        <f aca="false">F67+F68</f>
        <v>44779.682993611</v>
      </c>
      <c r="G69" s="104" t="n">
        <f aca="false">G67+G68</f>
        <v>46789.1712679493</v>
      </c>
    </row>
    <row r="70" customFormat="false" ht="15" hidden="false" customHeight="true" outlineLevel="0" collapsed="false">
      <c r="A70" s="89" t="s">
        <v>277</v>
      </c>
      <c r="B70" s="100" t="n">
        <f aca="false">-(Datos!G8-Datos!G9-Datos!G14)</f>
        <v>-30870</v>
      </c>
      <c r="C70" s="100" t="n">
        <f aca="false">-C67*C60</f>
        <v>-29698.5447183369</v>
      </c>
      <c r="D70" s="100" t="n">
        <f aca="false">-D67*D60</f>
        <v>-30002.540814859</v>
      </c>
      <c r="E70" s="100" t="n">
        <f aca="false">-E67*E60</f>
        <v>-30833.6895140337</v>
      </c>
      <c r="F70" s="100" t="n">
        <f aca="false">-F67*F60</f>
        <v>-32097.8416947098</v>
      </c>
      <c r="G70" s="100" t="n">
        <f aca="false">-G67*G60</f>
        <v>-33490.5190787559</v>
      </c>
    </row>
    <row r="71" customFormat="false" ht="15" hidden="false" customHeight="true" outlineLevel="0" collapsed="false">
      <c r="A71" s="88" t="s">
        <v>278</v>
      </c>
      <c r="B71" s="104" t="n">
        <f aca="false">B69+B70</f>
        <v>11893</v>
      </c>
      <c r="C71" s="104" t="n">
        <f aca="false">C69+C70</f>
        <v>11554.6262444153</v>
      </c>
      <c r="D71" s="104" t="n">
        <f aca="false">D69+D70</f>
        <v>11689.6044638264</v>
      </c>
      <c r="E71" s="104" t="n">
        <f aca="false">E69+E70</f>
        <v>12128.6850361064</v>
      </c>
      <c r="F71" s="104" t="n">
        <f aca="false">F69+F70</f>
        <v>12681.8412989012</v>
      </c>
      <c r="G71" s="104" t="n">
        <f aca="false">G69+G70</f>
        <v>13298.6521891934</v>
      </c>
    </row>
    <row r="72" customFormat="false" ht="15" hidden="false" customHeight="true" outlineLevel="0" collapsed="false">
      <c r="A72" s="89" t="s">
        <v>154</v>
      </c>
      <c r="B72" s="100" t="n">
        <f aca="false">-Datos!G14</f>
        <v>-4342</v>
      </c>
      <c r="C72" s="100" t="n">
        <f aca="false">-C67*C46</f>
        <v>-4130.14674784304</v>
      </c>
      <c r="D72" s="100" t="n">
        <f aca="false">-D67*D46</f>
        <v>-4191.27291971112</v>
      </c>
      <c r="E72" s="100" t="n">
        <f aca="false">-E67*E46</f>
        <v>-4337.74213930862</v>
      </c>
      <c r="F72" s="100" t="n">
        <f aca="false">-F67*F46</f>
        <v>-4522.19512267549</v>
      </c>
      <c r="G72" s="100" t="n">
        <f aca="false">-G67*G46</f>
        <v>-4726.13849095765</v>
      </c>
    </row>
    <row r="73" customFormat="false" ht="15" hidden="false" customHeight="true" outlineLevel="0" collapsed="false">
      <c r="A73" s="88" t="s">
        <v>81</v>
      </c>
      <c r="B73" s="104" t="n">
        <f aca="false">B71+B72</f>
        <v>7551</v>
      </c>
      <c r="C73" s="104" t="n">
        <f aca="false">C71+C72</f>
        <v>7424.47949657229</v>
      </c>
      <c r="D73" s="104" t="n">
        <f aca="false">D71+D72</f>
        <v>7498.33154411529</v>
      </c>
      <c r="E73" s="104" t="n">
        <f aca="false">E71+E72</f>
        <v>7790.94289679781</v>
      </c>
      <c r="F73" s="104" t="n">
        <f aca="false">F71+F72</f>
        <v>8159.64617622566</v>
      </c>
      <c r="G73" s="104" t="n">
        <f aca="false">G71+G72</f>
        <v>8572.51369823572</v>
      </c>
    </row>
    <row r="74" customFormat="false" ht="15" hidden="false" customHeight="true" outlineLevel="0" collapsed="false">
      <c r="A74" s="89" t="s">
        <v>88</v>
      </c>
      <c r="B74" s="100" t="n">
        <f aca="false">-Datos!G10</f>
        <v>-3074</v>
      </c>
      <c r="C74" s="100" t="n">
        <f aca="false">-C61*(B91+B92)</f>
        <v>-2361.8</v>
      </c>
      <c r="D74" s="100" t="n">
        <f aca="false">-D61*(C91+C92)</f>
        <v>-2302.755</v>
      </c>
      <c r="E74" s="100" t="n">
        <f aca="false">-E61*(D91+D92)</f>
        <v>-2156.505</v>
      </c>
      <c r="F74" s="100" t="n">
        <f aca="false">-F61*(E91+E92)</f>
        <v>-2010.255</v>
      </c>
      <c r="G74" s="100" t="n">
        <f aca="false">-G61*(F91+F92)</f>
        <v>-1864.005</v>
      </c>
    </row>
    <row r="75" customFormat="false" ht="15" hidden="false" customHeight="true" outlineLevel="0" collapsed="false">
      <c r="A75" s="89" t="s">
        <v>279</v>
      </c>
      <c r="B75" s="100" t="n">
        <f aca="false">Datos!G11-Datos!G9+Datos!G10</f>
        <v>288</v>
      </c>
      <c r="C75" s="100" t="n">
        <v>0</v>
      </c>
      <c r="D75" s="100" t="n">
        <v>0</v>
      </c>
      <c r="E75" s="100" t="n">
        <v>0</v>
      </c>
      <c r="F75" s="100" t="n">
        <v>0</v>
      </c>
      <c r="G75" s="100" t="n">
        <v>0</v>
      </c>
    </row>
    <row r="76" customFormat="false" ht="15" hidden="false" customHeight="true" outlineLevel="0" collapsed="false">
      <c r="A76" s="89" t="s">
        <v>152</v>
      </c>
      <c r="B76" s="100" t="n">
        <f aca="false">B73+B74+B75</f>
        <v>4765</v>
      </c>
      <c r="C76" s="100" t="n">
        <f aca="false">C73+C74+C75</f>
        <v>5062.67949657229</v>
      </c>
      <c r="D76" s="100" t="n">
        <f aca="false">D73+D74+D75</f>
        <v>5195.57654411529</v>
      </c>
      <c r="E76" s="100" t="n">
        <f aca="false">E73+E74+E75</f>
        <v>5634.43789679781</v>
      </c>
      <c r="F76" s="100" t="n">
        <f aca="false">F73+F74+F75</f>
        <v>6149.39117622566</v>
      </c>
      <c r="G76" s="100" t="n">
        <f aca="false">G73+G74+G75</f>
        <v>6708.50869823572</v>
      </c>
    </row>
    <row r="77" customFormat="false" ht="15" hidden="false" customHeight="true" outlineLevel="0" collapsed="false">
      <c r="A77" s="89" t="s">
        <v>153</v>
      </c>
      <c r="B77" s="100" t="n">
        <f aca="false">-Datos!G12</f>
        <v>-1433</v>
      </c>
      <c r="C77" s="100" t="n">
        <f aca="false">-C76*C55</f>
        <v>-1519.82360816529</v>
      </c>
      <c r="D77" s="100" t="n">
        <f aca="false">-D76*D55</f>
        <v>-1577.90400935602</v>
      </c>
      <c r="E77" s="100" t="n">
        <f aca="false">-E76*E55</f>
        <v>-1712.4062833549</v>
      </c>
      <c r="F77" s="100" t="n">
        <f aca="false">-F76*F55</f>
        <v>-1870.24068558619</v>
      </c>
      <c r="G77" s="100" t="n">
        <f aca="false">-G76*G55</f>
        <v>-2041.7394080675</v>
      </c>
    </row>
    <row r="78" customFormat="false" ht="15" hidden="false" customHeight="true" outlineLevel="0" collapsed="false">
      <c r="A78" s="88" t="s">
        <v>89</v>
      </c>
      <c r="B78" s="104" t="n">
        <f aca="false">B76+B77</f>
        <v>3332</v>
      </c>
      <c r="C78" s="104" t="n">
        <f aca="false">C76+C77</f>
        <v>3542.855888407</v>
      </c>
      <c r="D78" s="104" t="n">
        <f aca="false">D76+D77</f>
        <v>3617.67253475927</v>
      </c>
      <c r="E78" s="104" t="n">
        <f aca="false">E76+E77</f>
        <v>3922.03161344291</v>
      </c>
      <c r="F78" s="104" t="n">
        <f aca="false">F76+F77</f>
        <v>4279.15049063947</v>
      </c>
      <c r="G78" s="104" t="n">
        <f aca="false">G76+G77</f>
        <v>4666.76929016822</v>
      </c>
    </row>
    <row r="79" customFormat="false" ht="15" hidden="false" customHeight="true" outlineLevel="0" collapsed="false">
      <c r="A79" s="89" t="s">
        <v>280</v>
      </c>
      <c r="B79" s="100"/>
      <c r="C79" s="100" t="n">
        <f aca="false">-C78*C63</f>
        <v>-1063.36714192019</v>
      </c>
      <c r="D79" s="100" t="n">
        <f aca="false">-D78*D63</f>
        <v>-1085.82291373411</v>
      </c>
      <c r="E79" s="100" t="n">
        <f aca="false">-E78*E63</f>
        <v>-1177.17448258463</v>
      </c>
      <c r="F79" s="100" t="n">
        <f aca="false">-F78*F63</f>
        <v>-1284.36159144019</v>
      </c>
      <c r="G79" s="100" t="n">
        <f aca="false">-G78*G63</f>
        <v>-1400.70307074173</v>
      </c>
    </row>
    <row r="80" customFormat="false" ht="15" hidden="false" customHeight="true" outlineLevel="0" collapsed="false">
      <c r="A80" s="89" t="s">
        <v>496</v>
      </c>
      <c r="B80" s="98" t="n">
        <f aca="false">B71/B67</f>
        <v>0.0669971551699856</v>
      </c>
      <c r="C80" s="98" t="n">
        <f aca="false">C71/C67</f>
        <v>0.0683421113538867</v>
      </c>
      <c r="D80" s="98" t="n">
        <f aca="false">D71/D67</f>
        <v>0.0681321113538867</v>
      </c>
      <c r="E80" s="98" t="n">
        <f aca="false">E71/E67</f>
        <v>0.0683188908776968</v>
      </c>
      <c r="F80" s="98" t="n">
        <f aca="false">F71/F67</f>
        <v>0.0685356704015067</v>
      </c>
      <c r="G80" s="98" t="n">
        <f aca="false">G71/G67</f>
        <v>0.0687824499253168</v>
      </c>
    </row>
    <row r="81" customFormat="false" ht="15" hidden="false" customHeight="true" outlineLevel="0" collapsed="false">
      <c r="A81" s="89" t="s">
        <v>34</v>
      </c>
      <c r="B81" s="98" t="n">
        <f aca="false">B78/B67</f>
        <v>0.0187702447680478</v>
      </c>
      <c r="C81" s="98" t="n">
        <f aca="false">C78/C67</f>
        <v>0.0209549185334584</v>
      </c>
      <c r="D81" s="98" t="n">
        <f aca="false">D78/D67</f>
        <v>0.0210853727979291</v>
      </c>
      <c r="E81" s="98" t="n">
        <f aca="false">E78/E67</f>
        <v>0.0220921599513891</v>
      </c>
      <c r="F81" s="98" t="n">
        <f aca="false">F78/F67</f>
        <v>0.0231255415292355</v>
      </c>
      <c r="G81" s="98" t="n">
        <f aca="false">G78/G67</f>
        <v>0.0241371697257293</v>
      </c>
    </row>
    <row r="82" customFormat="false" ht="15" hidden="false" customHeight="true" outlineLevel="0" collapsed="false">
      <c r="A82" s="101"/>
      <c r="B82" s="101"/>
      <c r="C82" s="101"/>
      <c r="D82" s="101"/>
      <c r="E82" s="101"/>
      <c r="F82" s="101"/>
      <c r="G82" s="101"/>
    </row>
    <row r="83" customFormat="false" ht="15" hidden="false" customHeight="true" outlineLevel="0" collapsed="false">
      <c r="A83" s="88" t="s">
        <v>497</v>
      </c>
      <c r="B83" s="103" t="s">
        <v>233</v>
      </c>
      <c r="C83" s="103" t="s">
        <v>234</v>
      </c>
      <c r="D83" s="103" t="s">
        <v>235</v>
      </c>
      <c r="E83" s="103" t="s">
        <v>236</v>
      </c>
      <c r="F83" s="103" t="s">
        <v>237</v>
      </c>
      <c r="G83" s="103" t="s">
        <v>238</v>
      </c>
    </row>
    <row r="84" customFormat="false" ht="15" hidden="false" customHeight="true" outlineLevel="0" collapsed="false">
      <c r="A84" s="89" t="s">
        <v>13</v>
      </c>
      <c r="B84" s="100" t="n">
        <f aca="false">Datos!G17</f>
        <v>9295</v>
      </c>
      <c r="C84" s="100" t="n">
        <f aca="false">B84+C108</f>
        <v>12146.665480601</v>
      </c>
      <c r="D84" s="100" t="n">
        <f aca="false">C84+D108</f>
        <v>13846.4961000481</v>
      </c>
      <c r="E84" s="100" t="n">
        <f aca="false">D84+E108</f>
        <v>16092.019219474</v>
      </c>
      <c r="F84" s="100" t="n">
        <f aca="false">E84+F108</f>
        <v>18290.300156531</v>
      </c>
      <c r="G84" s="100" t="n">
        <f aca="false">F84+G108</f>
        <v>20797.3465533188</v>
      </c>
    </row>
    <row r="85" customFormat="false" ht="15" hidden="false" customHeight="true" outlineLevel="0" collapsed="false">
      <c r="A85" s="89" t="s">
        <v>156</v>
      </c>
      <c r="B85" s="100" t="n">
        <f aca="false">Datos!G18</f>
        <v>32283</v>
      </c>
      <c r="C85" s="100" t="n">
        <f aca="false">-C68*C56/365</f>
        <v>30816.2020863461</v>
      </c>
      <c r="D85" s="100" t="n">
        <f aca="false">-D68*D56/365</f>
        <v>31313.6473294426</v>
      </c>
      <c r="E85" s="100" t="n">
        <f aca="false">-E68*E56/365</f>
        <v>32075.1358777713</v>
      </c>
      <c r="F85" s="100" t="n">
        <f aca="false">-F68*F56/365</f>
        <v>33431.914125401</v>
      </c>
      <c r="G85" s="100" t="n">
        <f aca="false">-G68*G56/365</f>
        <v>34932.1712717784</v>
      </c>
    </row>
    <row r="86" customFormat="false" ht="15" hidden="false" customHeight="true" outlineLevel="0" collapsed="false">
      <c r="A86" s="89" t="s">
        <v>282</v>
      </c>
      <c r="B86" s="100" t="n">
        <f aca="false">Datos!G19-Datos!G17-Datos!G18</f>
        <v>6951</v>
      </c>
      <c r="C86" s="100" t="n">
        <f aca="false">C67*C57</f>
        <v>6620.33158504941</v>
      </c>
      <c r="D86" s="100" t="n">
        <f aca="false">D67*D57</f>
        <v>6718.31249250814</v>
      </c>
      <c r="E86" s="100" t="n">
        <f aca="false">E67*E57</f>
        <v>6951.60589381048</v>
      </c>
      <c r="F86" s="100" t="n">
        <f aca="false">F67*F57</f>
        <v>7245.65882311866</v>
      </c>
      <c r="G86" s="100" t="n">
        <f aca="false">G67*G57</f>
        <v>7570.80776280611</v>
      </c>
    </row>
    <row r="87" customFormat="false" ht="15" hidden="false" customHeight="true" outlineLevel="0" collapsed="false">
      <c r="A87" s="88" t="s">
        <v>157</v>
      </c>
      <c r="B87" s="104" t="n">
        <f aca="false">SUM(B84:B86)</f>
        <v>48529</v>
      </c>
      <c r="C87" s="104" t="n">
        <f aca="false">SUM(C84:C86)</f>
        <v>49583.1991519965</v>
      </c>
      <c r="D87" s="104" t="n">
        <f aca="false">SUM(D84:D86)</f>
        <v>51878.4559219988</v>
      </c>
      <c r="E87" s="104" t="n">
        <f aca="false">SUM(E84:E86)</f>
        <v>55118.7609910558</v>
      </c>
      <c r="F87" s="104" t="n">
        <f aca="false">SUM(F84:F86)</f>
        <v>58967.8731050507</v>
      </c>
      <c r="G87" s="104" t="n">
        <f aca="false">SUM(G84:G86)</f>
        <v>63300.3255879033</v>
      </c>
    </row>
    <row r="88" customFormat="false" ht="15" hidden="false" customHeight="true" outlineLevel="0" collapsed="false">
      <c r="A88" s="89" t="s">
        <v>283</v>
      </c>
      <c r="B88" s="100" t="n">
        <f aca="false">Datos!G20-Datos!G19</f>
        <v>107509</v>
      </c>
      <c r="C88" s="100" t="n">
        <f aca="false">B88-C104+C72</f>
        <v>107243.461300347</v>
      </c>
      <c r="D88" s="100" t="n">
        <f aca="false">C88-D104+D72</f>
        <v>106481.066292617</v>
      </c>
      <c r="E88" s="100" t="n">
        <f aca="false">D88-E104+E72</f>
        <v>105678.532663509</v>
      </c>
      <c r="F88" s="100" t="n">
        <f aca="false">E88-F104+F72</f>
        <v>104827.80940072</v>
      </c>
      <c r="G88" s="100" t="n">
        <f aca="false">F88-G104+G72</f>
        <v>103924.0283399</v>
      </c>
    </row>
    <row r="89" customFormat="false" ht="15" hidden="false" customHeight="true" outlineLevel="0" collapsed="false">
      <c r="A89" s="88" t="s">
        <v>92</v>
      </c>
      <c r="B89" s="104" t="n">
        <f aca="false">B87+B88</f>
        <v>156038</v>
      </c>
      <c r="C89" s="104" t="n">
        <f aca="false">C87+C88</f>
        <v>156826.660452344</v>
      </c>
      <c r="D89" s="104" t="n">
        <f aca="false">D87+D88</f>
        <v>158359.522214616</v>
      </c>
      <c r="E89" s="104" t="n">
        <f aca="false">E87+E88</f>
        <v>160797.293654564</v>
      </c>
      <c r="F89" s="104" t="n">
        <f aca="false">F87+F88</f>
        <v>163795.682505771</v>
      </c>
      <c r="G89" s="104" t="n">
        <f aca="false">G87+G88</f>
        <v>167224.353927803</v>
      </c>
    </row>
    <row r="90" customFormat="false" ht="15" hidden="false" customHeight="true" outlineLevel="0" collapsed="false">
      <c r="A90" s="89" t="s">
        <v>284</v>
      </c>
      <c r="B90" s="100" t="n">
        <f aca="false">Datos!G21-Datos!G25-Datos!G27</f>
        <v>35543</v>
      </c>
      <c r="C90" s="100" t="n">
        <f aca="false">C67*C58</f>
        <v>33852.1717058569</v>
      </c>
      <c r="D90" s="100" t="n">
        <f aca="false">D67*D58</f>
        <v>34353.1838471035</v>
      </c>
      <c r="E90" s="100" t="n">
        <f aca="false">E67*E58</f>
        <v>35546.0981561942</v>
      </c>
      <c r="F90" s="100" t="n">
        <f aca="false">F67*F58</f>
        <v>37049.6981082012</v>
      </c>
      <c r="G90" s="100" t="n">
        <f aca="false">G67*G58</f>
        <v>38712.3033108067</v>
      </c>
    </row>
    <row r="91" customFormat="false" ht="15" hidden="false" customHeight="true" outlineLevel="0" collapsed="false">
      <c r="A91" s="89" t="s">
        <v>285</v>
      </c>
      <c r="B91" s="100" t="n">
        <f aca="false">Datos!G25+Datos!G26</f>
        <v>11500</v>
      </c>
      <c r="C91" s="100" t="n">
        <f aca="false">MAX(0,B91+C62)</f>
        <v>11500</v>
      </c>
      <c r="D91" s="100" t="n">
        <f aca="false">MAX(0,C91+D62)</f>
        <v>10000</v>
      </c>
      <c r="E91" s="100" t="n">
        <f aca="false">MAX(0,D91+E62)</f>
        <v>8500</v>
      </c>
      <c r="F91" s="100" t="n">
        <f aca="false">MAX(0,E91+F62)</f>
        <v>7000</v>
      </c>
      <c r="G91" s="100" t="n">
        <f aca="false">MAX(0,F91+G62)</f>
        <v>5500</v>
      </c>
    </row>
    <row r="92" customFormat="false" ht="15" hidden="false" customHeight="true" outlineLevel="0" collapsed="false">
      <c r="A92" s="89" t="s">
        <v>286</v>
      </c>
      <c r="B92" s="100" t="n">
        <f aca="false">Datos!G27+Datos!G28</f>
        <v>12118</v>
      </c>
      <c r="C92" s="100" t="n">
        <f aca="false">B92</f>
        <v>12118</v>
      </c>
      <c r="D92" s="100" t="n">
        <f aca="false">C92</f>
        <v>12118</v>
      </c>
      <c r="E92" s="100" t="n">
        <f aca="false">D92</f>
        <v>12118</v>
      </c>
      <c r="F92" s="100" t="n">
        <f aca="false">E92</f>
        <v>12118</v>
      </c>
      <c r="G92" s="100" t="n">
        <f aca="false">F92</f>
        <v>12118</v>
      </c>
    </row>
    <row r="93" customFormat="false" ht="15" hidden="false" customHeight="true" outlineLevel="0" collapsed="false">
      <c r="A93" s="89" t="s">
        <v>287</v>
      </c>
      <c r="B93" s="100" t="n">
        <f aca="false">Datos!G23-Datos!G21-Datos!G26-Datos!G28</f>
        <v>12145</v>
      </c>
      <c r="C93" s="100" t="n">
        <f aca="false">B93</f>
        <v>12145</v>
      </c>
      <c r="D93" s="100" t="n">
        <f aca="false">C93</f>
        <v>12145</v>
      </c>
      <c r="E93" s="100" t="n">
        <f aca="false">D93</f>
        <v>12145</v>
      </c>
      <c r="F93" s="100" t="n">
        <f aca="false">E93</f>
        <v>12145</v>
      </c>
      <c r="G93" s="100" t="n">
        <f aca="false">F93</f>
        <v>12145</v>
      </c>
    </row>
    <row r="94" customFormat="false" ht="15" hidden="false" customHeight="true" outlineLevel="0" collapsed="false">
      <c r="A94" s="88" t="s">
        <v>93</v>
      </c>
      <c r="B94" s="104" t="n">
        <f aca="false">SUM(B90:B93)</f>
        <v>71306</v>
      </c>
      <c r="C94" s="104" t="n">
        <f aca="false">SUM(C90:C93)</f>
        <v>69615.1717058569</v>
      </c>
      <c r="D94" s="104" t="n">
        <f aca="false">SUM(D90:D93)</f>
        <v>68616.1838471035</v>
      </c>
      <c r="E94" s="104" t="n">
        <f aca="false">SUM(E90:E93)</f>
        <v>68309.0981561942</v>
      </c>
      <c r="F94" s="104" t="n">
        <f aca="false">SUM(F90:F93)</f>
        <v>68312.6981082012</v>
      </c>
      <c r="G94" s="104" t="n">
        <f aca="false">SUM(G90:G93)</f>
        <v>68475.3033108068</v>
      </c>
    </row>
    <row r="95" customFormat="false" ht="15" hidden="false" customHeight="true" outlineLevel="0" collapsed="false">
      <c r="A95" s="89" t="s">
        <v>94</v>
      </c>
      <c r="B95" s="100" t="n">
        <f aca="false">Datos!G24</f>
        <v>84732</v>
      </c>
      <c r="C95" s="100" t="n">
        <f aca="false">B95+C78+C79</f>
        <v>87211.4887464868</v>
      </c>
      <c r="D95" s="100" t="n">
        <f aca="false">C95+D78+D79</f>
        <v>89743.338367512</v>
      </c>
      <c r="E95" s="100" t="n">
        <f aca="false">D95+E78+E79</f>
        <v>92488.1954983703</v>
      </c>
      <c r="F95" s="100" t="n">
        <f aca="false">E95+F78+F79</f>
        <v>95482.9843975695</v>
      </c>
      <c r="G95" s="100" t="n">
        <f aca="false">F95+G78+G79</f>
        <v>98749.050616996</v>
      </c>
    </row>
    <row r="96" customFormat="false" ht="15" hidden="false" customHeight="true" outlineLevel="0" collapsed="false">
      <c r="A96" s="88" t="s">
        <v>288</v>
      </c>
      <c r="B96" s="104" t="n">
        <f aca="false">B94+B95</f>
        <v>156038</v>
      </c>
      <c r="C96" s="104" t="n">
        <f aca="false">C94+C95</f>
        <v>156826.660452344</v>
      </c>
      <c r="D96" s="104" t="n">
        <f aca="false">D94+D95</f>
        <v>158359.522214615</v>
      </c>
      <c r="E96" s="104" t="n">
        <f aca="false">E94+E95</f>
        <v>160797.293654564</v>
      </c>
      <c r="F96" s="104" t="n">
        <f aca="false">F94+F95</f>
        <v>163795.682505771</v>
      </c>
      <c r="G96" s="104" t="n">
        <f aca="false">G94+G95</f>
        <v>167224.353927803</v>
      </c>
    </row>
    <row r="97" customFormat="false" ht="15" hidden="false" customHeight="true" outlineLevel="0" collapsed="false">
      <c r="A97" s="89" t="s">
        <v>289</v>
      </c>
      <c r="B97" s="100" t="n">
        <f aca="false">B89-B96</f>
        <v>0</v>
      </c>
      <c r="C97" s="100" t="n">
        <f aca="false">C89-C96</f>
        <v>0</v>
      </c>
      <c r="D97" s="100" t="n">
        <f aca="false">D89-D96</f>
        <v>0</v>
      </c>
      <c r="E97" s="100" t="n">
        <f aca="false">E89-E96</f>
        <v>0</v>
      </c>
      <c r="F97" s="100" t="n">
        <f aca="false">F89-F96</f>
        <v>0</v>
      </c>
      <c r="G97" s="100" t="n">
        <f aca="false">G89-G96</f>
        <v>0</v>
      </c>
    </row>
    <row r="98" customFormat="false" ht="15" hidden="false" customHeight="true" outlineLevel="0" collapsed="false">
      <c r="A98" s="101"/>
      <c r="B98" s="101"/>
      <c r="C98" s="101"/>
      <c r="D98" s="101"/>
      <c r="E98" s="101"/>
      <c r="F98" s="101"/>
      <c r="G98" s="101"/>
    </row>
    <row r="99" customFormat="false" ht="15" hidden="false" customHeight="true" outlineLevel="0" collapsed="false">
      <c r="A99" s="88" t="s">
        <v>498</v>
      </c>
      <c r="B99" s="103" t="s">
        <v>233</v>
      </c>
      <c r="C99" s="103" t="s">
        <v>234</v>
      </c>
      <c r="D99" s="103" t="s">
        <v>235</v>
      </c>
      <c r="E99" s="103" t="s">
        <v>236</v>
      </c>
      <c r="F99" s="103" t="s">
        <v>237</v>
      </c>
      <c r="G99" s="103" t="s">
        <v>238</v>
      </c>
    </row>
    <row r="100" customFormat="false" ht="15" hidden="false" customHeight="true" outlineLevel="0" collapsed="false">
      <c r="A100" s="89" t="s">
        <v>89</v>
      </c>
      <c r="B100" s="105"/>
      <c r="C100" s="100" t="n">
        <f aca="false">C78</f>
        <v>3542.855888407</v>
      </c>
      <c r="D100" s="100" t="n">
        <f aca="false">D78</f>
        <v>3617.67253475927</v>
      </c>
      <c r="E100" s="100" t="n">
        <f aca="false">E78</f>
        <v>3922.03161344291</v>
      </c>
      <c r="F100" s="100" t="n">
        <f aca="false">F78</f>
        <v>4279.15049063947</v>
      </c>
      <c r="G100" s="100" t="n">
        <f aca="false">G78</f>
        <v>4666.76929016822</v>
      </c>
    </row>
    <row r="101" customFormat="false" ht="15" hidden="false" customHeight="true" outlineLevel="0" collapsed="false">
      <c r="A101" s="89" t="s">
        <v>250</v>
      </c>
      <c r="B101" s="105"/>
      <c r="C101" s="100" t="n">
        <f aca="false">-C72</f>
        <v>4130.14674784304</v>
      </c>
      <c r="D101" s="100" t="n">
        <f aca="false">-D72</f>
        <v>4191.27291971112</v>
      </c>
      <c r="E101" s="100" t="n">
        <f aca="false">-E72</f>
        <v>4337.74213930862</v>
      </c>
      <c r="F101" s="100" t="n">
        <f aca="false">-F72</f>
        <v>4522.19512267549</v>
      </c>
      <c r="G101" s="100" t="n">
        <f aca="false">-G72</f>
        <v>4726.13849095765</v>
      </c>
    </row>
    <row r="102" customFormat="false" ht="15" hidden="false" customHeight="true" outlineLevel="0" collapsed="false">
      <c r="A102" s="89" t="s">
        <v>291</v>
      </c>
      <c r="B102" s="105"/>
      <c r="C102" s="100" t="n">
        <f aca="false">-(C85-B85)</f>
        <v>1466.79791365391</v>
      </c>
      <c r="D102" s="100" t="n">
        <f aca="false">-(D85-C85)</f>
        <v>-497.44524309647</v>
      </c>
      <c r="E102" s="100" t="n">
        <f aca="false">-(E85-D85)</f>
        <v>-761.488548328725</v>
      </c>
      <c r="F102" s="100" t="n">
        <f aca="false">-(F85-E85)</f>
        <v>-1356.77824762972</v>
      </c>
      <c r="G102" s="100" t="n">
        <f aca="false">-(G85-F85)</f>
        <v>-1500.25714637738</v>
      </c>
    </row>
    <row r="103" customFormat="false" ht="15" hidden="false" customHeight="true" outlineLevel="0" collapsed="false">
      <c r="A103" s="89" t="s">
        <v>292</v>
      </c>
      <c r="B103" s="105"/>
      <c r="C103" s="100" t="n">
        <f aca="false">-(C86-B86)</f>
        <v>330.668414950595</v>
      </c>
      <c r="D103" s="100" t="n">
        <f aca="false">-(D86-C86)</f>
        <v>-97.9809074587311</v>
      </c>
      <c r="E103" s="100" t="n">
        <f aca="false">-(E86-D86)</f>
        <v>-233.293401302344</v>
      </c>
      <c r="F103" s="100" t="n">
        <f aca="false">-(F86-E86)</f>
        <v>-294.052929308183</v>
      </c>
      <c r="G103" s="100" t="n">
        <f aca="false">-(G86-F86)</f>
        <v>-325.14893968745</v>
      </c>
    </row>
    <row r="104" customFormat="false" ht="15" hidden="false" customHeight="true" outlineLevel="0" collapsed="false">
      <c r="A104" s="89" t="s">
        <v>251</v>
      </c>
      <c r="B104" s="105"/>
      <c r="C104" s="100" t="n">
        <f aca="false">-C67*C51</f>
        <v>-3864.60804819024</v>
      </c>
      <c r="D104" s="100" t="n">
        <f aca="false">-D67*D51</f>
        <v>-3428.8779119806</v>
      </c>
      <c r="E104" s="100" t="n">
        <f aca="false">-E67*E51</f>
        <v>-3535.2085102006</v>
      </c>
      <c r="F104" s="100" t="n">
        <f aca="false">-F67*F51</f>
        <v>-3671.47185988688</v>
      </c>
      <c r="G104" s="100" t="n">
        <f aca="false">-G67*G51</f>
        <v>-3822.35743013711</v>
      </c>
    </row>
    <row r="105" customFormat="false" ht="15" hidden="false" customHeight="true" outlineLevel="0" collapsed="false">
      <c r="A105" s="89" t="s">
        <v>293</v>
      </c>
      <c r="B105" s="105"/>
      <c r="C105" s="100" t="n">
        <f aca="false">C90-B90</f>
        <v>-1690.82829414315</v>
      </c>
      <c r="D105" s="100" t="n">
        <f aca="false">D90-C90</f>
        <v>501.012141246676</v>
      </c>
      <c r="E105" s="100" t="n">
        <f aca="false">E90-D90</f>
        <v>1192.91430909067</v>
      </c>
      <c r="F105" s="100" t="n">
        <f aca="false">F90-E90</f>
        <v>1503.59995200701</v>
      </c>
      <c r="G105" s="100" t="n">
        <f aca="false">G90-F90</f>
        <v>1662.60520260553</v>
      </c>
    </row>
    <row r="106" customFormat="false" ht="15" hidden="false" customHeight="true" outlineLevel="0" collapsed="false">
      <c r="A106" s="89" t="s">
        <v>499</v>
      </c>
      <c r="B106" s="105"/>
      <c r="C106" s="100" t="n">
        <f aca="false">C79</f>
        <v>-1063.36714192019</v>
      </c>
      <c r="D106" s="100" t="n">
        <f aca="false">D79</f>
        <v>-1085.82291373411</v>
      </c>
      <c r="E106" s="100" t="n">
        <f aca="false">E79</f>
        <v>-1177.17448258463</v>
      </c>
      <c r="F106" s="100" t="n">
        <f aca="false">F79</f>
        <v>-1284.36159144019</v>
      </c>
      <c r="G106" s="100" t="n">
        <f aca="false">G79</f>
        <v>-1400.70307074173</v>
      </c>
    </row>
    <row r="107" customFormat="false" ht="15" hidden="false" customHeight="true" outlineLevel="0" collapsed="false">
      <c r="A107" s="89" t="s">
        <v>500</v>
      </c>
      <c r="B107" s="105"/>
      <c r="C107" s="100" t="n">
        <f aca="false">C91-B91</f>
        <v>0</v>
      </c>
      <c r="D107" s="100" t="n">
        <f aca="false">D91-C91</f>
        <v>-1500</v>
      </c>
      <c r="E107" s="100" t="n">
        <f aca="false">E91-D91</f>
        <v>-1500</v>
      </c>
      <c r="F107" s="100" t="n">
        <f aca="false">F91-E91</f>
        <v>-1500</v>
      </c>
      <c r="G107" s="100" t="n">
        <f aca="false">G91-F91</f>
        <v>-1500</v>
      </c>
    </row>
    <row r="108" customFormat="false" ht="15" hidden="false" customHeight="true" outlineLevel="0" collapsed="false">
      <c r="A108" s="88" t="s">
        <v>501</v>
      </c>
      <c r="B108" s="103"/>
      <c r="C108" s="104" t="n">
        <f aca="false">SUM(C100:C107)</f>
        <v>2851.66548060098</v>
      </c>
      <c r="D108" s="104" t="n">
        <f aca="false">SUM(D100:D107)</f>
        <v>1699.83061944716</v>
      </c>
      <c r="E108" s="104" t="n">
        <f aca="false">SUM(E100:E107)</f>
        <v>2245.5231194259</v>
      </c>
      <c r="F108" s="104" t="n">
        <f aca="false">SUM(F100:F107)</f>
        <v>2198.28093705699</v>
      </c>
      <c r="G108" s="104" t="n">
        <f aca="false">SUM(G100:G107)</f>
        <v>2507.04639678774</v>
      </c>
    </row>
    <row r="109" customFormat="false" ht="15" hidden="false" customHeight="true" outlineLevel="0" collapsed="false">
      <c r="A109" s="101"/>
      <c r="B109" s="101"/>
      <c r="C109" s="101"/>
      <c r="D109" s="101"/>
      <c r="E109" s="101"/>
      <c r="F109" s="101"/>
      <c r="G109" s="101"/>
    </row>
    <row r="110" customFormat="false" ht="15" hidden="false" customHeight="true" outlineLevel="0" collapsed="false">
      <c r="A110" s="88" t="s">
        <v>502</v>
      </c>
      <c r="B110" s="103" t="s">
        <v>233</v>
      </c>
      <c r="C110" s="103" t="s">
        <v>234</v>
      </c>
      <c r="D110" s="103" t="s">
        <v>235</v>
      </c>
      <c r="E110" s="103" t="s">
        <v>236</v>
      </c>
      <c r="F110" s="103" t="s">
        <v>237</v>
      </c>
      <c r="G110" s="103" t="s">
        <v>238</v>
      </c>
    </row>
    <row r="111" customFormat="false" ht="15" hidden="false" customHeight="true" outlineLevel="0" collapsed="false">
      <c r="A111" s="89" t="s">
        <v>81</v>
      </c>
      <c r="B111" s="105"/>
      <c r="C111" s="100" t="n">
        <f aca="false">C73</f>
        <v>7424.47949657229</v>
      </c>
      <c r="D111" s="100" t="n">
        <f aca="false">D73</f>
        <v>7498.33154411529</v>
      </c>
      <c r="E111" s="100" t="n">
        <f aca="false">E73</f>
        <v>7790.94289679781</v>
      </c>
      <c r="F111" s="100" t="n">
        <f aca="false">F73</f>
        <v>8159.64617622566</v>
      </c>
      <c r="G111" s="100" t="n">
        <f aca="false">G73</f>
        <v>8572.51369823572</v>
      </c>
    </row>
    <row r="112" customFormat="false" ht="15" hidden="false" customHeight="true" outlineLevel="0" collapsed="false">
      <c r="A112" s="89" t="s">
        <v>248</v>
      </c>
      <c r="B112" s="105"/>
      <c r="C112" s="100" t="n">
        <f aca="false">-C111*C55</f>
        <v>-2228.8393379177</v>
      </c>
      <c r="D112" s="100" t="n">
        <f aca="false">-D111*D55</f>
        <v>-2277.25398836462</v>
      </c>
      <c r="E112" s="100" t="n">
        <f aca="false">-E111*E55</f>
        <v>-2367.80665864078</v>
      </c>
      <c r="F112" s="100" t="n">
        <f aca="false">-F111*F55</f>
        <v>-2481.62815170453</v>
      </c>
      <c r="G112" s="100" t="n">
        <f aca="false">-G111*G55</f>
        <v>-2609.05065957348</v>
      </c>
    </row>
    <row r="113" customFormat="false" ht="15" hidden="false" customHeight="true" outlineLevel="0" collapsed="false">
      <c r="A113" s="89" t="s">
        <v>503</v>
      </c>
      <c r="B113" s="105"/>
      <c r="C113" s="100" t="n">
        <f aca="false">C111+C112</f>
        <v>5195.64015865458</v>
      </c>
      <c r="D113" s="100" t="n">
        <f aca="false">D111+D112</f>
        <v>5221.07755575067</v>
      </c>
      <c r="E113" s="100" t="n">
        <f aca="false">E111+E112</f>
        <v>5423.13623815703</v>
      </c>
      <c r="F113" s="100" t="n">
        <f aca="false">F111+F112</f>
        <v>5678.01802452113</v>
      </c>
      <c r="G113" s="100" t="n">
        <f aca="false">G111+G112</f>
        <v>5963.46303866224</v>
      </c>
    </row>
    <row r="114" customFormat="false" ht="15" hidden="false" customHeight="true" outlineLevel="0" collapsed="false">
      <c r="A114" s="89" t="s">
        <v>250</v>
      </c>
      <c r="B114" s="105"/>
      <c r="C114" s="100" t="n">
        <f aca="false">C101</f>
        <v>4130.14674784304</v>
      </c>
      <c r="D114" s="100" t="n">
        <f aca="false">D101</f>
        <v>4191.27291971112</v>
      </c>
      <c r="E114" s="100" t="n">
        <f aca="false">E101</f>
        <v>4337.74213930862</v>
      </c>
      <c r="F114" s="100" t="n">
        <f aca="false">F101</f>
        <v>4522.19512267549</v>
      </c>
      <c r="G114" s="100" t="n">
        <f aca="false">G101</f>
        <v>4726.13849095765</v>
      </c>
    </row>
    <row r="115" customFormat="false" ht="15" hidden="false" customHeight="true" outlineLevel="0" collapsed="false">
      <c r="A115" s="89" t="s">
        <v>251</v>
      </c>
      <c r="B115" s="105"/>
      <c r="C115" s="100" t="n">
        <f aca="false">C104</f>
        <v>-3864.60804819024</v>
      </c>
      <c r="D115" s="100" t="n">
        <f aca="false">D104</f>
        <v>-3428.8779119806</v>
      </c>
      <c r="E115" s="100" t="n">
        <f aca="false">E104</f>
        <v>-3535.2085102006</v>
      </c>
      <c r="F115" s="100" t="n">
        <f aca="false">F104</f>
        <v>-3671.47185988688</v>
      </c>
      <c r="G115" s="100" t="n">
        <f aca="false">G104</f>
        <v>-3822.35743013711</v>
      </c>
    </row>
    <row r="116" customFormat="false" ht="15" hidden="false" customHeight="true" outlineLevel="0" collapsed="false">
      <c r="A116" s="89" t="s">
        <v>252</v>
      </c>
      <c r="B116" s="105"/>
      <c r="C116" s="100" t="n">
        <f aca="false">C102+C103+C105</f>
        <v>106.638034461364</v>
      </c>
      <c r="D116" s="100" t="n">
        <f aca="false">D102+D103+D105</f>
        <v>-94.4140093085252</v>
      </c>
      <c r="E116" s="100" t="n">
        <f aca="false">E102+E103+E105</f>
        <v>198.132359459596</v>
      </c>
      <c r="F116" s="100" t="n">
        <f aca="false">F102+F103+F105</f>
        <v>-147.231224930893</v>
      </c>
      <c r="G116" s="100" t="n">
        <f aca="false">G102+G103+G105</f>
        <v>-162.800883459296</v>
      </c>
    </row>
    <row r="117" customFormat="false" ht="15" hidden="false" customHeight="true" outlineLevel="0" collapsed="false">
      <c r="A117" s="88" t="s">
        <v>504</v>
      </c>
      <c r="B117" s="103"/>
      <c r="C117" s="104" t="n">
        <f aca="false">SUM(C113:C116)</f>
        <v>5567.81689276875</v>
      </c>
      <c r="D117" s="104" t="n">
        <f aca="false">SUM(D113:D116)</f>
        <v>5889.05855417266</v>
      </c>
      <c r="E117" s="104" t="n">
        <f aca="false">SUM(E113:E116)</f>
        <v>6423.80222672465</v>
      </c>
      <c r="F117" s="104" t="n">
        <f aca="false">SUM(F113:F116)</f>
        <v>6381.51006237885</v>
      </c>
      <c r="G117" s="104" t="n">
        <f aca="false">SUM(G113:G116)</f>
        <v>6704.44321602348</v>
      </c>
    </row>
    <row r="118" customFormat="false" ht="15" hidden="false" customHeight="true" outlineLevel="0" collapsed="false">
      <c r="A118" s="89" t="s">
        <v>246</v>
      </c>
      <c r="B118" s="105"/>
      <c r="C118" s="106" t="n">
        <v>1</v>
      </c>
      <c r="D118" s="106" t="n">
        <f aca="false">C118+1</f>
        <v>2</v>
      </c>
      <c r="E118" s="106" t="n">
        <f aca="false">D118+1</f>
        <v>3</v>
      </c>
      <c r="F118" s="106" t="n">
        <f aca="false">E118+1</f>
        <v>4</v>
      </c>
      <c r="G118" s="106" t="n">
        <f aca="false">F118+1</f>
        <v>5</v>
      </c>
    </row>
    <row r="119" customFormat="false" ht="15" hidden="false" customHeight="true" outlineLevel="0" collapsed="false">
      <c r="A119" s="89" t="s">
        <v>254</v>
      </c>
      <c r="B119" s="105"/>
      <c r="C119" s="107" t="n">
        <f aca="false">1/(1+$B$126)^C118</f>
        <v>0.912718730291208</v>
      </c>
      <c r="D119" s="107" t="n">
        <f aca="false">1/(1+$B$126)^D118</f>
        <v>0.833055480624394</v>
      </c>
      <c r="E119" s="107" t="n">
        <f aca="false">1/(1+$B$126)^E118</f>
        <v>0.760345340537629</v>
      </c>
      <c r="F119" s="107" t="n">
        <f aca="false">1/(1+$B$126)^F118</f>
        <v>0.69398143379834</v>
      </c>
      <c r="G119" s="107" t="n">
        <f aca="false">1/(1+$B$126)^G118</f>
        <v>0.633409853102093</v>
      </c>
    </row>
    <row r="120" customFormat="false" ht="15" hidden="false" customHeight="true" outlineLevel="0" collapsed="false">
      <c r="A120" s="89" t="s">
        <v>255</v>
      </c>
      <c r="B120" s="105"/>
      <c r="C120" s="100" t="n">
        <f aca="false">C117*C119</f>
        <v>5081.85076486183</v>
      </c>
      <c r="D120" s="100" t="n">
        <f aca="false">D117*D119</f>
        <v>4905.91250427151</v>
      </c>
      <c r="E120" s="100" t="n">
        <f aca="false">E117*E119</f>
        <v>4884.30809162533</v>
      </c>
      <c r="F120" s="100" t="n">
        <f aca="false">F117*F119</f>
        <v>4428.64950288821</v>
      </c>
      <c r="G120" s="100" t="n">
        <f aca="false">G117*G119</f>
        <v>4246.66039259276</v>
      </c>
    </row>
    <row r="121" customFormat="false" ht="15" hidden="false" customHeight="true" outlineLevel="0" collapsed="false">
      <c r="A121" s="101"/>
      <c r="B121" s="101"/>
      <c r="C121" s="101"/>
      <c r="D121" s="101"/>
      <c r="E121" s="101"/>
      <c r="F121" s="101"/>
      <c r="G121" s="101"/>
    </row>
    <row r="122" customFormat="false" ht="15" hidden="false" customHeight="true" outlineLevel="0" collapsed="false">
      <c r="A122" s="88" t="s">
        <v>505</v>
      </c>
      <c r="B122" s="103" t="s">
        <v>78</v>
      </c>
      <c r="C122" s="103"/>
      <c r="D122" s="103"/>
      <c r="E122" s="103"/>
      <c r="F122" s="103"/>
      <c r="G122" s="103"/>
    </row>
    <row r="123" customFormat="false" ht="15" hidden="false" customHeight="true" outlineLevel="0" collapsed="false">
      <c r="A123" s="89" t="s">
        <v>6</v>
      </c>
      <c r="B123" s="99" t="n">
        <v>0.035</v>
      </c>
      <c r="C123" s="105"/>
      <c r="D123" s="105"/>
      <c r="E123" s="105"/>
      <c r="F123" s="105"/>
      <c r="G123" s="105"/>
    </row>
    <row r="124" customFormat="false" ht="15" hidden="false" customHeight="true" outlineLevel="0" collapsed="false">
      <c r="A124" s="89" t="s">
        <v>506</v>
      </c>
      <c r="B124" s="99" t="n">
        <f aca="false">B220</f>
        <v>0.0956277841268195</v>
      </c>
      <c r="C124" s="105"/>
      <c r="D124" s="105"/>
      <c r="E124" s="105"/>
      <c r="F124" s="105"/>
      <c r="G124" s="105"/>
    </row>
    <row r="125" customFormat="false" ht="15" hidden="false" customHeight="true" outlineLevel="0" collapsed="false">
      <c r="A125" s="89" t="s">
        <v>507</v>
      </c>
      <c r="B125" s="99" t="n">
        <v>0</v>
      </c>
      <c r="C125" s="105"/>
      <c r="D125" s="105"/>
      <c r="E125" s="105"/>
      <c r="F125" s="105"/>
      <c r="G125" s="105"/>
    </row>
    <row r="126" customFormat="false" ht="15" hidden="false" customHeight="true" outlineLevel="0" collapsed="false">
      <c r="A126" s="89" t="s">
        <v>508</v>
      </c>
      <c r="B126" s="99" t="n">
        <f aca="false">B124+B125</f>
        <v>0.0956277841268195</v>
      </c>
      <c r="C126" s="105"/>
      <c r="D126" s="105"/>
      <c r="E126" s="105"/>
      <c r="F126" s="105"/>
      <c r="G126" s="105"/>
    </row>
    <row r="127" customFormat="false" ht="15" hidden="false" customHeight="true" outlineLevel="0" collapsed="false">
      <c r="A127" s="89" t="s">
        <v>509</v>
      </c>
      <c r="B127" s="100" t="n">
        <f aca="false">G113+G116</f>
        <v>5800.66215520295</v>
      </c>
      <c r="C127" s="105"/>
      <c r="D127" s="105"/>
      <c r="E127" s="105"/>
      <c r="F127" s="105"/>
      <c r="G127" s="105"/>
    </row>
    <row r="128" customFormat="false" ht="15" hidden="false" customHeight="true" outlineLevel="0" collapsed="false">
      <c r="A128" s="89" t="s">
        <v>510</v>
      </c>
      <c r="B128" s="100" t="n">
        <f aca="false">B127*(1+B123)</f>
        <v>6003.68533063505</v>
      </c>
      <c r="C128" s="105"/>
      <c r="D128" s="105"/>
      <c r="E128" s="105"/>
      <c r="F128" s="105"/>
      <c r="G128" s="105"/>
    </row>
    <row r="129" customFormat="false" ht="15" hidden="false" customHeight="true" outlineLevel="0" collapsed="false">
      <c r="A129" s="88" t="s">
        <v>511</v>
      </c>
      <c r="B129" s="104" t="n">
        <f aca="false">IF(B126&gt;B123,B128/(B126-B123),"REVISAR WACC/g")</f>
        <v>99025.313510992</v>
      </c>
      <c r="C129" s="103"/>
      <c r="D129" s="103"/>
      <c r="E129" s="103"/>
      <c r="F129" s="103"/>
      <c r="G129" s="103"/>
    </row>
    <row r="130" customFormat="false" ht="15" hidden="false" customHeight="true" outlineLevel="0" collapsed="false">
      <c r="A130" s="89" t="s">
        <v>512</v>
      </c>
      <c r="B130" s="107" t="n">
        <f aca="false">G119</f>
        <v>0.633409853102093</v>
      </c>
      <c r="C130" s="105"/>
      <c r="D130" s="105"/>
      <c r="E130" s="105"/>
      <c r="F130" s="105"/>
      <c r="G130" s="105"/>
    </row>
    <row r="131" customFormat="false" ht="15" hidden="false" customHeight="true" outlineLevel="0" collapsed="false">
      <c r="A131" s="89" t="s">
        <v>303</v>
      </c>
      <c r="B131" s="100" t="n">
        <f aca="false">B129*B130</f>
        <v>62723.6092843861</v>
      </c>
      <c r="C131" s="105"/>
      <c r="D131" s="105"/>
      <c r="E131" s="105"/>
      <c r="F131" s="105"/>
      <c r="G131" s="105"/>
    </row>
    <row r="132" customFormat="false" ht="15" hidden="false" customHeight="true" outlineLevel="0" collapsed="false">
      <c r="A132" s="101"/>
      <c r="B132" s="101"/>
      <c r="C132" s="101"/>
      <c r="D132" s="101"/>
      <c r="E132" s="101"/>
      <c r="F132" s="101"/>
      <c r="G132" s="101"/>
    </row>
    <row r="133" customFormat="false" ht="15" hidden="false" customHeight="true" outlineLevel="0" collapsed="false">
      <c r="A133" s="88" t="s">
        <v>513</v>
      </c>
      <c r="B133" s="103" t="s">
        <v>78</v>
      </c>
      <c r="C133" s="103"/>
      <c r="D133" s="103"/>
      <c r="E133" s="103"/>
      <c r="F133" s="103"/>
      <c r="G133" s="103"/>
    </row>
    <row r="134" customFormat="false" ht="15" hidden="false" customHeight="true" outlineLevel="0" collapsed="false">
      <c r="A134" s="89" t="s">
        <v>514</v>
      </c>
      <c r="B134" s="100" t="n">
        <f aca="false">SUM(C120:G120)</f>
        <v>23547.3812562396</v>
      </c>
      <c r="C134" s="105"/>
      <c r="D134" s="105"/>
      <c r="E134" s="105"/>
      <c r="F134" s="105"/>
      <c r="G134" s="105"/>
    </row>
    <row r="135" customFormat="false" ht="15" hidden="false" customHeight="true" outlineLevel="0" collapsed="false">
      <c r="A135" s="89" t="s">
        <v>515</v>
      </c>
      <c r="B135" s="100" t="n">
        <f aca="false">B131</f>
        <v>62723.6092843861</v>
      </c>
      <c r="C135" s="105"/>
      <c r="D135" s="105"/>
      <c r="E135" s="105"/>
      <c r="F135" s="105"/>
      <c r="G135" s="105"/>
    </row>
    <row r="136" customFormat="false" ht="15" hidden="false" customHeight="true" outlineLevel="0" collapsed="false">
      <c r="A136" s="88" t="s">
        <v>516</v>
      </c>
      <c r="B136" s="104" t="n">
        <f aca="false">B134+B135</f>
        <v>86270.9905406258</v>
      </c>
      <c r="C136" s="103"/>
      <c r="D136" s="103"/>
      <c r="E136" s="103"/>
      <c r="F136" s="103"/>
      <c r="G136" s="103"/>
    </row>
    <row r="137" customFormat="false" ht="15" hidden="false" customHeight="true" outlineLevel="0" collapsed="false">
      <c r="A137" s="89" t="s">
        <v>266</v>
      </c>
      <c r="B137" s="98" t="n">
        <f aca="false">B135/B136</f>
        <v>0.727053310635735</v>
      </c>
      <c r="C137" s="105"/>
      <c r="D137" s="105"/>
      <c r="E137" s="105"/>
      <c r="F137" s="105"/>
      <c r="G137" s="105"/>
    </row>
    <row r="138" customFormat="false" ht="15" hidden="false" customHeight="true" outlineLevel="0" collapsed="false">
      <c r="A138" s="101"/>
      <c r="B138" s="101"/>
      <c r="C138" s="101"/>
      <c r="D138" s="101"/>
      <c r="E138" s="101"/>
      <c r="F138" s="101"/>
      <c r="G138" s="101"/>
    </row>
    <row r="139" customFormat="false" ht="15" hidden="false" customHeight="true" outlineLevel="0" collapsed="false">
      <c r="A139" s="88" t="s">
        <v>517</v>
      </c>
      <c r="B139" s="103" t="s">
        <v>78</v>
      </c>
      <c r="C139" s="103"/>
      <c r="D139" s="103"/>
      <c r="E139" s="103"/>
      <c r="F139" s="103"/>
      <c r="G139" s="103"/>
    </row>
    <row r="140" customFormat="false" ht="15" hidden="false" customHeight="true" outlineLevel="0" collapsed="false">
      <c r="A140" s="89" t="s">
        <v>516</v>
      </c>
      <c r="B140" s="100" t="n">
        <f aca="false">B136</f>
        <v>86270.9905406258</v>
      </c>
      <c r="C140" s="105"/>
      <c r="D140" s="105"/>
      <c r="E140" s="105"/>
      <c r="F140" s="105"/>
      <c r="G140" s="105"/>
    </row>
    <row r="141" customFormat="false" ht="15" hidden="false" customHeight="true" outlineLevel="0" collapsed="false">
      <c r="A141" s="89" t="s">
        <v>307</v>
      </c>
      <c r="B141" s="100" t="n">
        <f aca="false">-B91</f>
        <v>-11500</v>
      </c>
      <c r="C141" s="105"/>
      <c r="D141" s="105"/>
      <c r="E141" s="105"/>
      <c r="F141" s="105"/>
      <c r="G141" s="105"/>
    </row>
    <row r="142" customFormat="false" ht="15" hidden="false" customHeight="true" outlineLevel="0" collapsed="false">
      <c r="A142" s="89" t="s">
        <v>308</v>
      </c>
      <c r="B142" s="100" t="n">
        <f aca="false">-B92</f>
        <v>-12118</v>
      </c>
      <c r="C142" s="105"/>
      <c r="D142" s="105"/>
      <c r="E142" s="105"/>
      <c r="F142" s="105"/>
      <c r="G142" s="105"/>
    </row>
    <row r="143" customFormat="false" ht="15" hidden="false" customHeight="true" outlineLevel="0" collapsed="false">
      <c r="A143" s="89" t="s">
        <v>309</v>
      </c>
      <c r="B143" s="100" t="n">
        <f aca="false">B84</f>
        <v>9295</v>
      </c>
      <c r="C143" s="105"/>
      <c r="D143" s="105"/>
      <c r="E143" s="105"/>
      <c r="F143" s="105"/>
      <c r="G143" s="105"/>
    </row>
    <row r="144" customFormat="false" ht="15" hidden="false" customHeight="true" outlineLevel="0" collapsed="false">
      <c r="A144" s="89" t="s">
        <v>518</v>
      </c>
      <c r="B144" s="100" t="n">
        <f aca="false">-(B141+B142+B143)</f>
        <v>14323</v>
      </c>
      <c r="C144" s="105"/>
      <c r="D144" s="105"/>
      <c r="E144" s="105"/>
      <c r="F144" s="105"/>
      <c r="G144" s="105"/>
    </row>
    <row r="145" customFormat="false" ht="15" hidden="false" customHeight="true" outlineLevel="0" collapsed="false">
      <c r="A145" s="88" t="s">
        <v>519</v>
      </c>
      <c r="B145" s="104" t="n">
        <f aca="false">SUM(B140:B143)</f>
        <v>71947.9905406258</v>
      </c>
      <c r="C145" s="103"/>
      <c r="D145" s="103"/>
      <c r="E145" s="103"/>
      <c r="F145" s="103"/>
      <c r="G145" s="103"/>
    </row>
    <row r="146" customFormat="false" ht="15" hidden="false" customHeight="true" outlineLevel="0" collapsed="false">
      <c r="A146" s="101"/>
      <c r="B146" s="101"/>
      <c r="C146" s="101"/>
      <c r="D146" s="101"/>
      <c r="E146" s="101"/>
      <c r="F146" s="101"/>
      <c r="G146" s="101"/>
    </row>
    <row r="147" customFormat="false" ht="15" hidden="false" customHeight="true" outlineLevel="0" collapsed="false">
      <c r="A147" s="88" t="s">
        <v>520</v>
      </c>
      <c r="B147" s="103" t="s">
        <v>78</v>
      </c>
      <c r="C147" s="103"/>
      <c r="D147" s="103"/>
      <c r="E147" s="103"/>
      <c r="F147" s="103"/>
      <c r="G147" s="103"/>
    </row>
    <row r="148" customFormat="false" ht="15" hidden="false" customHeight="true" outlineLevel="0" collapsed="false">
      <c r="A148" s="89" t="s">
        <v>521</v>
      </c>
      <c r="B148" s="100" t="n">
        <f aca="false">B145</f>
        <v>71947.9905406258</v>
      </c>
      <c r="C148" s="105"/>
      <c r="D148" s="105"/>
      <c r="E148" s="105"/>
      <c r="F148" s="105"/>
      <c r="G148" s="105"/>
    </row>
    <row r="149" customFormat="false" ht="15" hidden="false" customHeight="true" outlineLevel="0" collapsed="false">
      <c r="A149" s="89" t="s">
        <v>57</v>
      </c>
      <c r="B149" s="108" t="n">
        <f aca="false">Valuación!B40</f>
        <v>1800</v>
      </c>
      <c r="C149" s="105"/>
      <c r="D149" s="105"/>
      <c r="E149" s="105"/>
      <c r="F149" s="105"/>
      <c r="G149" s="105"/>
    </row>
    <row r="150" customFormat="false" ht="15" hidden="false" customHeight="true" outlineLevel="0" collapsed="false">
      <c r="A150" s="88" t="s">
        <v>522</v>
      </c>
      <c r="B150" s="109" t="n">
        <f aca="false">B148/B149</f>
        <v>39.9711058559032</v>
      </c>
      <c r="C150" s="103"/>
      <c r="D150" s="103"/>
      <c r="E150" s="103"/>
      <c r="F150" s="103"/>
      <c r="G150" s="103"/>
    </row>
    <row r="151" customFormat="false" ht="15" hidden="false" customHeight="true" outlineLevel="0" collapsed="false">
      <c r="A151" s="89" t="s">
        <v>16</v>
      </c>
      <c r="B151" s="110" t="n">
        <f aca="false">Valuación!B42</f>
        <v>33.48</v>
      </c>
      <c r="C151" s="105"/>
      <c r="D151" s="105"/>
      <c r="E151" s="105"/>
      <c r="F151" s="105"/>
      <c r="G151" s="105"/>
    </row>
    <row r="152" customFormat="false" ht="15" hidden="false" customHeight="true" outlineLevel="0" collapsed="false">
      <c r="A152" s="89" t="s">
        <v>17</v>
      </c>
      <c r="B152" s="98" t="n">
        <f aca="false">B150/B151-1</f>
        <v>0.193880103222915</v>
      </c>
      <c r="C152" s="105"/>
      <c r="D152" s="105"/>
      <c r="E152" s="105"/>
      <c r="F152" s="105"/>
      <c r="G152" s="105"/>
    </row>
    <row r="153" customFormat="false" ht="15" hidden="false" customHeight="true" outlineLevel="0" collapsed="false">
      <c r="A153" s="89" t="s">
        <v>523</v>
      </c>
      <c r="B153" s="110" t="n">
        <f aca="false">'Proyección Soriana'!B85</f>
        <v>50.1811650263689</v>
      </c>
      <c r="C153" s="105"/>
      <c r="D153" s="105"/>
      <c r="E153" s="105"/>
      <c r="F153" s="105"/>
      <c r="G153" s="105"/>
    </row>
    <row r="154" customFormat="false" ht="15" hidden="false" customHeight="true" outlineLevel="0" collapsed="false">
      <c r="A154" s="89" t="s">
        <v>524</v>
      </c>
      <c r="B154" s="98" t="n">
        <f aca="false">B150/B153-1</f>
        <v>-0.203463972291208</v>
      </c>
      <c r="C154" s="105"/>
      <c r="D154" s="105"/>
      <c r="E154" s="105"/>
      <c r="F154" s="105"/>
      <c r="G154" s="105"/>
    </row>
    <row r="155" customFormat="false" ht="15" hidden="false" customHeight="true" outlineLevel="0" collapsed="false">
      <c r="A155" s="89" t="s">
        <v>525</v>
      </c>
      <c r="B155" s="98" t="n">
        <v>0.15</v>
      </c>
      <c r="C155" s="105"/>
      <c r="D155" s="105"/>
      <c r="E155" s="105"/>
      <c r="F155" s="105"/>
      <c r="G155" s="105"/>
    </row>
    <row r="156" customFormat="false" ht="15" hidden="false" customHeight="true" outlineLevel="0" collapsed="false">
      <c r="A156" s="88" t="s">
        <v>526</v>
      </c>
      <c r="B156" s="103" t="str">
        <f aca="false">IF(B152&gt;B155,"COMPRAR",IF(B152&lt;-B155,"VENDER","MANTENER"))</f>
        <v>COMPRAR</v>
      </c>
      <c r="C156" s="103"/>
      <c r="D156" s="103"/>
      <c r="E156" s="103"/>
      <c r="F156" s="103"/>
      <c r="G156" s="103"/>
    </row>
    <row r="157" customFormat="false" ht="15" hidden="false" customHeight="true" outlineLevel="0" collapsed="false">
      <c r="A157" s="89" t="s">
        <v>527</v>
      </c>
      <c r="B157" s="105" t="str">
        <f aca="false" t="array" ref="B157:B157">IF(SUMPRODUCT(ABS(B97:G97))&lt;1,"PASS","FAIL")</f>
        <v>PASS</v>
      </c>
      <c r="C157" s="105"/>
      <c r="D157" s="105"/>
      <c r="E157" s="105"/>
      <c r="F157" s="105"/>
      <c r="G157" s="105"/>
    </row>
    <row r="158" customFormat="false" ht="15" hidden="false" customHeight="true" outlineLevel="0" collapsed="false">
      <c r="A158" s="89" t="s">
        <v>528</v>
      </c>
      <c r="B158" s="105" t="str">
        <f aca="false">IF(B126&gt;B123,"PASS","FAIL")</f>
        <v>PASS</v>
      </c>
      <c r="C158" s="105"/>
      <c r="D158" s="105"/>
      <c r="E158" s="105"/>
      <c r="F158" s="105"/>
      <c r="G158" s="105"/>
    </row>
    <row r="159" customFormat="false" ht="15" hidden="false" customHeight="true" outlineLevel="0" collapsed="false">
      <c r="A159" s="101"/>
      <c r="B159" s="101"/>
      <c r="C159" s="101"/>
      <c r="D159" s="101"/>
      <c r="E159" s="101"/>
      <c r="F159" s="101"/>
      <c r="G159" s="101"/>
    </row>
    <row r="160" customFormat="false" ht="15" hidden="false" customHeight="true" outlineLevel="0" collapsed="false">
      <c r="A160" s="88" t="s">
        <v>529</v>
      </c>
      <c r="B160" s="103"/>
      <c r="C160" s="103"/>
      <c r="D160" s="103"/>
      <c r="E160" s="103"/>
      <c r="F160" s="103"/>
      <c r="G160" s="103"/>
    </row>
    <row r="161" customFormat="false" ht="15" hidden="false" customHeight="true" outlineLevel="0" collapsed="false">
      <c r="A161" s="89" t="s">
        <v>530</v>
      </c>
      <c r="B161" s="99" t="n">
        <v>0.005</v>
      </c>
      <c r="C161" s="105"/>
      <c r="D161" s="105"/>
      <c r="E161" s="105"/>
      <c r="F161" s="105"/>
      <c r="G161" s="105"/>
    </row>
    <row r="162" customFormat="false" ht="15" hidden="false" customHeight="true" outlineLevel="0" collapsed="false">
      <c r="A162" s="88" t="s">
        <v>531</v>
      </c>
      <c r="B162" s="111" t="n">
        <f aca="false">$B$123-2*$B$161</f>
        <v>0.025</v>
      </c>
      <c r="C162" s="111" t="n">
        <f aca="false">B162+$B$161</f>
        <v>0.03</v>
      </c>
      <c r="D162" s="111" t="n">
        <f aca="false">C162+$B$161</f>
        <v>0.035</v>
      </c>
      <c r="E162" s="111" t="n">
        <f aca="false">D162+$B$161</f>
        <v>0.04</v>
      </c>
      <c r="F162" s="111" t="n">
        <f aca="false">E162+$B$161</f>
        <v>0.045</v>
      </c>
      <c r="G162" s="103"/>
    </row>
    <row r="163" customFormat="false" ht="15" hidden="false" customHeight="true" outlineLevel="0" collapsed="false">
      <c r="A163" s="111" t="n">
        <f aca="false">$B$126-2*$B$161</f>
        <v>0.0856277841268195</v>
      </c>
      <c r="B163" s="110" t="n">
        <f aca="false" t="array" ref="B163:B163">(SUMPRODUCT($C$117:$G$117,1/(1+$A163)^$C$118:$G$118)+$B$127*(1+B$162)/($A163-B$162)/(1+$A163)^$G$118+$B$141+$B$142+$B$143)/$B$149</f>
        <v>41.6080851373411</v>
      </c>
      <c r="C163" s="110" t="n">
        <f aca="false" t="array" ref="C163:C163">(SUMPRODUCT($C$117:$G$117,1/(1+$A163)^$C$118:$G$118)+$B$127*(1+C$162)/($A163-C$162)/(1+$A163)^$G$118+$B$141+$B$142+$B$143)/$B$149</f>
        <v>45.0475257623403</v>
      </c>
      <c r="D163" s="110" t="n">
        <f aca="false" t="array" ref="D163:D163">(SUMPRODUCT($C$117:$G$117,1/(1+$A163)^$C$118:$G$118)+$B$127*(1+D$162)/($A163-D$162)/(1+$A163)^$G$118+$B$141+$B$142+$B$143)/$B$149</f>
        <v>49.1663247049746</v>
      </c>
      <c r="E163" s="110" t="n">
        <f aca="false" t="array" ref="E163:E163">(SUMPRODUCT($C$117:$G$117,1/(1+$A163)^$C$118:$G$118)+$B$127*(1+E$162)/($A163-E$162)/(1+$A163)^$G$118+$B$141+$B$142+$B$143)/$B$149</f>
        <v>54.1878190165504</v>
      </c>
      <c r="F163" s="110" t="n">
        <f aca="false" t="array" ref="F163:F163">(SUMPRODUCT($C$117:$G$117,1/(1+$A163)^$C$118:$G$118)+$B$127*(1+F$162)/($A163-F$162)/(1+$A163)^$G$118+$B$141+$B$142+$B$143)/$B$149</f>
        <v>60.4452887620561</v>
      </c>
      <c r="G163" s="105"/>
    </row>
    <row r="164" customFormat="false" ht="15" hidden="false" customHeight="true" outlineLevel="0" collapsed="false">
      <c r="A164" s="111" t="n">
        <f aca="false">A163+$B$161</f>
        <v>0.0906277841268195</v>
      </c>
      <c r="B164" s="110" t="n">
        <f aca="false" t="array" ref="B164:B164">(SUMPRODUCT($C$117:$G$117,1/(1+$A164)^$C$118:$G$118)+$B$127*(1+B$162)/($A164-B$162)/(1+$A164)^$G$118+$B$141+$B$142+$B$143)/$B$149</f>
        <v>37.9182273719414</v>
      </c>
      <c r="C164" s="110" t="n">
        <f aca="false" t="array" ref="C164:C164">(SUMPRODUCT($C$117:$G$117,1/(1+$A164)^$C$118:$G$118)+$B$127*(1+C$162)/($A164-C$162)/(1+$A164)^$G$118+$B$141+$B$142+$B$143)/$B$149</f>
        <v>40.7804895076976</v>
      </c>
      <c r="D164" s="110" t="n">
        <f aca="false" t="array" ref="D164:D164">(SUMPRODUCT($C$117:$G$117,1/(1+$A164)^$C$118:$G$118)+$B$127*(1+D$162)/($A164-D$162)/(1+$A164)^$G$118+$B$141+$B$142+$B$143)/$B$149</f>
        <v>44.1572898693933</v>
      </c>
      <c r="E164" s="110" t="n">
        <f aca="false" t="array" ref="E164:E164">(SUMPRODUCT($C$117:$G$117,1/(1+$A164)^$C$118:$G$118)+$B$127*(1+E$162)/($A164-E$162)/(1+$A164)^$G$118+$B$141+$B$142+$B$143)/$B$149</f>
        <v>48.2010758438184</v>
      </c>
      <c r="F164" s="110" t="n">
        <f aca="false" t="array" ref="F164:F164">(SUMPRODUCT($C$117:$G$117,1/(1+$A164)^$C$118:$G$118)+$B$127*(1+F$162)/($A164-F$162)/(1+$A164)^$G$118+$B$141+$B$142+$B$143)/$B$149</f>
        <v>53.1311169918863</v>
      </c>
      <c r="G164" s="105"/>
    </row>
    <row r="165" customFormat="false" ht="15" hidden="false" customHeight="true" outlineLevel="0" collapsed="false">
      <c r="A165" s="111" t="n">
        <f aca="false">A164+$B$161</f>
        <v>0.0956277841268195</v>
      </c>
      <c r="B165" s="110" t="n">
        <f aca="false" t="array" ref="B165:B165">(SUMPRODUCT($C$117:$G$117,1/(1+$A165)^$C$118:$G$118)+$B$127*(1+B$162)/($A165-B$162)/(1+$A165)^$G$118+$B$141+$B$142+$B$143)/$B$149</f>
        <v>34.7482788379517</v>
      </c>
      <c r="C165" s="110" t="n">
        <f aca="false" t="array" ref="C165:C165">(SUMPRODUCT($C$117:$G$117,1/(1+$A165)^$C$118:$G$118)+$B$127*(1+C$162)/($A165-C$162)/(1+$A165)^$G$118+$B$141+$B$142+$B$143)/$B$149</f>
        <v>37.1607359488317</v>
      </c>
      <c r="D165" s="112" t="n">
        <f aca="false" t="array" ref="D165:D165">(SUMPRODUCT($C$117:$G$117,1/(1+$A165)^$C$118:$G$118)+$B$127*(1+D$162)/($A165-D$162)/(1+$A165)^$G$118+$B$141+$B$142+$B$143)/$B$149</f>
        <v>39.9711058559032</v>
      </c>
      <c r="E165" s="110" t="n">
        <f aca="false" t="array" ref="E165:E165">(SUMPRODUCT($C$117:$G$117,1/(1+$A165)^$C$118:$G$118)+$B$127*(1+E$162)/($A165-E$162)/(1+$A165)^$G$118+$B$141+$B$142+$B$143)/$B$149</f>
        <v>43.2866855158321</v>
      </c>
      <c r="F165" s="110" t="n">
        <f aca="false" t="array" ref="F165:F165">(SUMPRODUCT($C$117:$G$117,1/(1+$A165)^$C$118:$G$118)+$B$127*(1+F$162)/($A165-F$162)/(1+$A165)^$G$118+$B$141+$B$142+$B$143)/$B$149</f>
        <v>47.2571584753816</v>
      </c>
      <c r="G165" s="105"/>
    </row>
    <row r="166" customFormat="false" ht="15" hidden="false" customHeight="true" outlineLevel="0" collapsed="false">
      <c r="A166" s="111" t="n">
        <f aca="false">A165+$B$161</f>
        <v>0.10062778412682</v>
      </c>
      <c r="B166" s="110" t="n">
        <f aca="false" t="array" ref="B166:B166">(SUMPRODUCT($C$117:$G$117,1/(1+$A166)^$C$118:$G$118)+$B$127*(1+B$162)/($A166-B$162)/(1+$A166)^$G$118+$B$141+$B$142+$B$143)/$B$149</f>
        <v>31.9951991973123</v>
      </c>
      <c r="C166" s="110" t="n">
        <f aca="false" t="array" ref="C166:C166">(SUMPRODUCT($C$117:$G$117,1/(1+$A166)^$C$118:$G$118)+$B$127*(1+C$162)/($A166-C$162)/(1+$A166)^$G$118+$B$141+$B$142+$B$143)/$B$149</f>
        <v>34.050882586818</v>
      </c>
      <c r="D166" s="110" t="n">
        <f aca="false" t="array" ref="D166:D166">(SUMPRODUCT($C$117:$G$117,1/(1+$A166)^$C$118:$G$118)+$B$127*(1+D$162)/($A166-D$162)/(1+$A166)^$G$118+$B$141+$B$142+$B$143)/$B$149</f>
        <v>36.4197996801362</v>
      </c>
      <c r="E166" s="110" t="n">
        <f aca="false" t="array" ref="E166:E166">(SUMPRODUCT($C$117:$G$117,1/(1+$A166)^$C$118:$G$118)+$B$127*(1+E$162)/($A166-E$162)/(1+$A166)^$G$118+$B$141+$B$142+$B$143)/$B$149</f>
        <v>39.1794480408817</v>
      </c>
      <c r="F166" s="110" t="n">
        <f aca="false" t="array" ref="F166:F166">(SUMPRODUCT($C$117:$G$117,1/(1+$A166)^$C$118:$G$118)+$B$127*(1+F$162)/($A166-F$162)/(1+$A166)^$G$118+$B$141+$B$142+$B$143)/$B$149</f>
        <v>42.4351881306191</v>
      </c>
      <c r="G166" s="105"/>
    </row>
    <row r="167" customFormat="false" ht="15" hidden="false" customHeight="true" outlineLevel="0" collapsed="false">
      <c r="A167" s="111" t="n">
        <f aca="false">A166+$B$161</f>
        <v>0.10562778412682</v>
      </c>
      <c r="B167" s="110" t="n">
        <f aca="false" t="array" ref="B167:B167">(SUMPRODUCT($C$117:$G$117,1/(1+$A167)^$C$118:$G$118)+$B$127*(1+B$162)/($A167-B$162)/(1+$A167)^$G$118+$B$141+$B$142+$B$143)/$B$149</f>
        <v>29.581504922679</v>
      </c>
      <c r="C167" s="110" t="n">
        <f aca="false" t="array" ref="C167:C167">(SUMPRODUCT($C$117:$G$117,1/(1+$A167)^$C$118:$G$118)+$B$127*(1+C$162)/($A167-C$162)/(1+$A167)^$G$118+$B$141+$B$142+$B$143)/$B$149</f>
        <v>31.3498751538021</v>
      </c>
      <c r="D167" s="110" t="n">
        <f aca="false" t="array" ref="D167:D167">(SUMPRODUCT($C$117:$G$117,1/(1+$A167)^$C$118:$G$118)+$B$127*(1+D$162)/($A167-D$162)/(1+$A167)^$G$118+$B$141+$B$142+$B$143)/$B$149</f>
        <v>33.3686242199666</v>
      </c>
      <c r="E167" s="110" t="n">
        <f aca="false" t="array" ref="E167:E167">(SUMPRODUCT($C$117:$G$117,1/(1+$A167)^$C$118:$G$118)+$B$127*(1+E$162)/($A167-E$162)/(1+$A167)^$G$118+$B$141+$B$142+$B$143)/$B$149</f>
        <v>35.6949791413377</v>
      </c>
      <c r="F167" s="110" t="n">
        <f aca="false" t="array" ref="F167:F167">(SUMPRODUCT($C$117:$G$117,1/(1+$A167)^$C$118:$G$118)+$B$127*(1+F$162)/($A167-F$162)/(1+$A167)^$G$118+$B$141+$B$142+$B$143)/$B$149</f>
        <v>38.405045088087</v>
      </c>
      <c r="G167" s="105"/>
    </row>
    <row r="168" customFormat="false" ht="15" hidden="false" customHeight="true" outlineLevel="0" collapsed="false">
      <c r="A168" s="105" t="s">
        <v>532</v>
      </c>
      <c r="B168" s="113" t="n">
        <f aca="false">D165-B150</f>
        <v>0</v>
      </c>
      <c r="C168" s="105"/>
      <c r="D168" s="105"/>
      <c r="E168" s="105"/>
      <c r="F168" s="105"/>
      <c r="G168" s="105"/>
    </row>
    <row r="169" customFormat="false" ht="15" hidden="false" customHeight="true" outlineLevel="0" collapsed="false">
      <c r="A169" s="101"/>
      <c r="B169" s="101"/>
      <c r="C169" s="101"/>
      <c r="D169" s="101"/>
      <c r="E169" s="101"/>
      <c r="F169" s="101"/>
      <c r="G169" s="101"/>
    </row>
    <row r="170" customFormat="false" ht="15" hidden="false" customHeight="true" outlineLevel="0" collapsed="false">
      <c r="A170" s="88" t="s">
        <v>533</v>
      </c>
      <c r="B170" s="88" t="s">
        <v>365</v>
      </c>
      <c r="C170" s="88" t="s">
        <v>534</v>
      </c>
      <c r="D170" s="88" t="s">
        <v>535</v>
      </c>
      <c r="E170" s="88" t="s">
        <v>536</v>
      </c>
      <c r="F170" s="88" t="s">
        <v>537</v>
      </c>
      <c r="G170" s="88" t="s">
        <v>538</v>
      </c>
    </row>
    <row r="171" customFormat="false" ht="14.25" hidden="false" customHeight="false" outlineLevel="0" collapsed="false">
      <c r="A171" s="89" t="s">
        <v>539</v>
      </c>
      <c r="B171" s="89" t="s">
        <v>373</v>
      </c>
      <c r="C171" s="89" t="n">
        <v>4</v>
      </c>
      <c r="D171" s="89" t="s">
        <v>540</v>
      </c>
      <c r="E171" s="89" t="s">
        <v>541</v>
      </c>
      <c r="F171" s="89" t="s">
        <v>247</v>
      </c>
      <c r="G171" s="89" t="n">
        <v>11</v>
      </c>
    </row>
    <row r="172" customFormat="false" ht="14.25" hidden="false" customHeight="false" outlineLevel="0" collapsed="false">
      <c r="A172" s="89" t="s">
        <v>542</v>
      </c>
      <c r="B172" s="89" t="s">
        <v>397</v>
      </c>
      <c r="C172" s="89" t="n">
        <v>3</v>
      </c>
      <c r="D172" s="89" t="s">
        <v>540</v>
      </c>
      <c r="E172" s="89" t="s">
        <v>541</v>
      </c>
      <c r="F172" s="89" t="s">
        <v>377</v>
      </c>
      <c r="G172" s="89" t="n">
        <v>10</v>
      </c>
    </row>
    <row r="173" customFormat="false" ht="14.25" hidden="false" customHeight="false" outlineLevel="0" collapsed="false">
      <c r="A173" s="89" t="s">
        <v>543</v>
      </c>
      <c r="B173" s="89" t="s">
        <v>388</v>
      </c>
      <c r="C173" s="89" t="n">
        <v>5</v>
      </c>
      <c r="D173" s="89" t="s">
        <v>540</v>
      </c>
      <c r="E173" s="89" t="s">
        <v>544</v>
      </c>
      <c r="F173" s="89" t="s">
        <v>247</v>
      </c>
      <c r="G173" s="89" t="n">
        <v>13</v>
      </c>
    </row>
    <row r="174" customFormat="false" ht="14.25" hidden="false" customHeight="false" outlineLevel="0" collapsed="false">
      <c r="A174" s="89" t="s">
        <v>545</v>
      </c>
      <c r="B174" s="89" t="s">
        <v>373</v>
      </c>
      <c r="C174" s="89" t="n">
        <v>3</v>
      </c>
      <c r="D174" s="89" t="s">
        <v>546</v>
      </c>
      <c r="E174" s="89" t="s">
        <v>541</v>
      </c>
      <c r="F174" s="89" t="s">
        <v>247</v>
      </c>
      <c r="G174" s="89" t="n">
        <v>13</v>
      </c>
    </row>
    <row r="175" customFormat="false" ht="14.25" hidden="false" customHeight="false" outlineLevel="0" collapsed="false">
      <c r="A175" s="89" t="s">
        <v>547</v>
      </c>
      <c r="B175" s="89" t="s">
        <v>388</v>
      </c>
      <c r="C175" s="89" t="n">
        <v>3</v>
      </c>
      <c r="D175" s="89" t="s">
        <v>546</v>
      </c>
      <c r="E175" s="89" t="s">
        <v>544</v>
      </c>
      <c r="F175" s="89" t="s">
        <v>247</v>
      </c>
      <c r="G175" s="89" t="n">
        <v>17</v>
      </c>
    </row>
    <row r="176" customFormat="false" ht="14.25" hidden="false" customHeight="false" outlineLevel="0" collapsed="false">
      <c r="A176" s="89" t="s">
        <v>548</v>
      </c>
      <c r="B176" s="89" t="s">
        <v>388</v>
      </c>
      <c r="C176" s="89" t="n">
        <v>3</v>
      </c>
      <c r="D176" s="89" t="s">
        <v>540</v>
      </c>
      <c r="E176" s="89" t="s">
        <v>541</v>
      </c>
      <c r="F176" s="89" t="s">
        <v>549</v>
      </c>
      <c r="G176" s="89" t="s">
        <v>550</v>
      </c>
    </row>
    <row r="177" customFormat="false" ht="14.25" hidden="false" customHeight="false" outlineLevel="0" collapsed="false">
      <c r="A177" s="89" t="s">
        <v>551</v>
      </c>
      <c r="B177" s="89" t="s">
        <v>388</v>
      </c>
      <c r="C177" s="89" t="n">
        <v>3</v>
      </c>
      <c r="D177" s="89" t="s">
        <v>540</v>
      </c>
      <c r="E177" s="89" t="s">
        <v>544</v>
      </c>
      <c r="F177" s="89" t="s">
        <v>552</v>
      </c>
      <c r="G177" s="89" t="n">
        <v>125</v>
      </c>
    </row>
    <row r="178" customFormat="false" ht="14.25" hidden="false" customHeight="false" outlineLevel="0" collapsed="false">
      <c r="A178" s="89" t="s">
        <v>553</v>
      </c>
      <c r="B178" s="89" t="s">
        <v>388</v>
      </c>
      <c r="C178" s="89" t="n">
        <v>3</v>
      </c>
      <c r="D178" s="89" t="s">
        <v>546</v>
      </c>
      <c r="E178" s="89" t="s">
        <v>544</v>
      </c>
      <c r="F178" s="89" t="s">
        <v>387</v>
      </c>
      <c r="G178" s="89" t="n">
        <v>35</v>
      </c>
    </row>
    <row r="179" customFormat="false" ht="14.25" hidden="false" customHeight="false" outlineLevel="0" collapsed="false">
      <c r="A179" s="89" t="s">
        <v>554</v>
      </c>
      <c r="B179" s="89" t="s">
        <v>388</v>
      </c>
      <c r="C179" s="89" t="n">
        <v>2</v>
      </c>
      <c r="D179" s="89" t="s">
        <v>546</v>
      </c>
      <c r="E179" s="89" t="s">
        <v>555</v>
      </c>
      <c r="F179" s="89" t="s">
        <v>5</v>
      </c>
      <c r="G179" s="89" t="n">
        <v>125</v>
      </c>
    </row>
    <row r="180" customFormat="false" ht="14.25" hidden="false" customHeight="false" outlineLevel="0" collapsed="false">
      <c r="A180" s="89" t="s">
        <v>556</v>
      </c>
      <c r="B180" s="89" t="s">
        <v>388</v>
      </c>
      <c r="C180" s="89" t="n">
        <v>4</v>
      </c>
      <c r="D180" s="89" t="s">
        <v>540</v>
      </c>
      <c r="E180" s="89" t="s">
        <v>555</v>
      </c>
      <c r="F180" s="89" t="s">
        <v>247</v>
      </c>
      <c r="G180" s="89" t="n">
        <v>18</v>
      </c>
    </row>
    <row r="181" customFormat="false" ht="14.25" hidden="false" customHeight="false" outlineLevel="0" collapsed="false">
      <c r="A181" s="89" t="s">
        <v>557</v>
      </c>
      <c r="B181" s="89" t="s">
        <v>388</v>
      </c>
      <c r="C181" s="89" t="n">
        <v>3</v>
      </c>
      <c r="D181" s="89" t="s">
        <v>540</v>
      </c>
      <c r="E181" s="89" t="s">
        <v>541</v>
      </c>
      <c r="F181" s="89" t="s">
        <v>247</v>
      </c>
      <c r="G181" s="89" t="n">
        <v>18</v>
      </c>
    </row>
    <row r="182" customFormat="false" ht="14.25" hidden="false" customHeight="false" outlineLevel="0" collapsed="false">
      <c r="A182" s="89" t="s">
        <v>558</v>
      </c>
      <c r="B182" s="89" t="s">
        <v>388</v>
      </c>
      <c r="C182" s="89" t="n">
        <v>2</v>
      </c>
      <c r="D182" s="89" t="s">
        <v>540</v>
      </c>
      <c r="E182" s="89" t="s">
        <v>544</v>
      </c>
      <c r="F182" s="89" t="s">
        <v>387</v>
      </c>
      <c r="G182" s="89" t="n">
        <v>35</v>
      </c>
    </row>
    <row r="183" customFormat="false" ht="14.25" hidden="false" customHeight="false" outlineLevel="0" collapsed="false">
      <c r="A183" s="89" t="s">
        <v>559</v>
      </c>
      <c r="B183" s="89" t="s">
        <v>397</v>
      </c>
      <c r="C183" s="89" t="n">
        <v>4</v>
      </c>
      <c r="D183" s="89" t="s">
        <v>540</v>
      </c>
      <c r="E183" s="89" t="s">
        <v>560</v>
      </c>
      <c r="F183" s="89" t="s">
        <v>561</v>
      </c>
      <c r="G183" s="89" t="s">
        <v>562</v>
      </c>
    </row>
    <row r="184" customFormat="false" ht="14.25" hidden="false" customHeight="false" outlineLevel="0" collapsed="false">
      <c r="A184" s="89" t="s">
        <v>563</v>
      </c>
      <c r="B184" s="89" t="s">
        <v>388</v>
      </c>
      <c r="C184" s="89" t="n">
        <v>3</v>
      </c>
      <c r="D184" s="89" t="s">
        <v>540</v>
      </c>
      <c r="E184" s="89" t="s">
        <v>555</v>
      </c>
      <c r="F184" s="89" t="s">
        <v>401</v>
      </c>
      <c r="G184" s="89" t="n">
        <v>33</v>
      </c>
    </row>
    <row r="185" customFormat="false" ht="14.25" hidden="false" customHeight="false" outlineLevel="0" collapsed="false">
      <c r="A185" s="89" t="s">
        <v>564</v>
      </c>
      <c r="B185" s="89" t="s">
        <v>388</v>
      </c>
      <c r="C185" s="89" t="n">
        <v>2</v>
      </c>
      <c r="D185" s="89" t="s">
        <v>546</v>
      </c>
      <c r="E185" s="89" t="s">
        <v>541</v>
      </c>
      <c r="F185" s="89" t="s">
        <v>247</v>
      </c>
      <c r="G185" s="89" t="n">
        <v>21</v>
      </c>
    </row>
    <row r="186" customFormat="false" ht="14.25" hidden="false" customHeight="false" outlineLevel="0" collapsed="false">
      <c r="A186" s="89" t="s">
        <v>565</v>
      </c>
      <c r="B186" s="89" t="s">
        <v>388</v>
      </c>
      <c r="C186" s="89" t="n">
        <v>2</v>
      </c>
      <c r="D186" s="89" t="s">
        <v>546</v>
      </c>
      <c r="E186" s="89" t="s">
        <v>555</v>
      </c>
      <c r="F186" s="89" t="s">
        <v>244</v>
      </c>
      <c r="G186" s="89" t="n">
        <v>52</v>
      </c>
    </row>
    <row r="187" customFormat="false" ht="14.25" hidden="false" customHeight="false" outlineLevel="0" collapsed="false">
      <c r="A187" s="89" t="s">
        <v>566</v>
      </c>
      <c r="B187" s="89" t="s">
        <v>373</v>
      </c>
      <c r="C187" s="89" t="n">
        <v>3</v>
      </c>
      <c r="D187" s="89" t="s">
        <v>540</v>
      </c>
      <c r="E187" s="89" t="s">
        <v>555</v>
      </c>
      <c r="F187" s="89" t="s">
        <v>247</v>
      </c>
      <c r="G187" s="89" t="n">
        <v>19</v>
      </c>
    </row>
    <row r="188" customFormat="false" ht="14.25" hidden="false" customHeight="false" outlineLevel="0" collapsed="false">
      <c r="A188" s="89" t="s">
        <v>567</v>
      </c>
      <c r="B188" s="89" t="s">
        <v>388</v>
      </c>
      <c r="C188" s="89" t="n">
        <v>3</v>
      </c>
      <c r="D188" s="89" t="s">
        <v>540</v>
      </c>
      <c r="E188" s="89" t="s">
        <v>544</v>
      </c>
      <c r="F188" s="89" t="s">
        <v>568</v>
      </c>
      <c r="G188" s="89" t="n">
        <v>34</v>
      </c>
    </row>
    <row r="189" customFormat="false" ht="14.25" hidden="false" customHeight="false" outlineLevel="0" collapsed="false">
      <c r="A189" s="89" t="s">
        <v>569</v>
      </c>
      <c r="B189" s="89" t="s">
        <v>388</v>
      </c>
      <c r="C189" s="89" t="n">
        <v>5</v>
      </c>
      <c r="D189" s="89" t="s">
        <v>540</v>
      </c>
      <c r="E189" s="89" t="s">
        <v>544</v>
      </c>
      <c r="F189" s="89" t="s">
        <v>247</v>
      </c>
      <c r="G189" s="89" t="n">
        <v>15</v>
      </c>
    </row>
    <row r="190" customFormat="false" ht="14.25" hidden="false" customHeight="false" outlineLevel="0" collapsed="false">
      <c r="A190" s="89" t="s">
        <v>570</v>
      </c>
      <c r="B190" s="89" t="s">
        <v>388</v>
      </c>
      <c r="C190" s="89" t="n">
        <v>5</v>
      </c>
      <c r="D190" s="89" t="s">
        <v>540</v>
      </c>
      <c r="E190" s="89" t="s">
        <v>560</v>
      </c>
      <c r="F190" s="89" t="s">
        <v>571</v>
      </c>
      <c r="G190" s="89" t="s">
        <v>572</v>
      </c>
    </row>
    <row r="191" customFormat="false" ht="14.25" hidden="false" customHeight="false" outlineLevel="0" collapsed="false">
      <c r="A191" s="89" t="s">
        <v>573</v>
      </c>
      <c r="B191" s="89" t="s">
        <v>397</v>
      </c>
      <c r="C191" s="89" t="n">
        <v>4</v>
      </c>
      <c r="D191" s="89" t="s">
        <v>540</v>
      </c>
      <c r="E191" s="89" t="s">
        <v>574</v>
      </c>
      <c r="F191" s="89" t="s">
        <v>575</v>
      </c>
      <c r="G191" s="89" t="s">
        <v>576</v>
      </c>
    </row>
    <row r="192" customFormat="false" ht="14.25" hidden="false" customHeight="false" outlineLevel="0" collapsed="false">
      <c r="A192" s="89" t="s">
        <v>577</v>
      </c>
      <c r="B192" s="89" t="s">
        <v>397</v>
      </c>
      <c r="C192" s="89" t="n">
        <v>3</v>
      </c>
      <c r="D192" s="89" t="s">
        <v>540</v>
      </c>
      <c r="E192" s="89" t="s">
        <v>555</v>
      </c>
      <c r="F192" s="89" t="s">
        <v>571</v>
      </c>
      <c r="G192" s="89" t="n">
        <v>16</v>
      </c>
    </row>
    <row r="193" customFormat="false" ht="14.25" hidden="false" customHeight="false" outlineLevel="0" collapsed="false">
      <c r="A193" s="89" t="s">
        <v>578</v>
      </c>
      <c r="B193" s="89" t="s">
        <v>397</v>
      </c>
      <c r="C193" s="89" t="n">
        <v>2</v>
      </c>
      <c r="D193" s="89" t="s">
        <v>540</v>
      </c>
      <c r="E193" s="89" t="s">
        <v>555</v>
      </c>
      <c r="F193" s="89" t="s">
        <v>568</v>
      </c>
      <c r="G193" s="89" t="s">
        <v>579</v>
      </c>
    </row>
    <row r="194" customFormat="false" ht="14.25" hidden="false" customHeight="false" outlineLevel="0" collapsed="false">
      <c r="A194" s="89" t="s">
        <v>580</v>
      </c>
      <c r="B194" s="89" t="s">
        <v>373</v>
      </c>
      <c r="C194" s="89" t="n">
        <v>2</v>
      </c>
      <c r="D194" s="89" t="s">
        <v>540</v>
      </c>
      <c r="E194" s="89" t="s">
        <v>555</v>
      </c>
      <c r="F194" s="89" t="s">
        <v>443</v>
      </c>
      <c r="G194" s="89" t="n">
        <v>22</v>
      </c>
    </row>
    <row r="195" customFormat="false" ht="14.25" hidden="false" customHeight="false" outlineLevel="0" collapsed="false">
      <c r="A195" s="89" t="s">
        <v>581</v>
      </c>
      <c r="B195" s="89" t="s">
        <v>373</v>
      </c>
      <c r="C195" s="89" t="n">
        <v>2</v>
      </c>
      <c r="D195" s="89" t="s">
        <v>546</v>
      </c>
      <c r="E195" s="89" t="s">
        <v>574</v>
      </c>
      <c r="F195" s="89" t="s">
        <v>568</v>
      </c>
      <c r="G195" s="89" t="n">
        <v>38</v>
      </c>
    </row>
    <row r="196" customFormat="false" ht="14.25" hidden="false" customHeight="false" outlineLevel="0" collapsed="false">
      <c r="A196" s="89" t="s">
        <v>582</v>
      </c>
      <c r="B196" s="89" t="s">
        <v>373</v>
      </c>
      <c r="C196" s="89" t="n">
        <v>4</v>
      </c>
      <c r="D196" s="89" t="s">
        <v>540</v>
      </c>
      <c r="E196" s="89" t="s">
        <v>544</v>
      </c>
      <c r="F196" s="89" t="s">
        <v>568</v>
      </c>
      <c r="G196" s="89" t="n">
        <v>32</v>
      </c>
    </row>
    <row r="197" customFormat="false" ht="14.25" hidden="false" customHeight="false" outlineLevel="0" collapsed="false">
      <c r="A197" s="89" t="s">
        <v>583</v>
      </c>
      <c r="B197" s="89" t="s">
        <v>397</v>
      </c>
      <c r="C197" s="89" t="n">
        <v>3</v>
      </c>
      <c r="D197" s="89" t="s">
        <v>540</v>
      </c>
      <c r="E197" s="89" t="s">
        <v>544</v>
      </c>
      <c r="F197" s="89" t="s">
        <v>99</v>
      </c>
      <c r="G197" s="89" t="n">
        <v>47</v>
      </c>
    </row>
    <row r="198" customFormat="false" ht="14.25" hidden="false" customHeight="false" outlineLevel="0" collapsed="false">
      <c r="A198" s="89" t="s">
        <v>584</v>
      </c>
      <c r="B198" s="89" t="s">
        <v>388</v>
      </c>
      <c r="C198" s="89" t="n">
        <v>3</v>
      </c>
      <c r="D198" s="89" t="s">
        <v>546</v>
      </c>
      <c r="E198" s="89" t="s">
        <v>544</v>
      </c>
      <c r="F198" s="89" t="s">
        <v>401</v>
      </c>
      <c r="G198" s="89" t="n">
        <v>36</v>
      </c>
    </row>
    <row r="199" customFormat="false" ht="14.25" hidden="false" customHeight="false" outlineLevel="0" collapsed="false">
      <c r="A199" s="89" t="s">
        <v>585</v>
      </c>
      <c r="B199" s="89" t="s">
        <v>388</v>
      </c>
      <c r="C199" s="89" t="n">
        <v>3</v>
      </c>
      <c r="D199" s="89" t="s">
        <v>540</v>
      </c>
      <c r="E199" s="89" t="s">
        <v>541</v>
      </c>
      <c r="F199" s="89" t="s">
        <v>247</v>
      </c>
      <c r="G199" s="89" t="n">
        <v>17</v>
      </c>
    </row>
    <row r="200" customFormat="false" ht="14.25" hidden="false" customHeight="false" outlineLevel="0" collapsed="false">
      <c r="A200" s="89" t="s">
        <v>586</v>
      </c>
      <c r="B200" s="89" t="s">
        <v>388</v>
      </c>
      <c r="C200" s="89" t="n">
        <v>2</v>
      </c>
      <c r="D200" s="89" t="s">
        <v>546</v>
      </c>
      <c r="E200" s="89" t="s">
        <v>541</v>
      </c>
      <c r="F200" s="89" t="s">
        <v>401</v>
      </c>
      <c r="G200" s="89" t="s">
        <v>587</v>
      </c>
    </row>
    <row r="201" customFormat="false" ht="15" hidden="false" customHeight="true" outlineLevel="0" collapsed="false">
      <c r="A201" s="91"/>
      <c r="B201" s="91"/>
      <c r="C201" s="91"/>
      <c r="D201" s="91"/>
      <c r="E201" s="91"/>
      <c r="F201" s="91"/>
      <c r="G201" s="91"/>
    </row>
    <row r="202" customFormat="false" ht="15" hidden="false" customHeight="true" outlineLevel="0" collapsed="false">
      <c r="A202" s="91"/>
      <c r="B202" s="91"/>
      <c r="C202" s="91"/>
      <c r="D202" s="91"/>
      <c r="E202" s="91"/>
      <c r="F202" s="91"/>
      <c r="G202" s="91"/>
    </row>
    <row r="203" customFormat="false" ht="15" hidden="false" customHeight="true" outlineLevel="0" collapsed="false">
      <c r="A203" s="101"/>
      <c r="B203" s="101"/>
      <c r="C203" s="101"/>
      <c r="D203" s="101"/>
      <c r="E203" s="101"/>
      <c r="F203" s="101"/>
      <c r="G203" s="101"/>
    </row>
    <row r="204" customFormat="false" ht="15" hidden="false" customHeight="true" outlineLevel="0" collapsed="false">
      <c r="A204" s="101"/>
      <c r="B204" s="101"/>
      <c r="C204" s="101"/>
      <c r="D204" s="101"/>
      <c r="E204" s="101"/>
      <c r="F204" s="101"/>
      <c r="G204" s="101"/>
    </row>
    <row r="205" customFormat="false" ht="15" hidden="false" customHeight="true" outlineLevel="0" collapsed="false">
      <c r="A205" s="88" t="s">
        <v>588</v>
      </c>
      <c r="B205" s="103" t="s">
        <v>78</v>
      </c>
      <c r="C205" s="103"/>
      <c r="D205" s="103"/>
      <c r="E205" s="103"/>
      <c r="F205" s="103"/>
      <c r="G205" s="103"/>
    </row>
    <row r="206" customFormat="false" ht="14.25" hidden="false" customHeight="false" outlineLevel="0" collapsed="false">
      <c r="A206" s="89" t="s">
        <v>589</v>
      </c>
      <c r="B206" s="99" t="n">
        <f aca="false">C61</f>
        <v>0.1</v>
      </c>
      <c r="C206" s="105"/>
      <c r="D206" s="105"/>
      <c r="E206" s="105"/>
      <c r="F206" s="105"/>
      <c r="G206" s="105"/>
    </row>
    <row r="207" customFormat="false" ht="14.25" hidden="false" customHeight="false" outlineLevel="0" collapsed="false">
      <c r="A207" s="89" t="s">
        <v>590</v>
      </c>
      <c r="B207" s="99" t="n">
        <f aca="false">WACC!$B$10</f>
        <v>0.3</v>
      </c>
      <c r="C207" s="105"/>
      <c r="D207" s="105"/>
      <c r="E207" s="105"/>
      <c r="F207" s="105"/>
      <c r="G207" s="105"/>
    </row>
    <row r="208" customFormat="false" ht="14.25" hidden="false" customHeight="false" outlineLevel="0" collapsed="false">
      <c r="A208" s="89" t="s">
        <v>591</v>
      </c>
      <c r="B208" s="99" t="n">
        <f aca="false">B206*(1-B207)</f>
        <v>0.07</v>
      </c>
      <c r="C208" s="105"/>
      <c r="D208" s="105"/>
      <c r="E208" s="105"/>
      <c r="F208" s="105"/>
      <c r="G208" s="105"/>
    </row>
    <row r="209" customFormat="false" ht="14.25" hidden="false" customHeight="false" outlineLevel="0" collapsed="false">
      <c r="A209" s="89" t="s">
        <v>592</v>
      </c>
      <c r="B209" s="100" t="n">
        <f aca="false">B91+B92</f>
        <v>23618</v>
      </c>
      <c r="C209" s="105"/>
      <c r="D209" s="105"/>
      <c r="E209" s="105"/>
      <c r="F209" s="105"/>
      <c r="G209" s="105"/>
    </row>
    <row r="210" customFormat="false" ht="14.25" hidden="false" customHeight="false" outlineLevel="0" collapsed="false">
      <c r="A210" s="89" t="s">
        <v>197</v>
      </c>
      <c r="B210" s="99" t="n">
        <f aca="false">WACC!B5</f>
        <v>0.09517</v>
      </c>
      <c r="C210" s="105"/>
      <c r="D210" s="105"/>
      <c r="E210" s="105"/>
      <c r="F210" s="105"/>
      <c r="G210" s="105"/>
    </row>
    <row r="211" customFormat="false" ht="14.25" hidden="false" customHeight="false" outlineLevel="0" collapsed="false">
      <c r="A211" s="89" t="s">
        <v>593</v>
      </c>
      <c r="B211" s="99" t="n">
        <f aca="false">WACC!B8</f>
        <v>0.0423</v>
      </c>
      <c r="C211" s="105"/>
      <c r="D211" s="105"/>
      <c r="E211" s="105"/>
      <c r="F211" s="105"/>
      <c r="G211" s="105"/>
    </row>
    <row r="212" customFormat="false" ht="14.25" hidden="false" customHeight="false" outlineLevel="0" collapsed="false">
      <c r="A212" s="89" t="s">
        <v>594</v>
      </c>
      <c r="B212" s="113" t="n">
        <f aca="false">WACC!B9</f>
        <v>0.170520815748403</v>
      </c>
      <c r="C212" s="105"/>
      <c r="D212" s="105"/>
      <c r="E212" s="105"/>
      <c r="F212" s="105"/>
      <c r="G212" s="105"/>
    </row>
    <row r="213" customFormat="false" ht="14.25" hidden="false" customHeight="false" outlineLevel="0" collapsed="false">
      <c r="A213" s="88" t="s">
        <v>595</v>
      </c>
      <c r="B213" s="103" t="s">
        <v>596</v>
      </c>
      <c r="C213" s="103" t="s">
        <v>597</v>
      </c>
      <c r="D213" s="103" t="s">
        <v>213</v>
      </c>
      <c r="E213" s="103" t="s">
        <v>598</v>
      </c>
      <c r="F213" s="103" t="s">
        <v>599</v>
      </c>
      <c r="G213" s="103" t="s">
        <v>600</v>
      </c>
    </row>
    <row r="214" customFormat="false" ht="14.25" hidden="false" customHeight="false" outlineLevel="0" collapsed="false">
      <c r="A214" s="89" t="s">
        <v>601</v>
      </c>
      <c r="B214" s="99" t="n">
        <f aca="false">WACC!B33</f>
        <v>0.100630184051038</v>
      </c>
      <c r="C214" s="100" t="n">
        <f aca="false" t="array" ref="C214:C214">SUMPRODUCT($C$117:$G$117,1/(1+B214)^$C$118:$G$118)+$B$127*(1+$B$123)/(B214-$B$123)/(1+B214)^$G$118-$B$144</f>
        <v>65552.8037920425</v>
      </c>
      <c r="D214" s="107" t="n">
        <f aca="false">$B$209/C214</f>
        <v>0.360289699810934</v>
      </c>
      <c r="E214" s="107" t="n">
        <f aca="false">$B$212*(1+(1-$B$207)*D214)</f>
        <v>0.213526641210658</v>
      </c>
      <c r="F214" s="99" t="n">
        <f aca="false">$B$210+E214*$B$211</f>
        <v>0.104202176923211</v>
      </c>
      <c r="G214" s="99" t="n">
        <f aca="false">C214/(C214+$B$209)*F214+$B$209/(C214+$B$209)*$B$208</f>
        <v>0.0951433036124324</v>
      </c>
    </row>
    <row r="215" customFormat="false" ht="14.25" hidden="false" customHeight="false" outlineLevel="0" collapsed="false">
      <c r="A215" s="89" t="n">
        <v>1</v>
      </c>
      <c r="B215" s="99" t="n">
        <f aca="false">G214</f>
        <v>0.0951433036124324</v>
      </c>
      <c r="C215" s="100" t="n">
        <f aca="false" t="array" ref="C215:C215">SUMPRODUCT($C$117:$G$117,1/(1+B215)^$C$118:$G$118)+$B$127*(1+$B$123)/(B215-$B$123)/(1+B215)^$G$118-$B$144</f>
        <v>72623.5581022153</v>
      </c>
      <c r="D215" s="107" t="n">
        <f aca="false">$B$209/C215</f>
        <v>0.325211276026416</v>
      </c>
      <c r="E215" s="107" t="n">
        <f aca="false">$B$212*(1+(1-$B$207)*D215)</f>
        <v>0.209339520203425</v>
      </c>
      <c r="F215" s="99" t="n">
        <f aca="false">$B$210+E215*$B$211</f>
        <v>0.104025061704605</v>
      </c>
      <c r="G215" s="99" t="n">
        <f aca="false">C215/(C215+$B$209)*F215+$B$209/(C215+$B$209)*$B$208</f>
        <v>0.0956751978496798</v>
      </c>
    </row>
    <row r="216" customFormat="false" ht="14.25" hidden="false" customHeight="false" outlineLevel="0" collapsed="false">
      <c r="A216" s="89" t="n">
        <v>2</v>
      </c>
      <c r="B216" s="99" t="n">
        <f aca="false">G215</f>
        <v>0.0956751978496798</v>
      </c>
      <c r="C216" s="100" t="n">
        <f aca="false" t="array" ref="C216:C216">SUMPRODUCT($C$117:$G$117,1/(1+B216)^$C$118:$G$118)+$B$127*(1+$B$123)/(B216-$B$123)/(1+B216)^$G$118-$B$144</f>
        <v>71882.4527069998</v>
      </c>
      <c r="D216" s="107" t="n">
        <f aca="false">$B$209/C216</f>
        <v>0.3285641921022</v>
      </c>
      <c r="E216" s="107" t="n">
        <f aca="false">$B$212*(1+(1-$B$207)*D216)</f>
        <v>0.20973973959249</v>
      </c>
      <c r="F216" s="99" t="n">
        <f aca="false">$B$210+E216*$B$211</f>
        <v>0.104041990984762</v>
      </c>
      <c r="G216" s="99" t="n">
        <f aca="false">C216/(C216+$B$209)*F216+$B$209/(C216+$B$209)*$B$208</f>
        <v>0.0956231435312865</v>
      </c>
    </row>
    <row r="217" customFormat="false" ht="14.25" hidden="false" customHeight="false" outlineLevel="0" collapsed="false">
      <c r="A217" s="89" t="n">
        <v>3</v>
      </c>
      <c r="B217" s="99" t="n">
        <f aca="false">G216</f>
        <v>0.0956231435312865</v>
      </c>
      <c r="C217" s="100" t="n">
        <f aca="false" t="array" ref="C217:C217">SUMPRODUCT($C$117:$G$117,1/(1+B217)^$C$118:$G$118)+$B$127*(1+$B$123)/(B217-$B$123)/(1+B217)^$G$118-$B$144</f>
        <v>71954.410504547</v>
      </c>
      <c r="D217" s="107" t="n">
        <f aca="false">$B$209/C217</f>
        <v>0.328235612443903</v>
      </c>
      <c r="E217" s="107" t="n">
        <f aca="false">$B$212*(1+(1-$B$207)*D217)</f>
        <v>0.209700518822531</v>
      </c>
      <c r="F217" s="99" t="n">
        <f aca="false">$B$210+E217*$B$211</f>
        <v>0.104040331946193</v>
      </c>
      <c r="G217" s="99" t="n">
        <f aca="false">C217/(C217+$B$209)*F217+$B$209/(C217+$B$209)*$B$208</f>
        <v>0.0956282331442387</v>
      </c>
    </row>
    <row r="218" customFormat="false" ht="14.25" hidden="false" customHeight="false" outlineLevel="0" collapsed="false">
      <c r="A218" s="89" t="n">
        <v>4</v>
      </c>
      <c r="B218" s="99" t="n">
        <f aca="false">G217</f>
        <v>0.0956282331442387</v>
      </c>
      <c r="C218" s="100" t="n">
        <f aca="false" t="array" ref="C218:C218">SUMPRODUCT($C$117:$G$117,1/(1+B218)^$C$118:$G$118)+$B$127*(1+$B$123)/(B218-$B$123)/(1+B218)^$G$118-$B$144</f>
        <v>71947.3694059349</v>
      </c>
      <c r="D218" s="107" t="n">
        <f aca="false">$B$209/C218</f>
        <v>0.32826773508208</v>
      </c>
      <c r="E218" s="107" t="n">
        <f aca="false">$B$212*(1+(1-$B$207)*D218)</f>
        <v>0.209704353127457</v>
      </c>
      <c r="F218" s="99" t="n">
        <f aca="false">$B$210+E218*$B$211</f>
        <v>0.104040494137291</v>
      </c>
      <c r="G218" s="99" t="n">
        <f aca="false">C218/(C218+$B$209)*F218+$B$209/(C218+$B$209)*$B$208</f>
        <v>0.0956277354619232</v>
      </c>
    </row>
    <row r="219" customFormat="false" ht="14.25" hidden="false" customHeight="false" outlineLevel="0" collapsed="false">
      <c r="A219" s="89" t="n">
        <v>5</v>
      </c>
      <c r="B219" s="99" t="n">
        <f aca="false">G218</f>
        <v>0.0956277354619232</v>
      </c>
      <c r="C219" s="100" t="n">
        <f aca="false" t="array" ref="C219:C219">SUMPRODUCT($C$117:$G$117,1/(1+B219)^$C$118:$G$118)+$B$127*(1+$B$123)/(B219-$B$123)/(1+B219)^$G$118-$B$144</f>
        <v>71948.0578602907</v>
      </c>
      <c r="D219" s="107" t="n">
        <f aca="false">$B$209/C219</f>
        <v>0.328264593963907</v>
      </c>
      <c r="E219" s="107" t="n">
        <f aca="false">$B$212*(1+(1-$B$207)*D219)</f>
        <v>0.209703978189233</v>
      </c>
      <c r="F219" s="99" t="n">
        <f aca="false">$B$210+E219*$B$211</f>
        <v>0.104040478277405</v>
      </c>
      <c r="G219" s="99" t="n">
        <f aca="false">C219/(C219+$B$209)*F219+$B$209/(C219+$B$209)*$B$208</f>
        <v>0.0956277841268195</v>
      </c>
    </row>
    <row r="220" customFormat="false" ht="14.25" hidden="false" customHeight="false" outlineLevel="0" collapsed="false">
      <c r="A220" s="88" t="s">
        <v>602</v>
      </c>
      <c r="B220" s="111" t="n">
        <f aca="false">G219</f>
        <v>0.0956277841268195</v>
      </c>
      <c r="C220" s="103"/>
      <c r="D220" s="103"/>
      <c r="E220" s="103"/>
      <c r="F220" s="103"/>
      <c r="G220" s="103"/>
    </row>
    <row r="221" customFormat="false" ht="14.25" hidden="false" customHeight="false" outlineLevel="0" collapsed="false">
      <c r="A221" s="88" t="s">
        <v>603</v>
      </c>
      <c r="B221" s="111" t="n">
        <f aca="false">F219</f>
        <v>0.104040478277405</v>
      </c>
      <c r="C221" s="103"/>
      <c r="D221" s="103"/>
      <c r="E221" s="103"/>
      <c r="F221" s="103"/>
      <c r="G221" s="103"/>
    </row>
    <row r="222" customFormat="false" ht="14.25" hidden="false" customHeight="false" outlineLevel="0" collapsed="false">
      <c r="A222" s="89" t="s">
        <v>604</v>
      </c>
      <c r="B222" s="113" t="n">
        <f aca="false">(G219-G218)*10000</f>
        <v>0.00048664896321049</v>
      </c>
      <c r="C222" s="106"/>
      <c r="D222" s="106"/>
      <c r="E222" s="106"/>
      <c r="F222" s="106"/>
      <c r="G222" s="106"/>
    </row>
    <row r="223" customFormat="false" ht="14.25" hidden="false" customHeight="false" outlineLevel="0" collapsed="false">
      <c r="A223" s="114"/>
      <c r="B223" s="114"/>
      <c r="C223" s="114"/>
      <c r="D223" s="114"/>
      <c r="E223" s="114"/>
      <c r="F223" s="114"/>
      <c r="G223" s="114"/>
    </row>
    <row r="224" customFormat="false" ht="14.25" hidden="false" customHeight="false" outlineLevel="0" collapsed="false">
      <c r="A224" s="114"/>
      <c r="B224" s="114"/>
      <c r="C224" s="114"/>
      <c r="D224" s="114"/>
      <c r="E224" s="114"/>
      <c r="F224" s="114"/>
      <c r="G224" s="114"/>
    </row>
    <row r="225" customFormat="false" ht="14.25" hidden="false" customHeight="false" outlineLevel="0" collapsed="false">
      <c r="A225" s="88" t="s">
        <v>605</v>
      </c>
      <c r="B225" s="103" t="s">
        <v>1</v>
      </c>
      <c r="C225" s="103" t="s">
        <v>2</v>
      </c>
      <c r="D225" s="103" t="s">
        <v>3</v>
      </c>
      <c r="E225" s="103" t="s">
        <v>4</v>
      </c>
      <c r="F225" s="103"/>
      <c r="G225" s="103"/>
    </row>
    <row r="226" customFormat="false" ht="14.25" hidden="false" customHeight="false" outlineLevel="0" collapsed="false">
      <c r="A226" s="89" t="s">
        <v>210</v>
      </c>
      <c r="B226" s="100" t="n">
        <f aca="false">WACC!B18</f>
        <v>60264</v>
      </c>
      <c r="C226" s="100" t="n">
        <f aca="false">WACC!C18</f>
        <v>813622.604529617</v>
      </c>
      <c r="D226" s="100" t="n">
        <f aca="false">WACC!D18</f>
        <v>89246.0254200776</v>
      </c>
      <c r="E226" s="100" t="n">
        <f aca="false">WACC!E18</f>
        <v>34190</v>
      </c>
      <c r="F226" s="106"/>
      <c r="G226" s="106"/>
    </row>
    <row r="227" customFormat="false" ht="14.25" hidden="false" customHeight="false" outlineLevel="0" collapsed="false">
      <c r="A227" s="89" t="s">
        <v>606</v>
      </c>
      <c r="B227" s="100" t="n">
        <f aca="false">WACC!B21</f>
        <v>23618</v>
      </c>
      <c r="C227" s="100" t="n">
        <f aca="false">WACC!C21</f>
        <v>80848.1</v>
      </c>
      <c r="D227" s="100" t="n">
        <f aca="false">WACC!D21</f>
        <v>56744.34</v>
      </c>
      <c r="E227" s="100" t="n">
        <f aca="false">WACC!E21</f>
        <v>2441.8</v>
      </c>
      <c r="F227" s="106"/>
      <c r="G227" s="106"/>
    </row>
    <row r="228" customFormat="false" ht="14.25" hidden="false" customHeight="false" outlineLevel="0" collapsed="false">
      <c r="A228" s="89" t="s">
        <v>607</v>
      </c>
      <c r="B228" s="100" t="n">
        <f aca="false">-WACC!B22</f>
        <v>-9295</v>
      </c>
      <c r="C228" s="100" t="n">
        <f aca="false">-WACC!C22</f>
        <v>-28591.2</v>
      </c>
      <c r="D228" s="100" t="n">
        <f aca="false">-WACC!D22</f>
        <v>-14640.16</v>
      </c>
      <c r="E228" s="100" t="n">
        <f aca="false">-WACC!E22</f>
        <v>-2962.8</v>
      </c>
      <c r="F228" s="106"/>
      <c r="G228" s="106"/>
    </row>
    <row r="229" customFormat="false" ht="14.25" hidden="false" customHeight="false" outlineLevel="0" collapsed="false">
      <c r="A229" s="89" t="s">
        <v>608</v>
      </c>
      <c r="B229" s="100" t="n">
        <f aca="false">SUM(B226:B228)</f>
        <v>74587</v>
      </c>
      <c r="C229" s="100" t="n">
        <f aca="false">SUM(C226:C228)</f>
        <v>865879.504529617</v>
      </c>
      <c r="D229" s="100" t="n">
        <f aca="false">SUM(D226:D228)</f>
        <v>131350.205420078</v>
      </c>
      <c r="E229" s="100" t="n">
        <f aca="false">SUM(E226:E228)</f>
        <v>33669</v>
      </c>
      <c r="F229" s="106"/>
      <c r="G229" s="106"/>
    </row>
    <row r="230" customFormat="false" ht="14.25" hidden="false" customHeight="false" outlineLevel="0" collapsed="false">
      <c r="A230" s="89" t="s">
        <v>609</v>
      </c>
      <c r="B230" s="100" t="n">
        <f aca="false">Datos!G9+Datos!G14</f>
        <v>11894</v>
      </c>
      <c r="C230" s="100" t="n">
        <f aca="false">Datos!G35+Datos!G40</f>
        <v>103446.9</v>
      </c>
      <c r="D230" s="100" t="n">
        <f aca="false">Datos!G61+Datos!G66</f>
        <v>24391.15</v>
      </c>
      <c r="E230" s="100" t="n">
        <f aca="false">Datos!G87+Datos!G92</f>
        <v>5214.81481788325</v>
      </c>
      <c r="F230" s="106"/>
      <c r="G230" s="106"/>
    </row>
    <row r="231" customFormat="false" ht="14.25" hidden="false" customHeight="false" outlineLevel="0" collapsed="false">
      <c r="A231" s="88" t="s">
        <v>610</v>
      </c>
      <c r="B231" s="115" t="n">
        <f aca="false">B229/B230</f>
        <v>6.27097696317471</v>
      </c>
      <c r="C231" s="115" t="n">
        <f aca="false">C229/C230</f>
        <v>8.37027986850855</v>
      </c>
      <c r="D231" s="115" t="n">
        <f aca="false">D229/D230</f>
        <v>5.38515836358997</v>
      </c>
      <c r="E231" s="115" t="n">
        <f aca="false">E229/E230</f>
        <v>6.45641334847373</v>
      </c>
      <c r="F231" s="116"/>
      <c r="G231" s="116"/>
    </row>
    <row r="232" customFormat="false" ht="14.25" hidden="false" customHeight="false" outlineLevel="0" collapsed="false">
      <c r="A232" s="89" t="s">
        <v>611</v>
      </c>
      <c r="B232" s="117" t="n">
        <f aca="false">MEDIAN(C231:E231)</f>
        <v>6.45641334847373</v>
      </c>
      <c r="C232" s="105"/>
      <c r="D232" s="105"/>
      <c r="E232" s="105"/>
      <c r="F232" s="105"/>
      <c r="G232" s="105"/>
    </row>
    <row r="233" customFormat="false" ht="14.25" hidden="false" customHeight="false" outlineLevel="0" collapsed="false">
      <c r="A233" s="89" t="s">
        <v>612</v>
      </c>
      <c r="B233" s="99" t="n">
        <v>0.1</v>
      </c>
      <c r="C233" s="105"/>
      <c r="D233" s="105"/>
      <c r="E233" s="105"/>
      <c r="F233" s="105"/>
      <c r="G233" s="105"/>
    </row>
    <row r="234" customFormat="false" ht="14.25" hidden="false" customHeight="false" outlineLevel="0" collapsed="false">
      <c r="A234" s="89" t="s">
        <v>613</v>
      </c>
      <c r="B234" s="117" t="n">
        <f aca="false">B232*(1-B233)</f>
        <v>5.81077201362635</v>
      </c>
      <c r="C234" s="105"/>
      <c r="D234" s="105"/>
      <c r="E234" s="105"/>
      <c r="F234" s="105"/>
      <c r="G234" s="105"/>
    </row>
    <row r="235" customFormat="false" ht="14.25" hidden="false" customHeight="false" outlineLevel="0" collapsed="false">
      <c r="A235" s="89" t="s">
        <v>614</v>
      </c>
      <c r="B235" s="100" t="n">
        <f aca="false">G71</f>
        <v>13298.6521891934</v>
      </c>
      <c r="C235" s="105"/>
      <c r="D235" s="105"/>
      <c r="E235" s="105"/>
      <c r="F235" s="105"/>
      <c r="G235" s="105"/>
    </row>
    <row r="236" customFormat="false" ht="14.25" hidden="false" customHeight="false" outlineLevel="0" collapsed="false">
      <c r="A236" s="88" t="s">
        <v>615</v>
      </c>
      <c r="B236" s="104" t="n">
        <f aca="false">B234*B235</f>
        <v>77275.4359599157</v>
      </c>
      <c r="C236" s="105"/>
      <c r="D236" s="105"/>
      <c r="E236" s="105"/>
      <c r="F236" s="105"/>
      <c r="G236" s="105"/>
    </row>
    <row r="237" customFormat="false" ht="14.25" hidden="false" customHeight="false" outlineLevel="0" collapsed="false">
      <c r="A237" s="89" t="s">
        <v>616</v>
      </c>
      <c r="B237" s="100" t="n">
        <f aca="false">B236*G119</f>
        <v>48947.0225397703</v>
      </c>
      <c r="C237" s="105"/>
      <c r="D237" s="105"/>
      <c r="E237" s="105"/>
      <c r="F237" s="105"/>
      <c r="G237" s="105"/>
    </row>
    <row r="238" customFormat="false" ht="14.25" hidden="false" customHeight="false" outlineLevel="0" collapsed="false">
      <c r="A238" s="88" t="s">
        <v>617</v>
      </c>
      <c r="B238" s="104" t="n">
        <f aca="false">B134+B237</f>
        <v>72494.40379601</v>
      </c>
      <c r="C238" s="105"/>
      <c r="D238" s="105"/>
      <c r="E238" s="105"/>
      <c r="F238" s="105"/>
      <c r="G238" s="105"/>
    </row>
    <row r="239" customFormat="false" ht="14.25" hidden="false" customHeight="false" outlineLevel="0" collapsed="false">
      <c r="A239" s="89" t="s">
        <v>618</v>
      </c>
      <c r="B239" s="100" t="n">
        <f aca="false">B238-B144</f>
        <v>58171.40379601</v>
      </c>
      <c r="C239" s="105"/>
      <c r="D239" s="105"/>
      <c r="E239" s="105"/>
      <c r="F239" s="105"/>
      <c r="G239" s="105"/>
    </row>
    <row r="240" customFormat="false" ht="14.25" hidden="false" customHeight="false" outlineLevel="0" collapsed="false">
      <c r="A240" s="88" t="s">
        <v>619</v>
      </c>
      <c r="B240" s="109" t="n">
        <f aca="false">B239/B149</f>
        <v>32.3174465533389</v>
      </c>
      <c r="C240" s="105"/>
      <c r="D240" s="105"/>
      <c r="E240" s="105"/>
      <c r="F240" s="105"/>
      <c r="G240" s="105"/>
    </row>
    <row r="241" customFormat="false" ht="14.25" hidden="false" customHeight="false" outlineLevel="0" collapsed="false">
      <c r="A241" s="89" t="s">
        <v>620</v>
      </c>
      <c r="B241" s="117" t="n">
        <f aca="false">B129/G71</f>
        <v>7.44626689247961</v>
      </c>
      <c r="C241" s="105"/>
      <c r="D241" s="105"/>
      <c r="E241" s="105"/>
      <c r="F241" s="105"/>
      <c r="G241" s="105"/>
    </row>
    <row r="242" customFormat="false" ht="14.25" hidden="false" customHeight="false" outlineLevel="0" collapsed="false">
      <c r="A242" s="89" t="s">
        <v>621</v>
      </c>
      <c r="B242" s="99" t="n">
        <f aca="false">(B236*B126-B127)/(B236+B127)</f>
        <v>0.0191272410371974</v>
      </c>
      <c r="C242" s="105"/>
      <c r="D242" s="105"/>
      <c r="E242" s="105"/>
      <c r="F242" s="105"/>
      <c r="G242" s="105"/>
    </row>
    <row r="243" customFormat="false" ht="14.25" hidden="false" customHeight="false" outlineLevel="0" collapsed="false">
      <c r="A243" s="89" t="s">
        <v>622</v>
      </c>
      <c r="B243" s="99" t="n">
        <v>0.5</v>
      </c>
      <c r="C243" s="105"/>
      <c r="D243" s="105"/>
      <c r="E243" s="105"/>
      <c r="F243" s="105"/>
      <c r="G243" s="105"/>
    </row>
    <row r="244" customFormat="false" ht="14.25" hidden="false" customHeight="false" outlineLevel="0" collapsed="false">
      <c r="A244" s="89" t="s">
        <v>623</v>
      </c>
      <c r="B244" s="99" t="n">
        <f aca="false">1-B243</f>
        <v>0.5</v>
      </c>
      <c r="C244" s="105"/>
      <c r="D244" s="105"/>
      <c r="E244" s="105"/>
      <c r="F244" s="105"/>
      <c r="G244" s="105"/>
    </row>
    <row r="245" customFormat="false" ht="14.25" hidden="false" customHeight="false" outlineLevel="0" collapsed="false">
      <c r="A245" s="89" t="s">
        <v>624</v>
      </c>
      <c r="B245" s="100" t="n">
        <f aca="false">B243*B136+B244*B238</f>
        <v>79382.6971683179</v>
      </c>
      <c r="C245" s="105"/>
      <c r="D245" s="105"/>
      <c r="E245" s="105"/>
      <c r="F245" s="105"/>
      <c r="G245" s="105"/>
    </row>
    <row r="246" customFormat="false" ht="14.25" hidden="false" customHeight="false" outlineLevel="0" collapsed="false">
      <c r="A246" s="88" t="s">
        <v>625</v>
      </c>
      <c r="B246" s="109" t="n">
        <f aca="false">B243*B150+B244*B240</f>
        <v>36.144276204621</v>
      </c>
      <c r="C246" s="105"/>
      <c r="D246" s="105"/>
      <c r="E246" s="105"/>
      <c r="F246" s="105"/>
      <c r="G246" s="105"/>
    </row>
    <row r="247" customFormat="false" ht="14.25" hidden="false" customHeight="false" outlineLevel="0" collapsed="false">
      <c r="A247" s="114"/>
      <c r="B247" s="114"/>
      <c r="C247" s="114"/>
      <c r="D247" s="114"/>
      <c r="E247" s="114"/>
      <c r="F247" s="114"/>
      <c r="G247" s="114"/>
    </row>
    <row r="248" customFormat="false" ht="14.25" hidden="false" customHeight="false" outlineLevel="0" collapsed="false">
      <c r="A248" s="114"/>
      <c r="B248" s="114"/>
      <c r="C248" s="114"/>
      <c r="D248" s="114"/>
      <c r="E248" s="114"/>
      <c r="F248" s="114"/>
      <c r="G248" s="114"/>
    </row>
    <row r="249" customFormat="false" ht="14.25" hidden="false" customHeight="false" outlineLevel="0" collapsed="false">
      <c r="A249" s="88" t="s">
        <v>626</v>
      </c>
      <c r="B249" s="103" t="s">
        <v>78</v>
      </c>
      <c r="C249" s="103"/>
      <c r="D249" s="103"/>
      <c r="E249" s="103"/>
      <c r="F249" s="103"/>
      <c r="G249" s="103"/>
    </row>
    <row r="250" customFormat="false" ht="14.25" hidden="false" customHeight="false" outlineLevel="0" collapsed="false">
      <c r="A250" s="89" t="s">
        <v>627</v>
      </c>
      <c r="B250" s="118" t="n">
        <f aca="false">DATE(2025,12,31)</f>
        <v>46022</v>
      </c>
      <c r="C250" s="105"/>
      <c r="D250" s="105"/>
      <c r="E250" s="105"/>
      <c r="F250" s="105"/>
      <c r="G250" s="105"/>
    </row>
    <row r="251" customFormat="false" ht="14.25" hidden="false" customHeight="false" outlineLevel="0" collapsed="false">
      <c r="A251" s="89" t="s">
        <v>628</v>
      </c>
      <c r="B251" s="118" t="n">
        <f aca="false">DATE(2026,6,30)</f>
        <v>46203</v>
      </c>
      <c r="C251" s="105"/>
      <c r="D251" s="105"/>
      <c r="E251" s="105"/>
      <c r="F251" s="105"/>
      <c r="G251" s="105"/>
    </row>
    <row r="252" customFormat="false" ht="14.25" hidden="false" customHeight="false" outlineLevel="0" collapsed="false">
      <c r="A252" s="89" t="s">
        <v>629</v>
      </c>
      <c r="B252" s="118" t="n">
        <f aca="false">DATE(2026,10,1)</f>
        <v>46296</v>
      </c>
      <c r="C252" s="105"/>
      <c r="D252" s="105"/>
      <c r="E252" s="105"/>
      <c r="F252" s="105"/>
      <c r="G252" s="105"/>
    </row>
    <row r="253" customFormat="false" ht="14.25" hidden="false" customHeight="false" outlineLevel="0" collapsed="false">
      <c r="A253" s="89" t="s">
        <v>630</v>
      </c>
      <c r="B253" s="113" t="n">
        <f aca="false">YEARFRAC(B250,B251)</f>
        <v>0.5</v>
      </c>
      <c r="C253" s="105"/>
      <c r="D253" s="105"/>
      <c r="E253" s="105"/>
      <c r="F253" s="105"/>
      <c r="G253" s="105"/>
    </row>
    <row r="254" customFormat="false" ht="14.25" hidden="false" customHeight="false" outlineLevel="0" collapsed="false">
      <c r="A254" s="89" t="s">
        <v>631</v>
      </c>
      <c r="B254" s="113" t="n">
        <f aca="false">YEARFRAC(B251,B252)</f>
        <v>0.252777777777778</v>
      </c>
      <c r="C254" s="105"/>
      <c r="D254" s="105"/>
      <c r="E254" s="105"/>
      <c r="F254" s="105"/>
      <c r="G254" s="105"/>
    </row>
    <row r="255" customFormat="false" ht="14.25" hidden="false" customHeight="false" outlineLevel="0" collapsed="false">
      <c r="A255" s="89" t="s">
        <v>632</v>
      </c>
      <c r="B255" s="100" t="n">
        <f aca="false">B245</f>
        <v>79382.6971683179</v>
      </c>
      <c r="C255" s="105"/>
      <c r="D255" s="105"/>
      <c r="E255" s="105"/>
      <c r="F255" s="105"/>
      <c r="G255" s="105"/>
    </row>
    <row r="256" customFormat="false" ht="14.25" hidden="false" customHeight="false" outlineLevel="0" collapsed="false">
      <c r="A256" s="89" t="s">
        <v>633</v>
      </c>
      <c r="B256" s="100" t="n">
        <f aca="false">B255*(1+B126)^B253</f>
        <v>83091.6473540494</v>
      </c>
      <c r="C256" s="105"/>
      <c r="D256" s="105"/>
      <c r="E256" s="105"/>
      <c r="F256" s="105"/>
      <c r="G256" s="105"/>
    </row>
    <row r="257" customFormat="false" ht="14.25" hidden="false" customHeight="false" outlineLevel="0" collapsed="false">
      <c r="A257" s="89" t="s">
        <v>634</v>
      </c>
      <c r="B257" s="100" t="n">
        <f aca="false">-((Datos!E15+Datos!F15)-(Datos!E16+Datos!F16))</f>
        <v>1060.497</v>
      </c>
      <c r="C257" s="105"/>
      <c r="D257" s="105"/>
      <c r="E257" s="105"/>
      <c r="F257" s="105"/>
      <c r="G257" s="105"/>
    </row>
    <row r="258" customFormat="false" ht="14.25" hidden="false" customHeight="false" outlineLevel="0" collapsed="false">
      <c r="A258" s="89" t="s">
        <v>635</v>
      </c>
      <c r="B258" s="100" t="n">
        <f aca="false">B256+B257</f>
        <v>84152.1443540494</v>
      </c>
      <c r="C258" s="105"/>
      <c r="D258" s="105"/>
      <c r="E258" s="105"/>
      <c r="F258" s="105"/>
      <c r="G258" s="105"/>
    </row>
    <row r="259" customFormat="false" ht="14.25" hidden="false" customHeight="false" outlineLevel="0" collapsed="false">
      <c r="A259" s="89" t="s">
        <v>636</v>
      </c>
      <c r="B259" s="100" t="n">
        <f aca="false">-(Datos!F25+Datos!F26)</f>
        <v>-11500</v>
      </c>
      <c r="C259" s="105"/>
      <c r="D259" s="105"/>
      <c r="E259" s="105"/>
      <c r="F259" s="105"/>
      <c r="G259" s="105"/>
    </row>
    <row r="260" customFormat="false" ht="14.25" hidden="false" customHeight="false" outlineLevel="0" collapsed="false">
      <c r="A260" s="89" t="s">
        <v>637</v>
      </c>
      <c r="B260" s="100" t="n">
        <f aca="false">-(Datos!F27+Datos!F28)</f>
        <v>-12220.588</v>
      </c>
      <c r="C260" s="105"/>
      <c r="D260" s="105"/>
      <c r="E260" s="105"/>
      <c r="F260" s="105"/>
      <c r="G260" s="105"/>
    </row>
    <row r="261" customFormat="false" ht="14.25" hidden="false" customHeight="false" outlineLevel="0" collapsed="false">
      <c r="A261" s="89" t="s">
        <v>638</v>
      </c>
      <c r="B261" s="100" t="n">
        <f aca="false">Datos!F17</f>
        <v>6875.384</v>
      </c>
      <c r="C261" s="105"/>
      <c r="D261" s="105"/>
      <c r="E261" s="105"/>
      <c r="F261" s="105"/>
      <c r="G261" s="105"/>
    </row>
    <row r="262" customFormat="false" ht="14.25" hidden="false" customHeight="false" outlineLevel="0" collapsed="false">
      <c r="A262" s="88" t="s">
        <v>639</v>
      </c>
      <c r="B262" s="104" t="n">
        <f aca="false">SUM(B258:B261)</f>
        <v>67306.9403540494</v>
      </c>
      <c r="C262" s="105"/>
      <c r="D262" s="105"/>
      <c r="E262" s="105"/>
      <c r="F262" s="105"/>
      <c r="G262" s="105"/>
    </row>
    <row r="263" customFormat="false" ht="14.25" hidden="false" customHeight="false" outlineLevel="0" collapsed="false">
      <c r="A263" s="88" t="s">
        <v>640</v>
      </c>
      <c r="B263" s="104" t="n">
        <f aca="false">B262*(1+B221)^B254</f>
        <v>69012.1409597606</v>
      </c>
      <c r="C263" s="105"/>
      <c r="D263" s="105"/>
      <c r="E263" s="105"/>
      <c r="F263" s="105"/>
      <c r="G263" s="105"/>
    </row>
    <row r="264" customFormat="false" ht="14.25" hidden="false" customHeight="false" outlineLevel="0" collapsed="false">
      <c r="A264" s="89" t="s">
        <v>57</v>
      </c>
      <c r="B264" s="108" t="n">
        <f aca="false">B149</f>
        <v>1800</v>
      </c>
      <c r="C264" s="105"/>
      <c r="D264" s="105"/>
      <c r="E264" s="105"/>
      <c r="F264" s="105"/>
      <c r="G264" s="105"/>
    </row>
    <row r="265" customFormat="false" ht="14.25" hidden="false" customHeight="false" outlineLevel="0" collapsed="false">
      <c r="A265" s="88" t="s">
        <v>641</v>
      </c>
      <c r="B265" s="109" t="n">
        <f aca="false">B263/B264</f>
        <v>38.3400783109781</v>
      </c>
      <c r="C265" s="105"/>
      <c r="D265" s="105"/>
      <c r="E265" s="105"/>
      <c r="F265" s="105"/>
      <c r="G265" s="105"/>
    </row>
    <row r="266" customFormat="false" ht="14.25" hidden="false" customHeight="false" outlineLevel="0" collapsed="false">
      <c r="A266" s="89" t="s">
        <v>16</v>
      </c>
      <c r="B266" s="110" t="n">
        <f aca="false">B151</f>
        <v>33.48</v>
      </c>
      <c r="C266" s="105"/>
      <c r="D266" s="105"/>
      <c r="E266" s="105"/>
      <c r="F266" s="105"/>
      <c r="G266" s="105"/>
    </row>
    <row r="267" customFormat="false" ht="14.25" hidden="false" customHeight="false" outlineLevel="0" collapsed="false">
      <c r="A267" s="89" t="s">
        <v>17</v>
      </c>
      <c r="B267" s="98" t="n">
        <f aca="false">B265/B266-1</f>
        <v>0.145163629360159</v>
      </c>
      <c r="C267" s="105"/>
      <c r="D267" s="105"/>
      <c r="E267" s="105"/>
      <c r="F267" s="105"/>
      <c r="G267" s="105"/>
    </row>
    <row r="268" customFormat="false" ht="14.25" hidden="false" customHeight="false" outlineLevel="0" collapsed="false">
      <c r="A268" s="88" t="s">
        <v>642</v>
      </c>
      <c r="B268" s="111" t="str">
        <f aca="false">IF(B267&gt;B155,"COMPRAR",IF(B267&lt;-B155,"VENDER","MANTENER"))</f>
        <v>MANTENER</v>
      </c>
      <c r="C268" s="105"/>
      <c r="D268" s="105"/>
      <c r="E268" s="105"/>
      <c r="F268" s="105"/>
      <c r="G268" s="105"/>
    </row>
    <row r="269" customFormat="false" ht="14.25" hidden="false" customHeight="false" outlineLevel="0" collapsed="false">
      <c r="A269" s="89" t="s">
        <v>18</v>
      </c>
      <c r="B269" s="110" t="n">
        <f aca="false">Generales!B24</f>
        <v>23.357</v>
      </c>
      <c r="C269" s="105"/>
      <c r="D269" s="105"/>
      <c r="E269" s="105"/>
      <c r="F269" s="105"/>
      <c r="G269" s="105"/>
    </row>
    <row r="270" customFormat="false" ht="14.25" hidden="false" customHeight="false" outlineLevel="0" collapsed="false">
      <c r="A270" s="89" t="s">
        <v>643</v>
      </c>
      <c r="B270" s="98" t="n">
        <f aca="false">B265/B269-1</f>
        <v>0.641481282312717</v>
      </c>
      <c r="C270" s="105"/>
      <c r="D270" s="105"/>
      <c r="E270" s="105"/>
      <c r="F270" s="105"/>
      <c r="G270" s="105"/>
    </row>
    <row r="273" customFormat="false" ht="14.25" hidden="false" customHeight="false" outlineLevel="0" collapsed="false">
      <c r="A273" s="119" t="s">
        <v>644</v>
      </c>
    </row>
    <row r="274" customFormat="false" ht="14.25" hidden="false" customHeight="false" outlineLevel="0" collapsed="false">
      <c r="A274" s="0" t="s">
        <v>531</v>
      </c>
      <c r="B274" s="120" t="n">
        <f aca="false">$B$123+(0-2)*$B$161</f>
        <v>0.025</v>
      </c>
      <c r="C274" s="120" t="n">
        <f aca="false">$B$123+(1-2)*$B$161</f>
        <v>0.03</v>
      </c>
      <c r="D274" s="120" t="n">
        <f aca="false">$B$123+(2-2)*$B$161</f>
        <v>0.035</v>
      </c>
      <c r="E274" s="120" t="n">
        <f aca="false">$B$123+(3-2)*$B$161</f>
        <v>0.04</v>
      </c>
      <c r="F274" s="120" t="n">
        <f aca="false">$B$123+(4-2)*$B$161</f>
        <v>0.045</v>
      </c>
    </row>
    <row r="275" customFormat="false" ht="14.25" hidden="false" customHeight="false" outlineLevel="0" collapsed="false">
      <c r="A275" s="120" t="n">
        <f aca="false">$B$126+(0-2)*$B$161</f>
        <v>0.0856277841268195</v>
      </c>
      <c r="B275" s="121" t="n">
        <f aca="false">(($B$243*(SUMPRODUCT($C$117:$G$117,1/(1+$A275)^$C$118:$G$118)+$B$127*(1+B$274)/($A275-B$274)/(1+$A275)^$G$118)+$B$244*(SUMPRODUCT($C$117:$G$117,1/(1+$A275)^$C$118:$G$118)+$B$234*$G$71/(1+$A275)^$G$118))*(1+$A275)^$B$253+$B$257+$B$259+$B$260+$B$261)*(1+$B$221)^$B$254/$B$264</f>
        <v>39.8689044782261</v>
      </c>
      <c r="C275" s="121" t="n">
        <f aca="false">(($B$243*(SUMPRODUCT($C$117:$G$117,1/(1+$A275)^$C$118:$G$118)+$B$127*(1+C$274)/($A275-C$274)/(1+$A275)^$G$118)+$B$244*(SUMPRODUCT($C$117:$G$117,1/(1+$A275)^$C$118:$G$118)+$B$234*$G$71/(1+$A275)^$G$118))*(1+$A275)^$B$253+$B$257+$B$259+$B$260+$B$261)*(1+$B$221)^$B$254/$B$264</f>
        <v>41.7061362519603</v>
      </c>
      <c r="D275" s="121" t="n">
        <f aca="false">(($B$243*(SUMPRODUCT($C$117:$G$117,1/(1+$A275)^$C$118:$G$118)+$B$127*(1+D$274)/($A275-D$274)/(1+$A275)^$G$118)+$B$244*(SUMPRODUCT($C$117:$G$117,1/(1+$A275)^$C$118:$G$118)+$B$234*$G$71/(1+$A275)^$G$118))*(1+$A275)^$B$253+$B$257+$B$259+$B$260+$B$261)*(1+$B$221)^$B$254/$B$264</f>
        <v>43.9062580485191</v>
      </c>
      <c r="E275" s="121" t="n">
        <f aca="false">(($B$243*(SUMPRODUCT($C$117:$G$117,1/(1+$A275)^$C$118:$G$118)+$B$127*(1+E$274)/($A275-E$274)/(1+$A275)^$G$118)+$B$244*(SUMPRODUCT($C$117:$G$117,1/(1+$A275)^$C$118:$G$118)+$B$234*$G$71/(1+$A275)^$G$118))*(1+$A275)^$B$253+$B$257+$B$259+$B$260+$B$261)*(1+$B$221)^$B$254/$B$264</f>
        <v>46.5885688969162</v>
      </c>
      <c r="F275" s="121" t="n">
        <f aca="false">(($B$243*(SUMPRODUCT($C$117:$G$117,1/(1+$A275)^$C$118:$G$118)+$B$127*(1+F$274)/($A275-F$274)/(1+$A275)^$G$118)+$B$244*(SUMPRODUCT($C$117:$G$117,1/(1+$A275)^$C$118:$G$118)+$B$234*$G$71/(1+$A275)^$G$118))*(1+$A275)^$B$253+$B$257+$B$259+$B$260+$B$261)*(1+$B$221)^$B$254/$B$264</f>
        <v>49.9310956310785</v>
      </c>
    </row>
    <row r="276" customFormat="false" ht="14.25" hidden="false" customHeight="false" outlineLevel="0" collapsed="false">
      <c r="A276" s="120" t="n">
        <f aca="false">$B$126+(1-2)*$B$161</f>
        <v>0.0906277841268195</v>
      </c>
      <c r="B276" s="121" t="n">
        <f aca="false">(($B$243*(SUMPRODUCT($C$117:$G$117,1/(1+$A276)^$C$118:$G$118)+$B$127*(1+B$274)/($A276-B$274)/(1+$A276)^$G$118)+$B$244*(SUMPRODUCT($C$117:$G$117,1/(1+$A276)^$C$118:$G$118)+$B$234*$G$71/(1+$A276)^$G$118))*(1+$A276)^$B$253+$B$257+$B$259+$B$260+$B$261)*(1+$B$221)^$B$254/$B$264</f>
        <v>37.5636113649666</v>
      </c>
      <c r="C276" s="121" t="n">
        <f aca="false">(($B$243*(SUMPRODUCT($C$117:$G$117,1/(1+$A276)^$C$118:$G$118)+$B$127*(1+C$274)/($A276-C$274)/(1+$A276)^$G$118)+$B$244*(SUMPRODUCT($C$117:$G$117,1/(1+$A276)^$C$118:$G$118)+$B$234*$G$71/(1+$A276)^$G$118))*(1+$A276)^$B$253+$B$257+$B$259+$B$260+$B$261)*(1+$B$221)^$B$254/$B$264</f>
        <v>39.09605087388</v>
      </c>
      <c r="D276" s="121" t="n">
        <f aca="false">(($B$243*(SUMPRODUCT($C$117:$G$117,1/(1+$A276)^$C$118:$G$118)+$B$127*(1+D$274)/($A276-D$274)/(1+$A276)^$G$118)+$B$244*(SUMPRODUCT($C$117:$G$117,1/(1+$A276)^$C$118:$G$118)+$B$234*$G$71/(1+$A276)^$G$118))*(1+$A276)^$B$253+$B$257+$B$259+$B$260+$B$261)*(1+$B$221)^$B$254/$B$264</f>
        <v>40.9039713376737</v>
      </c>
      <c r="E276" s="121" t="n">
        <f aca="false">(($B$243*(SUMPRODUCT($C$117:$G$117,1/(1+$A276)^$C$118:$G$118)+$B$127*(1+E$274)/($A276-E$274)/(1+$A276)^$G$118)+$B$244*(SUMPRODUCT($C$117:$G$117,1/(1+$A276)^$C$118:$G$118)+$B$234*$G$71/(1+$A276)^$G$118))*(1+$A276)^$B$253+$B$257+$B$259+$B$260+$B$261)*(1+$B$221)^$B$254/$B$264</f>
        <v>43.0689922543067</v>
      </c>
      <c r="F276" s="121" t="n">
        <f aca="false">(($B$243*(SUMPRODUCT($C$117:$G$117,1/(1+$A276)^$C$118:$G$118)+$B$127*(1+F$274)/($A276-F$274)/(1+$A276)^$G$118)+$B$244*(SUMPRODUCT($C$117:$G$117,1/(1+$A276)^$C$118:$G$118)+$B$234*$G$71/(1+$A276)^$G$118))*(1+$A276)^$B$253+$B$257+$B$259+$B$260+$B$261)*(1+$B$221)^$B$254/$B$264</f>
        <v>45.7085093486668</v>
      </c>
    </row>
    <row r="277" customFormat="false" ht="14.25" hidden="false" customHeight="false" outlineLevel="0" collapsed="false">
      <c r="A277" s="120" t="n">
        <f aca="false">$B$126+(2-2)*$B$161</f>
        <v>0.0956277841268195</v>
      </c>
      <c r="B277" s="121" t="n">
        <f aca="false">(($B$243*(SUMPRODUCT($C$117:$G$117,1/(1+$A277)^$C$118:$G$118)+$B$127*(1+B$274)/($A277-B$274)/(1+$A277)^$G$118)+$B$244*(SUMPRODUCT($C$117:$G$117,1/(1+$A277)^$C$118:$G$118)+$B$234*$G$71/(1+$A277)^$G$118))*(1+$A277)^$B$253+$B$257+$B$259+$B$260+$B$261)*(1+$B$221)^$B$254/$B$264</f>
        <v>35.5374028126272</v>
      </c>
      <c r="C277" s="121" t="n">
        <f aca="false">(($B$243*(SUMPRODUCT($C$117:$G$117,1/(1+$A277)^$C$118:$G$118)+$B$127*(1+C$274)/($A277-C$274)/(1+$A277)^$G$118)+$B$244*(SUMPRODUCT($C$117:$G$117,1/(1+$A277)^$C$118:$G$118)+$B$234*$G$71/(1+$A277)^$G$118))*(1+$A277)^$B$253+$B$257+$B$259+$B$260+$B$261)*(1+$B$221)^$B$254/$B$264</f>
        <v>36.8319765008321</v>
      </c>
      <c r="D277" s="121" t="n">
        <f aca="false">(($B$243*(SUMPRODUCT($C$117:$G$117,1/(1+$A277)^$C$118:$G$118)+$B$127*(1+D$274)/($A277-D$274)/(1+$A277)^$G$118)+$B$244*(SUMPRODUCT($C$117:$G$117,1/(1+$A277)^$C$118:$G$118)+$B$234*$G$71/(1+$A277)^$G$118))*(1+$A277)^$B$253+$B$257+$B$259+$B$260+$B$261)*(1+$B$221)^$B$254/$B$264</f>
        <v>38.3400783109781</v>
      </c>
      <c r="E277" s="121" t="n">
        <f aca="false">(($B$243*(SUMPRODUCT($C$117:$G$117,1/(1+$A277)^$C$118:$G$118)+$B$127*(1+E$274)/($A277-E$274)/(1+$A277)^$G$118)+$B$244*(SUMPRODUCT($C$117:$G$117,1/(1+$A277)^$C$118:$G$118)+$B$234*$G$71/(1+$A277)^$G$118))*(1+$A277)^$B$253+$B$257+$B$259+$B$260+$B$261)*(1+$B$221)^$B$254/$B$264</f>
        <v>40.1192859783533</v>
      </c>
      <c r="F277" s="121" t="n">
        <f aca="false">(($B$243*(SUMPRODUCT($C$117:$G$117,1/(1+$A277)^$C$118:$G$118)+$B$127*(1+F$274)/($A277-F$274)/(1+$A277)^$G$118)+$B$244*(SUMPRODUCT($C$117:$G$117,1/(1+$A277)^$C$118:$G$118)+$B$234*$G$71/(1+$A277)^$G$118))*(1+$A277)^$B$253+$B$257+$B$259+$B$260+$B$261)*(1+$B$221)^$B$254/$B$264</f>
        <v>42.2499227469743</v>
      </c>
    </row>
    <row r="278" customFormat="false" ht="14.25" hidden="false" customHeight="false" outlineLevel="0" collapsed="false">
      <c r="A278" s="120" t="n">
        <f aca="false">$B$126+(3-2)*$B$161</f>
        <v>0.10062778412682</v>
      </c>
      <c r="B278" s="121" t="n">
        <f aca="false">(($B$243*(SUMPRODUCT($C$117:$G$117,1/(1+$A278)^$C$118:$G$118)+$B$127*(1+B$274)/($A278-B$274)/(1+$A278)^$G$118)+$B$244*(SUMPRODUCT($C$117:$G$117,1/(1+$A278)^$C$118:$G$118)+$B$234*$G$71/(1+$A278)^$G$118))*(1+$A278)^$B$253+$B$257+$B$259+$B$260+$B$261)*(1+$B$221)^$B$254/$B$264</f>
        <v>33.7365334061119</v>
      </c>
      <c r="C278" s="121" t="n">
        <f aca="false">(($B$243*(SUMPRODUCT($C$117:$G$117,1/(1+$A278)^$C$118:$G$118)+$B$127*(1+C$274)/($A278-C$274)/(1+$A278)^$G$118)+$B$244*(SUMPRODUCT($C$117:$G$117,1/(1+$A278)^$C$118:$G$118)+$B$234*$G$71/(1+$A278)^$G$118))*(1+$A278)^$B$253+$B$257+$B$259+$B$260+$B$261)*(1+$B$221)^$B$254/$B$264</f>
        <v>34.8421692731812</v>
      </c>
      <c r="D278" s="121" t="n">
        <f aca="false">(($B$243*(SUMPRODUCT($C$117:$G$117,1/(1+$A278)^$C$118:$G$118)+$B$127*(1+D$274)/($A278-D$274)/(1+$A278)^$G$118)+$B$244*(SUMPRODUCT($C$117:$G$117,1/(1+$A278)^$C$118:$G$118)+$B$234*$G$71/(1+$A278)^$G$118))*(1+$A278)^$B$253+$B$257+$B$259+$B$260+$B$261)*(1+$B$221)^$B$254/$B$264</f>
        <v>36.1162758393272</v>
      </c>
      <c r="E278" s="121" t="n">
        <f aca="false">(($B$243*(SUMPRODUCT($C$117:$G$117,1/(1+$A278)^$C$118:$G$118)+$B$127*(1+E$274)/($A278-E$274)/(1+$A278)^$G$118)+$B$244*(SUMPRODUCT($C$117:$G$117,1/(1+$A278)^$C$118:$G$118)+$B$234*$G$71/(1+$A278)^$G$118))*(1+$A278)^$B$253+$B$257+$B$259+$B$260+$B$261)*(1+$B$221)^$B$254/$B$264</f>
        <v>37.6005346623132</v>
      </c>
      <c r="F278" s="121" t="n">
        <f aca="false">(($B$243*(SUMPRODUCT($C$117:$G$117,1/(1+$A278)^$C$118:$G$118)+$B$127*(1+F$274)/($A278-F$274)/(1+$A278)^$G$118)+$B$244*(SUMPRODUCT($C$117:$G$117,1/(1+$A278)^$C$118:$G$118)+$B$234*$G$71/(1+$A278)^$G$118))*(1+$A278)^$B$253+$B$257+$B$259+$B$260+$B$261)*(1+$B$221)^$B$254/$B$264</f>
        <v>39.3516131773441</v>
      </c>
    </row>
    <row r="279" customFormat="false" ht="14.25" hidden="false" customHeight="false" outlineLevel="0" collapsed="false">
      <c r="A279" s="120" t="n">
        <f aca="false">$B$126+(4-2)*$B$161</f>
        <v>0.10562778412682</v>
      </c>
      <c r="B279" s="121" t="n">
        <f aca="false">(($B$243*(SUMPRODUCT($C$117:$G$117,1/(1+$A279)^$C$118:$G$118)+$B$127*(1+B$274)/($A279-B$274)/(1+$A279)^$G$118)+$B$244*(SUMPRODUCT($C$117:$G$117,1/(1+$A279)^$C$118:$G$118)+$B$234*$G$71/(1+$A279)^$G$118))*(1+$A279)^$B$253+$B$257+$B$259+$B$260+$B$261)*(1+$B$221)^$B$254/$B$264</f>
        <v>32.1205313788558</v>
      </c>
      <c r="C279" s="121" t="n">
        <f aca="false">(($B$243*(SUMPRODUCT($C$117:$G$117,1/(1+$A279)^$C$118:$G$118)+$B$127*(1+C$274)/($A279-C$274)/(1+$A279)^$G$118)+$B$244*(SUMPRODUCT($C$117:$G$117,1/(1+$A279)^$C$118:$G$118)+$B$234*$G$71/(1+$A279)^$G$118))*(1+$A279)^$B$253+$B$257+$B$259+$B$260+$B$261)*(1+$B$221)^$B$254/$B$264</f>
        <v>33.0737956670992</v>
      </c>
      <c r="D279" s="121" t="n">
        <f aca="false">(($B$243*(SUMPRODUCT($C$117:$G$117,1/(1+$A279)^$C$118:$G$118)+$B$127*(1+D$274)/($A279-D$274)/(1+$A279)^$G$118)+$B$244*(SUMPRODUCT($C$117:$G$117,1/(1+$A279)^$C$118:$G$118)+$B$234*$G$71/(1+$A279)^$G$118))*(1+$A279)^$B$253+$B$257+$B$259+$B$260+$B$261)*(1+$B$221)^$B$254/$B$264</f>
        <v>34.16203010909</v>
      </c>
      <c r="E279" s="121" t="n">
        <f aca="false">(($B$243*(SUMPRODUCT($C$117:$G$117,1/(1+$A279)^$C$118:$G$118)+$B$127*(1+E$274)/($A279-E$274)/(1+$A279)^$G$118)+$B$244*(SUMPRODUCT($C$117:$G$117,1/(1+$A279)^$C$118:$G$118)+$B$234*$G$71/(1+$A279)^$G$118))*(1+$A279)^$B$253+$B$257+$B$259+$B$260+$B$261)*(1+$B$221)^$B$254/$B$264</f>
        <v>35.4160837169219</v>
      </c>
      <c r="F279" s="121" t="n">
        <f aca="false">(($B$243*(SUMPRODUCT($C$117:$G$117,1/(1+$A279)^$C$118:$G$118)+$B$127*(1+F$274)/($A279-F$274)/(1+$A279)^$G$118)+$B$244*(SUMPRODUCT($C$117:$G$117,1/(1+$A279)^$C$118:$G$118)+$B$234*$G$71/(1+$A279)^$G$118))*(1+$A279)^$B$253+$B$257+$B$259+$B$260+$B$261)*(1+$B$221)^$B$254/$B$264</f>
        <v>36.8769820290247</v>
      </c>
    </row>
    <row r="280" customFormat="false" ht="14.25" hidden="false" customHeight="false" outlineLevel="0" collapsed="false">
      <c r="A280" s="0" t="s">
        <v>645</v>
      </c>
      <c r="B280" s="0" t="n">
        <f aca="false">D277-B265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9"/>
  <sheetViews>
    <sheetView showFormulas="false" showGridLines="true" showRowColHeaders="true" showZeros="true" rightToLeft="false" tabSelected="false" showOutlineSymbols="true" defaultGridColor="true" view="normal" topLeftCell="A1" colorId="64" zoomScale="114" zoomScaleNormal="114" zoomScalePageLayoutView="100" workbookViewId="0">
      <selection pane="topLeft" activeCell="D47" activeCellId="0" sqref="D4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14"/>
    <col collapsed="false" customWidth="true" hidden="false" outlineLevel="0" max="2" min="2" style="0" width="14.44"/>
    <col collapsed="false" customWidth="true" hidden="false" outlineLevel="0" max="7" min="3" style="0" width="14"/>
    <col collapsed="false" customWidth="true" hidden="true" outlineLevel="0" max="8" min="8" style="0" width="62"/>
    <col collapsed="false" customWidth="true" hidden="false" outlineLevel="0" max="12" min="9" style="0" width="14"/>
  </cols>
  <sheetData>
    <row r="1" customFormat="false" ht="17.25" hidden="false" customHeight="true" outlineLevel="0" collapsed="false">
      <c r="A1" s="122"/>
    </row>
    <row r="2" customFormat="false" ht="14.25" hidden="false" customHeight="false" outlineLevel="0" collapsed="false">
      <c r="A2" s="123"/>
    </row>
    <row r="3" customFormat="false" ht="14.25" hidden="false" customHeight="false" outlineLevel="0" collapsed="false">
      <c r="A3" s="123"/>
    </row>
    <row r="5" customFormat="false" ht="14.25" hidden="false" customHeight="false" outlineLevel="0" collapsed="false">
      <c r="A5" s="124" t="s">
        <v>646</v>
      </c>
      <c r="B5" s="124"/>
      <c r="C5" s="124"/>
    </row>
    <row r="6" customFormat="false" ht="14.25" hidden="false" customHeight="false" outlineLevel="0" collapsed="false">
      <c r="A6" s="125" t="s">
        <v>647</v>
      </c>
      <c r="B6" s="125"/>
      <c r="C6" s="125"/>
      <c r="D6" s="125"/>
      <c r="E6" s="126" t="n">
        <v>2</v>
      </c>
      <c r="F6" s="127" t="str">
        <f aca="false">CHOOSE(E6+1,"Trayectoria Citi — Referencia","Cautela","Base","Alcista")</f>
        <v>Base</v>
      </c>
      <c r="H6" s="123" t="s">
        <v>648</v>
      </c>
    </row>
    <row r="8" customFormat="false" ht="14.25" hidden="false" customHeight="false" outlineLevel="0" collapsed="false">
      <c r="A8" s="128" t="s">
        <v>195</v>
      </c>
      <c r="B8" s="128" t="s">
        <v>234</v>
      </c>
      <c r="C8" s="128" t="s">
        <v>235</v>
      </c>
      <c r="D8" s="128" t="s">
        <v>236</v>
      </c>
      <c r="E8" s="128" t="s">
        <v>237</v>
      </c>
      <c r="F8" s="128" t="s">
        <v>238</v>
      </c>
      <c r="G8" s="129"/>
      <c r="H8" s="129" t="s">
        <v>649</v>
      </c>
    </row>
    <row r="9" customFormat="false" ht="57" hidden="false" customHeight="true" outlineLevel="0" collapsed="false">
      <c r="A9" s="130" t="s">
        <v>650</v>
      </c>
      <c r="B9" s="131" t="n">
        <v>0.0393</v>
      </c>
      <c r="C9" s="131" t="n">
        <v>0.0383</v>
      </c>
      <c r="D9" s="131" t="n">
        <v>0.0375</v>
      </c>
      <c r="E9" s="131" t="n">
        <v>0.0375</v>
      </c>
      <c r="F9" s="131" t="n">
        <v>0.0375</v>
      </c>
      <c r="H9" s="132" t="s">
        <v>651</v>
      </c>
    </row>
    <row r="10" customFormat="false" ht="28.5" hidden="false" customHeight="true" outlineLevel="0" collapsed="false">
      <c r="A10" s="130" t="s">
        <v>652</v>
      </c>
      <c r="B10" s="131" t="n">
        <f aca="false">$B$33</f>
        <v>0.0326</v>
      </c>
      <c r="C10" s="131" t="n">
        <f aca="false">$B$33</f>
        <v>0.0326</v>
      </c>
      <c r="D10" s="131" t="n">
        <f aca="false">$B$33</f>
        <v>0.0326</v>
      </c>
      <c r="E10" s="131" t="n">
        <f aca="false">$B$33</f>
        <v>0.0326</v>
      </c>
      <c r="F10" s="131" t="n">
        <f aca="false">$B$33</f>
        <v>0.0326</v>
      </c>
      <c r="H10" s="132" t="s">
        <v>653</v>
      </c>
    </row>
    <row r="11" customFormat="false" ht="28.5" hidden="false" customHeight="true" outlineLevel="0" collapsed="false">
      <c r="A11" s="130" t="s">
        <v>654</v>
      </c>
      <c r="B11" s="131" t="n">
        <f aca="false">$B$34</f>
        <v>0.0351</v>
      </c>
      <c r="C11" s="131" t="n">
        <f aca="false">$B$34</f>
        <v>0.0351</v>
      </c>
      <c r="D11" s="131" t="n">
        <f aca="false">$B$34</f>
        <v>0.0351</v>
      </c>
      <c r="E11" s="131" t="n">
        <f aca="false">$B$34</f>
        <v>0.0351</v>
      </c>
      <c r="F11" s="131" t="n">
        <f aca="false">$B$34</f>
        <v>0.0351</v>
      </c>
      <c r="H11" s="132" t="s">
        <v>655</v>
      </c>
    </row>
    <row r="12" customFormat="false" ht="14.25" hidden="false" customHeight="false" outlineLevel="0" collapsed="false">
      <c r="A12" s="130" t="s">
        <v>656</v>
      </c>
      <c r="B12" s="131" t="n">
        <f aca="false">$B$35</f>
        <v>0.04</v>
      </c>
      <c r="C12" s="131" t="n">
        <f aca="false">$B$35</f>
        <v>0.04</v>
      </c>
      <c r="D12" s="131" t="n">
        <f aca="false">$B$35</f>
        <v>0.04</v>
      </c>
      <c r="E12" s="131" t="n">
        <f aca="false">$B$35</f>
        <v>0.04</v>
      </c>
      <c r="F12" s="131" t="n">
        <f aca="false">$B$35</f>
        <v>0.04</v>
      </c>
      <c r="H12" s="132" t="s">
        <v>657</v>
      </c>
    </row>
    <row r="13" customFormat="false" ht="42.75" hidden="false" customHeight="true" outlineLevel="0" collapsed="false">
      <c r="A13" s="127" t="s">
        <v>658</v>
      </c>
      <c r="B13" s="133" t="n">
        <f aca="false">CHOOSE($E$6+1,B9,B10,B11,B12)</f>
        <v>0.0351</v>
      </c>
      <c r="C13" s="133" t="n">
        <f aca="false">CHOOSE($E$6+1,C9,C10,C11,C12)</f>
        <v>0.0351</v>
      </c>
      <c r="D13" s="133" t="n">
        <f aca="false">CHOOSE($E$6+1,D9,D10,D11,D12)</f>
        <v>0.0351</v>
      </c>
      <c r="E13" s="133" t="n">
        <f aca="false">CHOOSE($E$6+1,E9,E10,E11,E12)</f>
        <v>0.0351</v>
      </c>
      <c r="F13" s="133" t="n">
        <f aca="false">CHOOSE($E$6+1,F9,F10,F11,F12)</f>
        <v>0.0351</v>
      </c>
      <c r="H13" s="132" t="s">
        <v>659</v>
      </c>
    </row>
    <row r="17" customFormat="false" ht="15" hidden="false" customHeight="true" outlineLevel="0" collapsed="false"/>
    <row r="18" customFormat="false" ht="15" hidden="false" customHeight="true" outlineLevel="0" collapsed="false">
      <c r="A18" s="134" t="s">
        <v>660</v>
      </c>
    </row>
    <row r="19" customFormat="false" ht="15" hidden="false" customHeight="true" outlineLevel="0" collapsed="false">
      <c r="A19" s="135" t="s">
        <v>661</v>
      </c>
      <c r="B19" s="135" t="s">
        <v>340</v>
      </c>
      <c r="C19" s="135" t="s">
        <v>662</v>
      </c>
      <c r="D19" s="135" t="s">
        <v>663</v>
      </c>
      <c r="E19" s="135" t="s">
        <v>664</v>
      </c>
      <c r="F19" s="135" t="s">
        <v>665</v>
      </c>
      <c r="G19" s="135" t="s">
        <v>666</v>
      </c>
      <c r="H19" s="135" t="s">
        <v>667</v>
      </c>
      <c r="I19" s="130"/>
    </row>
    <row r="20" customFormat="false" ht="15" hidden="false" customHeight="true" outlineLevel="0" collapsed="false">
      <c r="A20" s="130" t="s">
        <v>668</v>
      </c>
      <c r="B20" s="130" t="n">
        <f aca="false">COUNT(B134:B158)</f>
        <v>25</v>
      </c>
      <c r="C20" s="136" t="n">
        <f aca="false">EXP(INTERCEPT(F134:F158,E134:E158))</f>
        <v>3.9951135108918</v>
      </c>
      <c r="D20" s="137" t="n">
        <f aca="false">SLOPE(F134:F158,E134:E158)</f>
        <v>-0.00504430315867582</v>
      </c>
      <c r="E20" s="138" t="n">
        <f aca="false">RSQ(F134:F158,E134:E158)</f>
        <v>0.103894520254771</v>
      </c>
      <c r="F20" s="130" t="n">
        <v>26</v>
      </c>
      <c r="G20" s="139" t="n">
        <f aca="false">C20*EXP(D20*F20)/100</f>
        <v>0.0350405233912861</v>
      </c>
      <c r="H20" s="140" t="s">
        <v>669</v>
      </c>
      <c r="I20" s="130"/>
    </row>
    <row r="21" customFormat="false" ht="27.75" hidden="false" customHeight="true" outlineLevel="0" collapsed="false">
      <c r="A21" s="130" t="s">
        <v>670</v>
      </c>
      <c r="B21" s="130" t="n">
        <f aca="false">COUNT(B26:E26)</f>
        <v>4</v>
      </c>
      <c r="C21" s="136" t="n">
        <f aca="false">EXP(INTERCEPT(B28:E28,B27:E27))</f>
        <v>4.03018985097207</v>
      </c>
      <c r="D21" s="137" t="n">
        <f aca="false">SLOPE(B28:E28,B27:E27)</f>
        <v>-0.0277127996736187</v>
      </c>
      <c r="E21" s="138" t="n">
        <f aca="false">RSQ(B28:E28,B27:E27)</f>
        <v>0.0920820961115119</v>
      </c>
      <c r="F21" s="130" t="n">
        <v>5</v>
      </c>
      <c r="G21" s="139" t="n">
        <f aca="false">C21*EXP(D21*F21)/100</f>
        <v>0.0350871363974646</v>
      </c>
      <c r="H21" s="140" t="s">
        <v>671</v>
      </c>
      <c r="I21" s="130"/>
    </row>
    <row r="22" customFormat="false" ht="15" hidden="false" customHeight="true" outlineLevel="0" collapsed="false">
      <c r="A22" s="130" t="s">
        <v>672</v>
      </c>
      <c r="B22" s="130" t="n">
        <f aca="false">COUNT(C70:C158)</f>
        <v>89</v>
      </c>
      <c r="C22" s="136" t="n">
        <f aca="false">EXP(INTERCEPT(D70:D158,C70:C158))</f>
        <v>5.88119939515127</v>
      </c>
      <c r="D22" s="137" t="n">
        <f aca="false">SLOPE(D70:D158,C70:C158)</f>
        <v>-0.00633371303632891</v>
      </c>
      <c r="E22" s="138" t="n">
        <f aca="false">RSQ(D70:D158,C70:C158)</f>
        <v>0.622648621233629</v>
      </c>
      <c r="F22" s="130" t="n">
        <v>90</v>
      </c>
      <c r="G22" s="139" t="n">
        <f aca="false">C22*EXP(D22*F22)/100</f>
        <v>0.0332585421076777</v>
      </c>
      <c r="H22" s="140" t="s">
        <v>673</v>
      </c>
      <c r="I22" s="130"/>
    </row>
    <row r="23" customFormat="false" ht="15" hidden="false" customHeight="true" outlineLevel="0" collapsed="false">
      <c r="A23" s="130" t="s">
        <v>674</v>
      </c>
      <c r="B23" s="130"/>
      <c r="C23" s="136" t="n">
        <v>5.8812</v>
      </c>
      <c r="D23" s="137" t="n">
        <v>-0.006</v>
      </c>
      <c r="E23" s="130"/>
      <c r="F23" s="130" t="n">
        <v>90</v>
      </c>
      <c r="G23" s="139" t="n">
        <f aca="false">C23*EXP(D23*F23)/100</f>
        <v>0.0342725902186191</v>
      </c>
      <c r="H23" s="140" t="s">
        <v>675</v>
      </c>
      <c r="I23" s="130"/>
    </row>
    <row r="24" customFormat="false" ht="15" hidden="false" customHeight="true" outlineLevel="0" collapsed="false">
      <c r="A24" s="130" t="s">
        <v>676</v>
      </c>
      <c r="B24" s="130"/>
      <c r="C24" s="130"/>
      <c r="D24" s="130"/>
      <c r="E24" s="130"/>
      <c r="F24" s="130"/>
      <c r="G24" s="139" t="n">
        <f aca="false">AVERAGE(B154:B158,G23*100)/100</f>
        <v>0.0326787650364365</v>
      </c>
      <c r="H24" s="140" t="s">
        <v>677</v>
      </c>
      <c r="I24" s="130"/>
    </row>
    <row r="25" customFormat="false" ht="27.75" hidden="false" customHeight="true" outlineLevel="0" collapsed="false"/>
    <row r="26" customFormat="false" ht="14.25" hidden="false" customHeight="false" outlineLevel="0" collapsed="false">
      <c r="A26" s="141" t="s">
        <v>678</v>
      </c>
      <c r="B26" s="136" t="n">
        <f aca="false">AVERAGE(B134:B139)</f>
        <v>3.70833333333333</v>
      </c>
      <c r="C26" s="136" t="n">
        <f aca="false">AVERAGE(B140:B145)</f>
        <v>3.83666666666667</v>
      </c>
      <c r="D26" s="136" t="n">
        <f aca="false">AVERAGE(B146:B151)</f>
        <v>4.32666666666667</v>
      </c>
      <c r="E26" s="136" t="n">
        <f aca="false">AVERAGE(B152:B157)</f>
        <v>3.24833333333333</v>
      </c>
    </row>
    <row r="27" customFormat="false" ht="14.25" hidden="false" customHeight="false" outlineLevel="0" collapsed="false">
      <c r="A27" s="130" t="s">
        <v>679</v>
      </c>
      <c r="B27" s="130" t="n">
        <v>1</v>
      </c>
      <c r="C27" s="130" t="n">
        <v>2</v>
      </c>
      <c r="D27" s="130" t="n">
        <v>3</v>
      </c>
      <c r="E27" s="130" t="n">
        <v>4</v>
      </c>
    </row>
    <row r="28" customFormat="false" ht="14.25" hidden="false" customHeight="false" outlineLevel="0" collapsed="false">
      <c r="A28" s="130" t="s">
        <v>680</v>
      </c>
      <c r="B28" s="142" t="n">
        <f aca="false">LN(B26)</f>
        <v>1.31058253938419</v>
      </c>
      <c r="C28" s="142" t="n">
        <f aca="false">LN(C26)</f>
        <v>1.34460393406568</v>
      </c>
      <c r="D28" s="142" t="n">
        <f aca="false">LN(D26)</f>
        <v>1.46479742260783</v>
      </c>
      <c r="E28" s="142" t="n">
        <f aca="false">LN(E26)</f>
        <v>1.17814204429141</v>
      </c>
    </row>
    <row r="31" customFormat="false" ht="14.25" hidden="false" customHeight="false" outlineLevel="0" collapsed="false">
      <c r="A31" s="141" t="s">
        <v>681</v>
      </c>
      <c r="B31" s="130"/>
      <c r="C31" s="130"/>
      <c r="D31" s="130"/>
      <c r="E31" s="130"/>
      <c r="F31" s="130"/>
      <c r="G31" s="130"/>
    </row>
    <row r="32" customFormat="false" ht="14.25" hidden="false" customHeight="false" outlineLevel="0" collapsed="false">
      <c r="A32" s="135" t="s">
        <v>682</v>
      </c>
      <c r="B32" s="135" t="s">
        <v>78</v>
      </c>
      <c r="C32" s="135" t="s">
        <v>683</v>
      </c>
      <c r="D32" s="135"/>
      <c r="E32" s="135"/>
      <c r="F32" s="135"/>
      <c r="G32" s="135"/>
      <c r="H32" s="143" t="s">
        <v>684</v>
      </c>
    </row>
    <row r="33" customFormat="false" ht="48" hidden="false" customHeight="true" outlineLevel="0" collapsed="false">
      <c r="A33" s="141" t="s">
        <v>685</v>
      </c>
      <c r="B33" s="131" t="n">
        <v>0.0326</v>
      </c>
      <c r="C33" s="140" t="s">
        <v>686</v>
      </c>
      <c r="D33" s="140"/>
      <c r="E33" s="140"/>
      <c r="F33" s="140"/>
      <c r="G33" s="140"/>
      <c r="H33" s="132" t="s">
        <v>687</v>
      </c>
    </row>
    <row r="34" customFormat="false" ht="42.75" hidden="false" customHeight="true" outlineLevel="0" collapsed="false">
      <c r="A34" s="141" t="s">
        <v>688</v>
      </c>
      <c r="B34" s="131" t="n">
        <f aca="false">ROUND(G21,4)</f>
        <v>0.0351</v>
      </c>
      <c r="C34" s="140" t="s">
        <v>689</v>
      </c>
      <c r="D34" s="140"/>
      <c r="E34" s="140"/>
      <c r="F34" s="140"/>
      <c r="G34" s="140"/>
      <c r="H34" s="132" t="s">
        <v>690</v>
      </c>
    </row>
    <row r="35" customFormat="false" ht="42.75" hidden="false" customHeight="true" outlineLevel="0" collapsed="false">
      <c r="A35" s="141" t="s">
        <v>691</v>
      </c>
      <c r="B35" s="131" t="n">
        <v>0.04</v>
      </c>
      <c r="C35" s="140" t="s">
        <v>692</v>
      </c>
      <c r="D35" s="140"/>
      <c r="E35" s="140"/>
      <c r="F35" s="140"/>
      <c r="G35" s="140"/>
      <c r="H35" s="132" t="s">
        <v>693</v>
      </c>
    </row>
    <row r="37" customFormat="false" ht="14.25" hidden="false" customHeight="false" outlineLevel="0" collapsed="false">
      <c r="A37" s="144"/>
    </row>
    <row r="44" customFormat="false" ht="14.25" hidden="false" customHeight="false" outlineLevel="0" collapsed="false">
      <c r="A44" s="141" t="s">
        <v>694</v>
      </c>
      <c r="B44" s="130"/>
    </row>
    <row r="45" customFormat="false" ht="48" hidden="false" customHeight="true" outlineLevel="0" collapsed="false">
      <c r="A45" s="135" t="s">
        <v>695</v>
      </c>
      <c r="B45" s="135" t="s">
        <v>696</v>
      </c>
      <c r="C45" s="143"/>
      <c r="D45" s="143"/>
      <c r="E45" s="143"/>
      <c r="F45" s="143"/>
      <c r="G45" s="143"/>
      <c r="H45" s="143"/>
    </row>
    <row r="46" customFormat="false" ht="48" hidden="false" customHeight="true" outlineLevel="0" collapsed="false">
      <c r="A46" s="145" t="n">
        <v>44562</v>
      </c>
      <c r="B46" s="146" t="n">
        <v>7.13</v>
      </c>
    </row>
    <row r="47" customFormat="false" ht="48" hidden="false" customHeight="true" outlineLevel="0" collapsed="false">
      <c r="A47" s="145" t="n">
        <v>44577</v>
      </c>
      <c r="B47" s="146" t="n">
        <v>7.01</v>
      </c>
    </row>
    <row r="48" customFormat="false" ht="14.25" hidden="false" customHeight="false" outlineLevel="0" collapsed="false">
      <c r="A48" s="145" t="n">
        <v>44593</v>
      </c>
      <c r="B48" s="146" t="n">
        <v>7.22</v>
      </c>
    </row>
    <row r="49" customFormat="false" ht="14.25" hidden="false" customHeight="false" outlineLevel="0" collapsed="false">
      <c r="A49" s="145" t="n">
        <v>44608</v>
      </c>
      <c r="B49" s="146" t="n">
        <v>7.34</v>
      </c>
    </row>
    <row r="50" customFormat="false" ht="14.25" hidden="false" customHeight="false" outlineLevel="0" collapsed="false">
      <c r="A50" s="145" t="n">
        <v>44621</v>
      </c>
      <c r="B50" s="146" t="n">
        <v>7.29</v>
      </c>
    </row>
    <row r="51" customFormat="false" ht="14.25" hidden="false" customHeight="false" outlineLevel="0" collapsed="false">
      <c r="A51" s="145" t="n">
        <v>44636</v>
      </c>
      <c r="B51" s="146" t="n">
        <v>7.62</v>
      </c>
    </row>
    <row r="52" customFormat="false" ht="14.25" hidden="false" customHeight="false" outlineLevel="0" collapsed="false">
      <c r="A52" s="145" t="n">
        <v>44652</v>
      </c>
      <c r="B52" s="146" t="n">
        <v>7.72</v>
      </c>
    </row>
    <row r="53" customFormat="false" ht="14.25" hidden="false" customHeight="false" outlineLevel="0" collapsed="false">
      <c r="A53" s="145" t="n">
        <v>44667</v>
      </c>
      <c r="B53" s="146" t="n">
        <v>7.65</v>
      </c>
    </row>
    <row r="54" customFormat="false" ht="14.25" hidden="false" customHeight="false" outlineLevel="0" collapsed="false">
      <c r="A54" s="145" t="n">
        <v>44682</v>
      </c>
      <c r="B54" s="146" t="n">
        <v>7.58</v>
      </c>
    </row>
    <row r="55" customFormat="false" ht="14.25" hidden="false" customHeight="false" outlineLevel="0" collapsed="false">
      <c r="A55" s="145" t="n">
        <v>44697</v>
      </c>
      <c r="B55" s="146" t="n">
        <v>7.72</v>
      </c>
    </row>
    <row r="56" customFormat="false" ht="14.25" hidden="true" customHeight="false" outlineLevel="0" collapsed="false">
      <c r="A56" s="147" t="n">
        <v>44713</v>
      </c>
      <c r="B56" s="148" t="n">
        <v>7.88</v>
      </c>
    </row>
    <row r="57" customFormat="false" ht="14.25" hidden="true" customHeight="false" outlineLevel="0" collapsed="false">
      <c r="A57" s="147" t="n">
        <v>44728</v>
      </c>
      <c r="B57" s="148" t="n">
        <v>8.09</v>
      </c>
    </row>
    <row r="58" customFormat="false" ht="14.25" hidden="true" customHeight="false" outlineLevel="0" collapsed="false">
      <c r="A58" s="147" t="n">
        <v>44743</v>
      </c>
      <c r="B58" s="148" t="n">
        <v>8.16</v>
      </c>
    </row>
    <row r="59" customFormat="false" ht="14.25" hidden="true" customHeight="false" outlineLevel="0" collapsed="false">
      <c r="A59" s="147" t="n">
        <v>44758</v>
      </c>
      <c r="B59" s="148" t="n">
        <v>8.14</v>
      </c>
    </row>
    <row r="60" customFormat="false" ht="14.25" hidden="true" customHeight="false" outlineLevel="0" collapsed="false">
      <c r="A60" s="147" t="n">
        <v>44774</v>
      </c>
      <c r="B60" s="148" t="n">
        <v>8.62</v>
      </c>
    </row>
    <row r="61" customFormat="false" ht="14.25" hidden="true" customHeight="false" outlineLevel="0" collapsed="false">
      <c r="A61" s="147" t="n">
        <v>44789</v>
      </c>
      <c r="B61" s="148" t="n">
        <v>8.77</v>
      </c>
    </row>
    <row r="62" customFormat="false" ht="14.25" hidden="true" customHeight="false" outlineLevel="0" collapsed="false">
      <c r="A62" s="147" t="n">
        <v>44805</v>
      </c>
      <c r="B62" s="148" t="n">
        <v>8.76</v>
      </c>
    </row>
    <row r="63" customFormat="false" ht="14.25" hidden="true" customHeight="false" outlineLevel="0" collapsed="false">
      <c r="A63" s="147" t="n">
        <v>44820</v>
      </c>
      <c r="B63" s="148" t="n">
        <v>8.64</v>
      </c>
    </row>
    <row r="64" customFormat="false" ht="14.25" hidden="true" customHeight="false" outlineLevel="0" collapsed="false">
      <c r="A64" s="147" t="n">
        <v>44835</v>
      </c>
      <c r="B64" s="148" t="n">
        <v>8.53</v>
      </c>
    </row>
    <row r="65" customFormat="false" ht="14.25" hidden="true" customHeight="false" outlineLevel="0" collapsed="false">
      <c r="A65" s="147" t="n">
        <v>44850</v>
      </c>
      <c r="B65" s="148" t="n">
        <v>8.28</v>
      </c>
    </row>
    <row r="66" customFormat="false" ht="14.25" hidden="true" customHeight="false" outlineLevel="0" collapsed="false">
      <c r="A66" s="147" t="n">
        <v>44866</v>
      </c>
      <c r="B66" s="148" t="n">
        <v>8.14</v>
      </c>
    </row>
    <row r="67" customFormat="false" ht="14.25" hidden="true" customHeight="false" outlineLevel="0" collapsed="false">
      <c r="A67" s="147" t="n">
        <v>44881</v>
      </c>
      <c r="B67" s="148" t="n">
        <v>7.46</v>
      </c>
    </row>
    <row r="68" customFormat="false" ht="14.25" hidden="true" customHeight="false" outlineLevel="0" collapsed="false">
      <c r="A68" s="147" t="n">
        <v>44896</v>
      </c>
      <c r="B68" s="148" t="n">
        <v>7.77</v>
      </c>
    </row>
    <row r="69" customFormat="false" ht="14.25" hidden="true" customHeight="false" outlineLevel="0" collapsed="false">
      <c r="A69" s="147" t="n">
        <v>44911</v>
      </c>
      <c r="B69" s="148" t="n">
        <v>7.86</v>
      </c>
    </row>
    <row r="70" customFormat="false" ht="14.25" hidden="true" customHeight="false" outlineLevel="0" collapsed="false">
      <c r="A70" s="147" t="n">
        <v>44927</v>
      </c>
      <c r="B70" s="148" t="n">
        <v>7.94</v>
      </c>
      <c r="C70" s="0" t="n">
        <v>1</v>
      </c>
      <c r="D70" s="149" t="n">
        <f aca="false">LN(B70)</f>
        <v>2.07191327525904</v>
      </c>
    </row>
    <row r="71" customFormat="false" ht="14.25" hidden="true" customHeight="false" outlineLevel="0" collapsed="false">
      <c r="A71" s="147" t="n">
        <v>44942</v>
      </c>
      <c r="B71" s="148" t="n">
        <v>7.88</v>
      </c>
      <c r="C71" s="0" t="n">
        <v>2</v>
      </c>
      <c r="D71" s="149" t="n">
        <f aca="false">LN(B71)</f>
        <v>2.06432790386979</v>
      </c>
    </row>
    <row r="72" customFormat="false" ht="14.25" hidden="true" customHeight="false" outlineLevel="0" collapsed="false">
      <c r="A72" s="147" t="n">
        <v>44958</v>
      </c>
      <c r="B72" s="148" t="n">
        <v>7.76</v>
      </c>
      <c r="C72" s="0" t="n">
        <v>3</v>
      </c>
      <c r="D72" s="149" t="n">
        <f aca="false">LN(B72)</f>
        <v>2.04898233419513</v>
      </c>
    </row>
    <row r="73" customFormat="false" ht="14.25" hidden="true" customHeight="false" outlineLevel="0" collapsed="false">
      <c r="A73" s="147" t="n">
        <v>44973</v>
      </c>
      <c r="B73" s="148" t="n">
        <v>7.48</v>
      </c>
      <c r="C73" s="0" t="n">
        <v>4</v>
      </c>
      <c r="D73" s="149" t="n">
        <f aca="false">LN(B73)</f>
        <v>2.01223279198639</v>
      </c>
    </row>
    <row r="74" customFormat="false" ht="14.25" hidden="true" customHeight="false" outlineLevel="0" collapsed="false">
      <c r="A74" s="147" t="n">
        <v>44986</v>
      </c>
      <c r="B74" s="148" t="n">
        <v>7.12</v>
      </c>
      <c r="C74" s="0" t="n">
        <v>5</v>
      </c>
      <c r="D74" s="149" t="n">
        <f aca="false">LN(B74)</f>
        <v>1.96290772542388</v>
      </c>
    </row>
    <row r="75" customFormat="false" ht="14.25" hidden="true" customHeight="false" outlineLevel="0" collapsed="false">
      <c r="A75" s="147" t="n">
        <v>45001</v>
      </c>
      <c r="B75" s="148" t="n">
        <v>6.58</v>
      </c>
      <c r="C75" s="0" t="n">
        <v>6</v>
      </c>
      <c r="D75" s="149" t="n">
        <f aca="false">LN(B75)</f>
        <v>1.88403474533723</v>
      </c>
    </row>
    <row r="76" customFormat="false" ht="14.25" hidden="true" customHeight="false" outlineLevel="0" collapsed="false">
      <c r="A76" s="147" t="n">
        <v>45017</v>
      </c>
      <c r="B76" s="148" t="n">
        <v>6.24</v>
      </c>
      <c r="C76" s="0" t="n">
        <v>7</v>
      </c>
      <c r="D76" s="149" t="n">
        <f aca="false">LN(B76)</f>
        <v>1.83098018238134</v>
      </c>
    </row>
    <row r="77" customFormat="false" ht="14.25" hidden="true" customHeight="false" outlineLevel="0" collapsed="false">
      <c r="A77" s="147" t="n">
        <v>45032</v>
      </c>
      <c r="B77" s="148" t="n">
        <v>6.27</v>
      </c>
      <c r="C77" s="0" t="n">
        <v>8</v>
      </c>
      <c r="D77" s="149" t="n">
        <f aca="false">LN(B77)</f>
        <v>1.83577635464483</v>
      </c>
    </row>
    <row r="78" customFormat="false" ht="14.25" hidden="true" customHeight="false" outlineLevel="0" collapsed="false">
      <c r="A78" s="147" t="n">
        <v>45047</v>
      </c>
      <c r="B78" s="148" t="n">
        <v>6</v>
      </c>
      <c r="C78" s="0" t="n">
        <v>9</v>
      </c>
      <c r="D78" s="149" t="n">
        <f aca="false">LN(B78)</f>
        <v>1.79175946922806</v>
      </c>
    </row>
    <row r="79" customFormat="false" ht="14.25" hidden="true" customHeight="false" outlineLevel="0" collapsed="false">
      <c r="A79" s="147" t="n">
        <v>45062</v>
      </c>
      <c r="B79" s="148" t="n">
        <v>5.67</v>
      </c>
      <c r="C79" s="0" t="n">
        <v>10</v>
      </c>
      <c r="D79" s="149" t="n">
        <f aca="false">LN(B79)</f>
        <v>1.73518911773966</v>
      </c>
    </row>
    <row r="80" customFormat="false" ht="14.25" hidden="true" customHeight="false" outlineLevel="0" collapsed="false">
      <c r="A80" s="147" t="n">
        <v>45078</v>
      </c>
      <c r="B80" s="148" t="n">
        <v>5.18</v>
      </c>
      <c r="C80" s="0" t="n">
        <v>11</v>
      </c>
      <c r="D80" s="149" t="n">
        <f aca="false">LN(B80)</f>
        <v>1.64480505627139</v>
      </c>
    </row>
    <row r="81" customFormat="false" ht="14.25" hidden="true" customHeight="false" outlineLevel="0" collapsed="false">
      <c r="A81" s="147" t="n">
        <v>45093</v>
      </c>
      <c r="B81" s="148" t="n">
        <v>4.93</v>
      </c>
      <c r="C81" s="0" t="n">
        <v>12</v>
      </c>
      <c r="D81" s="149" t="n">
        <f aca="false">LN(B81)</f>
        <v>1.5953389880546</v>
      </c>
    </row>
    <row r="82" customFormat="false" ht="14.25" hidden="true" customHeight="false" outlineLevel="0" collapsed="false">
      <c r="A82" s="147" t="n">
        <v>45108</v>
      </c>
      <c r="B82" s="148" t="n">
        <v>4.79</v>
      </c>
      <c r="C82" s="0" t="n">
        <v>13</v>
      </c>
      <c r="D82" s="149" t="n">
        <f aca="false">LN(B82)</f>
        <v>1.56653041142282</v>
      </c>
    </row>
    <row r="83" customFormat="false" ht="14.25" hidden="true" customHeight="false" outlineLevel="0" collapsed="false">
      <c r="A83" s="147" t="n">
        <v>45123</v>
      </c>
      <c r="B83" s="148" t="n">
        <v>4.78</v>
      </c>
      <c r="C83" s="0" t="n">
        <v>14</v>
      </c>
      <c r="D83" s="149" t="n">
        <f aca="false">LN(B83)</f>
        <v>1.56444054650336</v>
      </c>
    </row>
    <row r="84" customFormat="false" ht="14.25" hidden="true" customHeight="false" outlineLevel="0" collapsed="false">
      <c r="A84" s="147" t="n">
        <v>45139</v>
      </c>
      <c r="B84" s="148" t="n">
        <v>4.67</v>
      </c>
      <c r="C84" s="0" t="n">
        <v>15</v>
      </c>
      <c r="D84" s="149" t="n">
        <f aca="false">LN(B84)</f>
        <v>1.54115907168081</v>
      </c>
    </row>
    <row r="85" customFormat="false" ht="14.25" hidden="true" customHeight="false" outlineLevel="0" collapsed="false">
      <c r="A85" s="147" t="n">
        <v>45154</v>
      </c>
      <c r="B85" s="148" t="n">
        <v>4.6</v>
      </c>
      <c r="C85" s="0" t="n">
        <v>16</v>
      </c>
      <c r="D85" s="149" t="n">
        <f aca="false">LN(B85)</f>
        <v>1.52605630349505</v>
      </c>
    </row>
    <row r="86" customFormat="false" ht="14.25" hidden="true" customHeight="false" outlineLevel="0" collapsed="false">
      <c r="A86" s="147" t="n">
        <v>45170</v>
      </c>
      <c r="B86" s="148" t="n">
        <v>4.44</v>
      </c>
      <c r="C86" s="0" t="n">
        <v>17</v>
      </c>
      <c r="D86" s="149" t="n">
        <f aca="false">LN(B86)</f>
        <v>1.49065437644413</v>
      </c>
    </row>
    <row r="87" customFormat="false" ht="14.25" hidden="true" customHeight="false" outlineLevel="0" collapsed="false">
      <c r="A87" s="147" t="n">
        <v>45185</v>
      </c>
      <c r="B87" s="148" t="n">
        <v>4.47</v>
      </c>
      <c r="C87" s="0" t="n">
        <v>18</v>
      </c>
      <c r="D87" s="149" t="n">
        <f aca="false">LN(B87)</f>
        <v>1.49738840862548</v>
      </c>
    </row>
    <row r="88" customFormat="false" ht="14.25" hidden="true" customHeight="false" outlineLevel="0" collapsed="false">
      <c r="A88" s="147" t="n">
        <v>45200</v>
      </c>
      <c r="B88" s="148" t="n">
        <v>4.27</v>
      </c>
      <c r="C88" s="0" t="n">
        <v>19</v>
      </c>
      <c r="D88" s="149" t="n">
        <f aca="false">LN(B88)</f>
        <v>1.45161382724053</v>
      </c>
    </row>
    <row r="89" customFormat="false" ht="14.25" hidden="true" customHeight="false" outlineLevel="0" collapsed="false">
      <c r="A89" s="147" t="n">
        <v>45215</v>
      </c>
      <c r="B89" s="148" t="n">
        <v>4.25</v>
      </c>
      <c r="C89" s="0" t="n">
        <v>20</v>
      </c>
      <c r="D89" s="149" t="n">
        <f aca="false">LN(B89)</f>
        <v>1.44691898293633</v>
      </c>
    </row>
    <row r="90" customFormat="false" ht="14.25" hidden="true" customHeight="false" outlineLevel="0" collapsed="false">
      <c r="A90" s="147" t="n">
        <v>45231</v>
      </c>
      <c r="B90" s="148" t="n">
        <v>4.32</v>
      </c>
      <c r="C90" s="0" t="n">
        <v>21</v>
      </c>
      <c r="D90" s="149" t="n">
        <f aca="false">LN(B90)</f>
        <v>1.46325540225602</v>
      </c>
    </row>
    <row r="91" customFormat="false" ht="14.25" hidden="true" customHeight="false" outlineLevel="0" collapsed="false">
      <c r="A91" s="147" t="n">
        <v>45246</v>
      </c>
      <c r="B91" s="148" t="n">
        <v>4.33</v>
      </c>
      <c r="C91" s="0" t="n">
        <v>22</v>
      </c>
      <c r="D91" s="149" t="n">
        <f aca="false">LN(B91)</f>
        <v>1.4655675420144</v>
      </c>
    </row>
    <row r="92" customFormat="false" ht="14.25" hidden="true" customHeight="false" outlineLevel="0" collapsed="false">
      <c r="A92" s="147" t="n">
        <v>45261</v>
      </c>
      <c r="B92" s="148" t="n">
        <v>4.46</v>
      </c>
      <c r="C92" s="0" t="n">
        <v>23</v>
      </c>
      <c r="D92" s="149" t="n">
        <f aca="false">LN(B92)</f>
        <v>1.49514876603197</v>
      </c>
    </row>
    <row r="93" customFormat="false" ht="14.25" hidden="true" customHeight="false" outlineLevel="0" collapsed="false">
      <c r="A93" s="147" t="n">
        <v>45276</v>
      </c>
      <c r="B93" s="148" t="n">
        <v>4.86</v>
      </c>
      <c r="C93" s="0" t="n">
        <v>24</v>
      </c>
      <c r="D93" s="149" t="n">
        <f aca="false">LN(B93)</f>
        <v>1.5810384379124</v>
      </c>
    </row>
    <row r="94" customFormat="false" ht="14.25" hidden="true" customHeight="false" outlineLevel="0" collapsed="false">
      <c r="A94" s="147" t="n">
        <v>45292</v>
      </c>
      <c r="B94" s="148" t="n">
        <v>4.9</v>
      </c>
      <c r="C94" s="0" t="n">
        <v>25</v>
      </c>
      <c r="D94" s="149" t="n">
        <f aca="false">LN(B94)</f>
        <v>1.58923520511658</v>
      </c>
    </row>
    <row r="95" customFormat="false" ht="14.25" hidden="true" customHeight="false" outlineLevel="0" collapsed="false">
      <c r="A95" s="147" t="n">
        <v>45307</v>
      </c>
      <c r="B95" s="148" t="n">
        <v>4.87</v>
      </c>
      <c r="C95" s="0" t="n">
        <v>26</v>
      </c>
      <c r="D95" s="149" t="n">
        <f aca="false">LN(B95)</f>
        <v>1.5830939370945</v>
      </c>
    </row>
    <row r="96" customFormat="false" ht="14.25" hidden="true" customHeight="false" outlineLevel="0" collapsed="false">
      <c r="A96" s="147" t="n">
        <v>45323</v>
      </c>
      <c r="B96" s="148" t="n">
        <v>4.45</v>
      </c>
      <c r="C96" s="0" t="n">
        <v>27</v>
      </c>
      <c r="D96" s="149" t="n">
        <f aca="false">LN(B96)</f>
        <v>1.49290409617815</v>
      </c>
    </row>
    <row r="97" customFormat="false" ht="14.25" hidden="true" customHeight="false" outlineLevel="0" collapsed="false">
      <c r="A97" s="147" t="n">
        <v>45338</v>
      </c>
      <c r="B97" s="148" t="n">
        <v>4.35</v>
      </c>
      <c r="C97" s="0" t="n">
        <v>28</v>
      </c>
      <c r="D97" s="149" t="n">
        <f aca="false">LN(B97)</f>
        <v>1.47017584510059</v>
      </c>
    </row>
    <row r="98" customFormat="false" ht="14.25" hidden="true" customHeight="false" outlineLevel="0" collapsed="false">
      <c r="A98" s="147" t="n">
        <v>45352</v>
      </c>
      <c r="B98" s="148" t="n">
        <v>4.48</v>
      </c>
      <c r="C98" s="0" t="n">
        <v>29</v>
      </c>
      <c r="D98" s="149" t="n">
        <f aca="false">LN(B98)</f>
        <v>1.49962304642689</v>
      </c>
    </row>
    <row r="99" customFormat="false" ht="14.25" hidden="true" customHeight="false" outlineLevel="0" collapsed="false">
      <c r="A99" s="147" t="n">
        <v>45367</v>
      </c>
      <c r="B99" s="148" t="n">
        <v>4.37</v>
      </c>
      <c r="C99" s="0" t="n">
        <v>30</v>
      </c>
      <c r="D99" s="149" t="n">
        <f aca="false">LN(B99)</f>
        <v>1.4747630091075</v>
      </c>
    </row>
    <row r="100" customFormat="false" ht="14.25" hidden="true" customHeight="false" outlineLevel="0" collapsed="false">
      <c r="A100" s="147" t="n">
        <v>45383</v>
      </c>
      <c r="B100" s="148" t="n">
        <v>4.63</v>
      </c>
      <c r="C100" s="0" t="n">
        <v>31</v>
      </c>
      <c r="D100" s="149" t="n">
        <f aca="false">LN(B100)</f>
        <v>1.53255686809814</v>
      </c>
    </row>
    <row r="101" customFormat="false" ht="14.25" hidden="true" customHeight="false" outlineLevel="0" collapsed="false">
      <c r="A101" s="147" t="n">
        <v>45398</v>
      </c>
      <c r="B101" s="148" t="n">
        <v>4.67</v>
      </c>
      <c r="C101" s="0" t="n">
        <v>32</v>
      </c>
      <c r="D101" s="149" t="n">
        <f aca="false">LN(B101)</f>
        <v>1.54115907168081</v>
      </c>
    </row>
    <row r="102" customFormat="false" ht="14.25" hidden="true" customHeight="false" outlineLevel="0" collapsed="false">
      <c r="A102" s="147" t="n">
        <v>45413</v>
      </c>
      <c r="B102" s="148" t="n">
        <v>4.78</v>
      </c>
      <c r="C102" s="0" t="n">
        <v>33</v>
      </c>
      <c r="D102" s="149" t="n">
        <f aca="false">LN(B102)</f>
        <v>1.56444054650336</v>
      </c>
    </row>
    <row r="103" customFormat="false" ht="14.25" hidden="true" customHeight="false" outlineLevel="0" collapsed="false">
      <c r="A103" s="147" t="n">
        <v>45428</v>
      </c>
      <c r="B103" s="148" t="n">
        <v>4.59</v>
      </c>
      <c r="C103" s="0" t="n">
        <v>34</v>
      </c>
      <c r="D103" s="149" t="n">
        <f aca="false">LN(B103)</f>
        <v>1.52388002407245</v>
      </c>
    </row>
    <row r="104" customFormat="false" ht="14.25" hidden="true" customHeight="false" outlineLevel="0" collapsed="false">
      <c r="A104" s="147" t="n">
        <v>45444</v>
      </c>
      <c r="B104" s="148" t="n">
        <v>4.78</v>
      </c>
      <c r="C104" s="0" t="n">
        <v>35</v>
      </c>
      <c r="D104" s="149" t="n">
        <f aca="false">LN(B104)</f>
        <v>1.56444054650336</v>
      </c>
    </row>
    <row r="105" customFormat="false" ht="14.25" hidden="true" customHeight="false" outlineLevel="0" collapsed="false">
      <c r="A105" s="147" t="n">
        <v>45459</v>
      </c>
      <c r="B105" s="148" t="n">
        <v>5.17</v>
      </c>
      <c r="C105" s="0" t="n">
        <v>36</v>
      </c>
      <c r="D105" s="149" t="n">
        <f aca="false">LN(B105)</f>
        <v>1.64287268852034</v>
      </c>
    </row>
    <row r="106" customFormat="false" ht="14.25" hidden="true" customHeight="false" outlineLevel="0" collapsed="false">
      <c r="A106" s="147" t="n">
        <v>45474</v>
      </c>
      <c r="B106" s="148" t="n">
        <v>5.61</v>
      </c>
      <c r="C106" s="0" t="n">
        <v>37</v>
      </c>
      <c r="D106" s="149" t="n">
        <f aca="false">LN(B106)</f>
        <v>1.72455071953461</v>
      </c>
    </row>
    <row r="107" customFormat="false" ht="14.25" hidden="true" customHeight="false" outlineLevel="0" collapsed="false">
      <c r="A107" s="147" t="n">
        <v>45489</v>
      </c>
      <c r="B107" s="148" t="n">
        <v>5.52</v>
      </c>
      <c r="C107" s="0" t="n">
        <v>38</v>
      </c>
      <c r="D107" s="149" t="n">
        <f aca="false">LN(B107)</f>
        <v>1.708377860289</v>
      </c>
    </row>
    <row r="108" customFormat="false" ht="14.25" hidden="true" customHeight="false" outlineLevel="0" collapsed="false">
      <c r="A108" s="147" t="n">
        <v>45505</v>
      </c>
      <c r="B108" s="148" t="n">
        <v>5.16</v>
      </c>
      <c r="C108" s="0" t="n">
        <v>39</v>
      </c>
      <c r="D108" s="149" t="n">
        <f aca="false">LN(B108)</f>
        <v>1.64093657949347</v>
      </c>
    </row>
    <row r="109" customFormat="false" ht="14.25" hidden="true" customHeight="false" outlineLevel="0" collapsed="false">
      <c r="A109" s="147" t="n">
        <v>45520</v>
      </c>
      <c r="B109" s="148" t="n">
        <v>4.83</v>
      </c>
      <c r="C109" s="0" t="n">
        <v>40</v>
      </c>
      <c r="D109" s="149" t="n">
        <f aca="false">LN(B109)</f>
        <v>1.57484646766448</v>
      </c>
    </row>
    <row r="110" customFormat="false" ht="14.25" hidden="true" customHeight="false" outlineLevel="0" collapsed="false">
      <c r="A110" s="147" t="n">
        <v>45536</v>
      </c>
      <c r="B110" s="148" t="n">
        <v>4.66</v>
      </c>
      <c r="C110" s="0" t="n">
        <v>41</v>
      </c>
      <c r="D110" s="149" t="n">
        <f aca="false">LN(B110)</f>
        <v>1.53901544813755</v>
      </c>
    </row>
    <row r="111" customFormat="false" ht="14.25" hidden="true" customHeight="false" outlineLevel="0" collapsed="false">
      <c r="A111" s="147" t="n">
        <v>45551</v>
      </c>
      <c r="B111" s="148" t="n">
        <v>4.5</v>
      </c>
      <c r="C111" s="0" t="n">
        <v>42</v>
      </c>
      <c r="D111" s="149" t="n">
        <f aca="false">LN(B111)</f>
        <v>1.50407739677627</v>
      </c>
    </row>
    <row r="112" customFormat="false" ht="14.25" hidden="true" customHeight="false" outlineLevel="0" collapsed="false">
      <c r="A112" s="147" t="n">
        <v>45566</v>
      </c>
      <c r="B112" s="148" t="n">
        <v>4.69</v>
      </c>
      <c r="C112" s="0" t="n">
        <v>43</v>
      </c>
      <c r="D112" s="149" t="n">
        <f aca="false">LN(B112)</f>
        <v>1.54543258245819</v>
      </c>
    </row>
    <row r="113" customFormat="false" ht="14.25" hidden="true" customHeight="false" outlineLevel="0" collapsed="false">
      <c r="A113" s="147" t="n">
        <v>45581</v>
      </c>
      <c r="B113" s="148" t="n">
        <v>4.83</v>
      </c>
      <c r="C113" s="0" t="n">
        <v>44</v>
      </c>
      <c r="D113" s="149" t="n">
        <f aca="false">LN(B113)</f>
        <v>1.57484646766448</v>
      </c>
    </row>
    <row r="114" customFormat="false" ht="14.25" hidden="true" customHeight="false" outlineLevel="0" collapsed="false">
      <c r="A114" s="147" t="n">
        <v>45597</v>
      </c>
      <c r="B114" s="148" t="n">
        <v>4.56</v>
      </c>
      <c r="C114" s="0" t="n">
        <v>45</v>
      </c>
      <c r="D114" s="149" t="n">
        <f aca="false">LN(B114)</f>
        <v>1.51732262352629</v>
      </c>
    </row>
    <row r="115" customFormat="false" ht="14.25" hidden="true" customHeight="false" outlineLevel="0" collapsed="false">
      <c r="A115" s="147" t="n">
        <v>45612</v>
      </c>
      <c r="B115" s="148" t="n">
        <v>4.54</v>
      </c>
      <c r="C115" s="0" t="n">
        <v>46</v>
      </c>
      <c r="D115" s="149" t="n">
        <f aca="false">LN(B115)</f>
        <v>1.51292701205326</v>
      </c>
    </row>
    <row r="116" customFormat="false" ht="14.25" hidden="true" customHeight="false" outlineLevel="0" collapsed="false">
      <c r="A116" s="147" t="n">
        <v>45627</v>
      </c>
      <c r="B116" s="148" t="n">
        <v>4.44</v>
      </c>
      <c r="C116" s="0" t="n">
        <v>47</v>
      </c>
      <c r="D116" s="149" t="n">
        <f aca="false">LN(B116)</f>
        <v>1.49065437644413</v>
      </c>
    </row>
    <row r="117" customFormat="false" ht="14.25" hidden="true" customHeight="false" outlineLevel="0" collapsed="false">
      <c r="A117" s="147" t="n">
        <v>45642</v>
      </c>
      <c r="B117" s="148" t="n">
        <v>3.99</v>
      </c>
      <c r="C117" s="0" t="n">
        <v>48</v>
      </c>
      <c r="D117" s="149" t="n">
        <f aca="false">LN(B117)</f>
        <v>1.38379123090177</v>
      </c>
    </row>
    <row r="118" customFormat="false" ht="14.25" hidden="true" customHeight="false" outlineLevel="0" collapsed="false">
      <c r="A118" s="147" t="n">
        <v>45658</v>
      </c>
      <c r="B118" s="148" t="n">
        <v>3.69</v>
      </c>
      <c r="C118" s="0" t="n">
        <v>49</v>
      </c>
      <c r="D118" s="149" t="n">
        <f aca="false">LN(B118)</f>
        <v>1.30562645805244</v>
      </c>
    </row>
    <row r="119" customFormat="false" ht="14.25" hidden="true" customHeight="false" outlineLevel="0" collapsed="false">
      <c r="A119" s="147" t="n">
        <v>45673</v>
      </c>
      <c r="B119" s="148" t="n">
        <v>3.48</v>
      </c>
      <c r="C119" s="0" t="n">
        <v>50</v>
      </c>
      <c r="D119" s="149" t="n">
        <f aca="false">LN(B119)</f>
        <v>1.24703229378638</v>
      </c>
    </row>
    <row r="120" customFormat="false" ht="14.25" hidden="true" customHeight="false" outlineLevel="0" collapsed="false">
      <c r="A120" s="147" t="n">
        <v>45689</v>
      </c>
      <c r="B120" s="148" t="n">
        <v>3.74</v>
      </c>
      <c r="C120" s="0" t="n">
        <v>51</v>
      </c>
      <c r="D120" s="149" t="n">
        <f aca="false">LN(B120)</f>
        <v>1.31908561142644</v>
      </c>
    </row>
    <row r="121" customFormat="false" ht="14.25" hidden="true" customHeight="false" outlineLevel="0" collapsed="false">
      <c r="A121" s="147" t="n">
        <v>45704</v>
      </c>
      <c r="B121" s="148" t="n">
        <v>3.81</v>
      </c>
      <c r="C121" s="0" t="n">
        <v>52</v>
      </c>
      <c r="D121" s="149" t="n">
        <f aca="false">LN(B121)</f>
        <v>1.33762918913861</v>
      </c>
    </row>
    <row r="122" customFormat="false" ht="14.25" hidden="true" customHeight="false" outlineLevel="0" collapsed="false">
      <c r="A122" s="147" t="n">
        <v>45717</v>
      </c>
      <c r="B122" s="148" t="n">
        <v>3.67</v>
      </c>
      <c r="C122" s="0" t="n">
        <v>53</v>
      </c>
      <c r="D122" s="149" t="n">
        <f aca="false">LN(B122)</f>
        <v>1.30019166206648</v>
      </c>
    </row>
    <row r="123" customFormat="false" ht="14.25" hidden="true" customHeight="false" outlineLevel="0" collapsed="false">
      <c r="A123" s="147" t="n">
        <v>45732</v>
      </c>
      <c r="B123" s="148" t="n">
        <v>3.93</v>
      </c>
      <c r="C123" s="0" t="n">
        <v>54</v>
      </c>
      <c r="D123" s="149" t="n">
        <f aca="false">LN(B123)</f>
        <v>1.36863942588117</v>
      </c>
    </row>
    <row r="124" customFormat="false" ht="14.25" hidden="true" customHeight="false" outlineLevel="0" collapsed="false">
      <c r="A124" s="147" t="n">
        <v>45748</v>
      </c>
      <c r="B124" s="148" t="n">
        <v>3.96</v>
      </c>
      <c r="C124" s="0" t="n">
        <v>55</v>
      </c>
      <c r="D124" s="149" t="n">
        <f aca="false">LN(B124)</f>
        <v>1.37624402526639</v>
      </c>
    </row>
    <row r="125" customFormat="false" ht="14.25" hidden="true" customHeight="false" outlineLevel="0" collapsed="false">
      <c r="A125" s="147" t="n">
        <v>45763</v>
      </c>
      <c r="B125" s="148" t="n">
        <v>3.9</v>
      </c>
      <c r="C125" s="0" t="n">
        <v>56</v>
      </c>
      <c r="D125" s="149" t="n">
        <f aca="false">LN(B125)</f>
        <v>1.3609765531356</v>
      </c>
    </row>
    <row r="126" customFormat="false" ht="14.25" hidden="true" customHeight="false" outlineLevel="0" collapsed="false">
      <c r="A126" s="147" t="n">
        <v>45778</v>
      </c>
      <c r="B126" s="148" t="n">
        <v>4.22</v>
      </c>
      <c r="C126" s="0" t="n">
        <v>57</v>
      </c>
      <c r="D126" s="149" t="n">
        <f aca="false">LN(B126)</f>
        <v>1.43983512804792</v>
      </c>
    </row>
    <row r="127" customFormat="false" ht="14.25" hidden="true" customHeight="false" outlineLevel="0" collapsed="false">
      <c r="A127" s="147" t="n">
        <v>45793</v>
      </c>
      <c r="B127" s="148" t="n">
        <v>4.62</v>
      </c>
      <c r="C127" s="0" t="n">
        <v>58</v>
      </c>
      <c r="D127" s="149" t="n">
        <f aca="false">LN(B127)</f>
        <v>1.53039470509365</v>
      </c>
    </row>
    <row r="128" customFormat="false" ht="14.25" hidden="true" customHeight="false" outlineLevel="0" collapsed="false">
      <c r="A128" s="147" t="n">
        <v>45809</v>
      </c>
      <c r="B128" s="148" t="n">
        <v>4.51</v>
      </c>
      <c r="C128" s="0" t="n">
        <v>59</v>
      </c>
      <c r="D128" s="149" t="n">
        <f aca="false">LN(B128)</f>
        <v>1.50629715351459</v>
      </c>
    </row>
    <row r="129" customFormat="false" ht="14.25" hidden="true" customHeight="false" outlineLevel="0" collapsed="false">
      <c r="A129" s="147" t="n">
        <v>45824</v>
      </c>
      <c r="B129" s="148" t="n">
        <v>4.13</v>
      </c>
      <c r="C129" s="0" t="n">
        <v>60</v>
      </c>
      <c r="D129" s="149" t="n">
        <f aca="false">LN(B129)</f>
        <v>1.41827740697294</v>
      </c>
    </row>
    <row r="130" customFormat="false" ht="14.25" hidden="true" customHeight="false" outlineLevel="0" collapsed="false">
      <c r="A130" s="147" t="n">
        <v>45839</v>
      </c>
      <c r="B130" s="148" t="n">
        <v>3.55</v>
      </c>
      <c r="C130" s="0" t="n">
        <v>61</v>
      </c>
      <c r="D130" s="149" t="n">
        <f aca="false">LN(B130)</f>
        <v>1.26694760348732</v>
      </c>
    </row>
    <row r="131" customFormat="false" ht="14.25" hidden="true" customHeight="false" outlineLevel="0" collapsed="false">
      <c r="A131" s="147" t="n">
        <v>45854</v>
      </c>
      <c r="B131" s="148" t="n">
        <v>3.48</v>
      </c>
      <c r="C131" s="0" t="n">
        <v>62</v>
      </c>
      <c r="D131" s="149" t="n">
        <f aca="false">LN(B131)</f>
        <v>1.24703229378638</v>
      </c>
    </row>
    <row r="132" customFormat="false" ht="14.25" hidden="true" customHeight="false" outlineLevel="0" collapsed="false">
      <c r="A132" s="147" t="n">
        <v>45870</v>
      </c>
      <c r="B132" s="148" t="n">
        <v>3.49</v>
      </c>
      <c r="C132" s="0" t="n">
        <v>63</v>
      </c>
      <c r="D132" s="149" t="n">
        <f aca="false">LN(B132)</f>
        <v>1.24990173621434</v>
      </c>
    </row>
    <row r="133" customFormat="false" ht="14.25" hidden="true" customHeight="false" outlineLevel="0" collapsed="false">
      <c r="A133" s="147" t="n">
        <v>45885</v>
      </c>
      <c r="B133" s="148" t="n">
        <v>3.65</v>
      </c>
      <c r="C133" s="0" t="n">
        <v>64</v>
      </c>
      <c r="D133" s="149" t="n">
        <f aca="false">LN(B133)</f>
        <v>1.2947271675944</v>
      </c>
    </row>
    <row r="134" customFormat="false" ht="14.25" hidden="true" customHeight="false" outlineLevel="0" collapsed="false">
      <c r="A134" s="147" t="n">
        <v>45901</v>
      </c>
      <c r="B134" s="148" t="n">
        <v>3.74</v>
      </c>
      <c r="C134" s="0" t="n">
        <v>65</v>
      </c>
      <c r="D134" s="149" t="n">
        <f aca="false">LN(B134)</f>
        <v>1.31908561142644</v>
      </c>
      <c r="E134" s="0" t="n">
        <v>1</v>
      </c>
      <c r="F134" s="149" t="n">
        <f aca="false">LN(B134)</f>
        <v>1.31908561142644</v>
      </c>
      <c r="G134" s="0" t="n">
        <v>1</v>
      </c>
    </row>
    <row r="135" customFormat="false" ht="14.25" hidden="true" customHeight="false" outlineLevel="0" collapsed="false">
      <c r="A135" s="147" t="n">
        <v>45916</v>
      </c>
      <c r="B135" s="148" t="n">
        <v>3.78</v>
      </c>
      <c r="C135" s="0" t="n">
        <v>66</v>
      </c>
      <c r="D135" s="149" t="n">
        <f aca="false">LN(B135)</f>
        <v>1.3297240096315</v>
      </c>
      <c r="E135" s="0" t="n">
        <v>2</v>
      </c>
      <c r="F135" s="149" t="n">
        <f aca="false">LN(B135)</f>
        <v>1.3297240096315</v>
      </c>
      <c r="G135" s="0" t="n">
        <v>1</v>
      </c>
    </row>
    <row r="136" customFormat="false" ht="14.25" hidden="true" customHeight="false" outlineLevel="0" collapsed="false">
      <c r="A136" s="147" t="n">
        <v>45931</v>
      </c>
      <c r="B136" s="148" t="n">
        <v>3.63</v>
      </c>
      <c r="C136" s="0" t="n">
        <v>67</v>
      </c>
      <c r="D136" s="149" t="n">
        <f aca="false">LN(B136)</f>
        <v>1.28923264827676</v>
      </c>
      <c r="E136" s="0" t="n">
        <v>3</v>
      </c>
      <c r="F136" s="149" t="n">
        <f aca="false">LN(B136)</f>
        <v>1.28923264827676</v>
      </c>
      <c r="G136" s="0" t="n">
        <v>1</v>
      </c>
    </row>
    <row r="137" customFormat="false" ht="14.25" hidden="true" customHeight="false" outlineLevel="0" collapsed="false">
      <c r="A137" s="147" t="n">
        <v>45946</v>
      </c>
      <c r="B137" s="148" t="n">
        <v>3.5</v>
      </c>
      <c r="C137" s="0" t="n">
        <v>68</v>
      </c>
      <c r="D137" s="149" t="n">
        <f aca="false">LN(B137)</f>
        <v>1.25276296849537</v>
      </c>
      <c r="E137" s="0" t="n">
        <v>4</v>
      </c>
      <c r="F137" s="149" t="n">
        <f aca="false">LN(B137)</f>
        <v>1.25276296849537</v>
      </c>
      <c r="G137" s="0" t="n">
        <v>1</v>
      </c>
    </row>
    <row r="138" customFormat="false" ht="14.25" hidden="true" customHeight="false" outlineLevel="0" collapsed="false">
      <c r="A138" s="147" t="n">
        <v>45962</v>
      </c>
      <c r="B138" s="148" t="n">
        <v>3.61</v>
      </c>
      <c r="C138" s="0" t="n">
        <v>69</v>
      </c>
      <c r="D138" s="149" t="n">
        <f aca="false">LN(B138)</f>
        <v>1.28370777234479</v>
      </c>
      <c r="E138" s="0" t="n">
        <v>5</v>
      </c>
      <c r="F138" s="149" t="n">
        <f aca="false">LN(B138)</f>
        <v>1.28370777234479</v>
      </c>
      <c r="G138" s="0" t="n">
        <v>1</v>
      </c>
    </row>
    <row r="139" customFormat="false" ht="14.25" hidden="true" customHeight="false" outlineLevel="0" collapsed="false">
      <c r="A139" s="147" t="n">
        <v>45977</v>
      </c>
      <c r="B139" s="148" t="n">
        <v>3.99</v>
      </c>
      <c r="C139" s="0" t="n">
        <v>70</v>
      </c>
      <c r="D139" s="149" t="n">
        <f aca="false">LN(B139)</f>
        <v>1.38379123090177</v>
      </c>
      <c r="E139" s="0" t="n">
        <v>6</v>
      </c>
      <c r="F139" s="149" t="n">
        <f aca="false">LN(B139)</f>
        <v>1.38379123090177</v>
      </c>
      <c r="G139" s="0" t="n">
        <v>1</v>
      </c>
    </row>
    <row r="140" customFormat="false" ht="14.25" hidden="true" customHeight="false" outlineLevel="0" collapsed="false">
      <c r="A140" s="147" t="n">
        <v>45992</v>
      </c>
      <c r="B140" s="148" t="n">
        <v>3.72</v>
      </c>
      <c r="C140" s="0" t="n">
        <v>71</v>
      </c>
      <c r="D140" s="149" t="n">
        <f aca="false">LN(B140)</f>
        <v>1.31372366828506</v>
      </c>
      <c r="E140" s="0" t="n">
        <v>7</v>
      </c>
      <c r="F140" s="149" t="n">
        <f aca="false">LN(B140)</f>
        <v>1.31372366828506</v>
      </c>
      <c r="G140" s="0" t="n">
        <v>2</v>
      </c>
    </row>
    <row r="141" customFormat="false" ht="14.25" hidden="true" customHeight="false" outlineLevel="0" collapsed="false">
      <c r="A141" s="147" t="n">
        <v>46007</v>
      </c>
      <c r="B141" s="148" t="n">
        <v>3.66</v>
      </c>
      <c r="C141" s="0" t="n">
        <v>72</v>
      </c>
      <c r="D141" s="149" t="n">
        <f aca="false">LN(B141)</f>
        <v>1.29746314741328</v>
      </c>
      <c r="E141" s="0" t="n">
        <v>8</v>
      </c>
      <c r="F141" s="149" t="n">
        <f aca="false">LN(B141)</f>
        <v>1.29746314741328</v>
      </c>
      <c r="G141" s="0" t="n">
        <v>2</v>
      </c>
    </row>
    <row r="142" customFormat="false" ht="14.25" hidden="true" customHeight="false" outlineLevel="0" collapsed="false">
      <c r="A142" s="147" t="n">
        <v>46023</v>
      </c>
      <c r="B142" s="148" t="n">
        <v>3.77</v>
      </c>
      <c r="C142" s="0" t="n">
        <v>73</v>
      </c>
      <c r="D142" s="149" t="n">
        <f aca="false">LN(B142)</f>
        <v>1.32707500145992</v>
      </c>
      <c r="E142" s="0" t="n">
        <v>9</v>
      </c>
      <c r="F142" s="149" t="n">
        <f aca="false">LN(B142)</f>
        <v>1.32707500145992</v>
      </c>
      <c r="G142" s="0" t="n">
        <v>2</v>
      </c>
    </row>
    <row r="143" customFormat="false" ht="14.25" hidden="true" customHeight="false" outlineLevel="0" collapsed="false">
      <c r="A143" s="147" t="n">
        <v>46038</v>
      </c>
      <c r="B143" s="148" t="n">
        <v>3.82</v>
      </c>
      <c r="C143" s="0" t="n">
        <v>74</v>
      </c>
      <c r="D143" s="149" t="n">
        <f aca="false">LN(B143)</f>
        <v>1.34025042261848</v>
      </c>
      <c r="E143" s="0" t="n">
        <v>10</v>
      </c>
      <c r="F143" s="149" t="n">
        <f aca="false">LN(B143)</f>
        <v>1.34025042261848</v>
      </c>
      <c r="G143" s="0" t="n">
        <v>2</v>
      </c>
    </row>
    <row r="144" customFormat="false" ht="14.25" hidden="true" customHeight="false" outlineLevel="0" collapsed="false">
      <c r="A144" s="147" t="n">
        <v>46054</v>
      </c>
      <c r="B144" s="148" t="n">
        <v>3.92</v>
      </c>
      <c r="C144" s="0" t="n">
        <v>75</v>
      </c>
      <c r="D144" s="149" t="n">
        <f aca="false">LN(B144)</f>
        <v>1.36609165380237</v>
      </c>
      <c r="E144" s="0" t="n">
        <v>11</v>
      </c>
      <c r="F144" s="149" t="n">
        <f aca="false">LN(B144)</f>
        <v>1.36609165380237</v>
      </c>
      <c r="G144" s="0" t="n">
        <v>2</v>
      </c>
    </row>
    <row r="145" customFormat="false" ht="14.25" hidden="true" customHeight="false" outlineLevel="0" collapsed="false">
      <c r="A145" s="147" t="n">
        <v>46069</v>
      </c>
      <c r="B145" s="148" t="n">
        <v>4.13</v>
      </c>
      <c r="C145" s="0" t="n">
        <v>76</v>
      </c>
      <c r="D145" s="149" t="n">
        <f aca="false">LN(B145)</f>
        <v>1.41827740697294</v>
      </c>
      <c r="E145" s="0" t="n">
        <v>12</v>
      </c>
      <c r="F145" s="149" t="n">
        <f aca="false">LN(B145)</f>
        <v>1.41827740697294</v>
      </c>
      <c r="G145" s="0" t="n">
        <v>2</v>
      </c>
    </row>
    <row r="146" customFormat="false" ht="14.25" hidden="true" customHeight="false" outlineLevel="0" collapsed="false">
      <c r="A146" s="147" t="n">
        <v>46082</v>
      </c>
      <c r="B146" s="148" t="n">
        <v>4.63</v>
      </c>
      <c r="C146" s="0" t="n">
        <v>77</v>
      </c>
      <c r="D146" s="149" t="n">
        <f aca="false">LN(B146)</f>
        <v>1.53255686809814</v>
      </c>
      <c r="E146" s="0" t="n">
        <v>13</v>
      </c>
      <c r="F146" s="149" t="n">
        <f aca="false">LN(B146)</f>
        <v>1.53255686809814</v>
      </c>
      <c r="G146" s="0" t="n">
        <v>3</v>
      </c>
    </row>
    <row r="147" customFormat="false" ht="14.25" hidden="true" customHeight="false" outlineLevel="0" collapsed="false">
      <c r="A147" s="147" t="n">
        <v>46097</v>
      </c>
      <c r="B147" s="148" t="n">
        <v>4.55</v>
      </c>
      <c r="C147" s="0" t="n">
        <v>78</v>
      </c>
      <c r="D147" s="149" t="n">
        <f aca="false">LN(B147)</f>
        <v>1.51512723296286</v>
      </c>
      <c r="E147" s="0" t="n">
        <v>14</v>
      </c>
      <c r="F147" s="149" t="n">
        <f aca="false">LN(B147)</f>
        <v>1.51512723296286</v>
      </c>
      <c r="G147" s="0" t="n">
        <v>3</v>
      </c>
    </row>
    <row r="148" customFormat="false" ht="14.25" hidden="true" customHeight="false" outlineLevel="0" collapsed="false">
      <c r="A148" s="147" t="n">
        <v>46113</v>
      </c>
      <c r="B148" s="148" t="n">
        <v>4.53</v>
      </c>
      <c r="C148" s="0" t="n">
        <v>79</v>
      </c>
      <c r="D148" s="149" t="n">
        <f aca="false">LN(B148)</f>
        <v>1.51072193949494</v>
      </c>
      <c r="E148" s="0" t="n">
        <v>15</v>
      </c>
      <c r="F148" s="149" t="n">
        <f aca="false">LN(B148)</f>
        <v>1.51072193949494</v>
      </c>
      <c r="G148" s="0" t="n">
        <v>3</v>
      </c>
    </row>
    <row r="149" customFormat="false" ht="14.25" hidden="true" customHeight="false" outlineLevel="0" collapsed="false">
      <c r="A149" s="147" t="n">
        <v>46128</v>
      </c>
      <c r="B149" s="148" t="n">
        <v>4.37</v>
      </c>
      <c r="C149" s="0" t="n">
        <v>80</v>
      </c>
      <c r="D149" s="149" t="n">
        <f aca="false">LN(B149)</f>
        <v>1.4747630091075</v>
      </c>
      <c r="E149" s="0" t="n">
        <v>16</v>
      </c>
      <c r="F149" s="149" t="n">
        <f aca="false">LN(B149)</f>
        <v>1.4747630091075</v>
      </c>
      <c r="G149" s="0" t="n">
        <v>3</v>
      </c>
    </row>
    <row r="150" customFormat="false" ht="14.25" hidden="true" customHeight="false" outlineLevel="0" collapsed="false">
      <c r="A150" s="147" t="n">
        <v>46143</v>
      </c>
      <c r="B150" s="148" t="n">
        <v>4.11</v>
      </c>
      <c r="C150" s="0" t="n">
        <v>81</v>
      </c>
      <c r="D150" s="149" t="n">
        <f aca="false">LN(B150)</f>
        <v>1.41342302850814</v>
      </c>
      <c r="E150" s="0" t="n">
        <v>17</v>
      </c>
      <c r="F150" s="149" t="n">
        <f aca="false">LN(B150)</f>
        <v>1.41342302850814</v>
      </c>
      <c r="G150" s="0" t="n">
        <v>3</v>
      </c>
    </row>
    <row r="151" customFormat="false" ht="14.25" hidden="true" customHeight="false" outlineLevel="0" collapsed="false">
      <c r="A151" s="147" t="n">
        <v>46158</v>
      </c>
      <c r="B151" s="148" t="n">
        <v>3.77</v>
      </c>
      <c r="C151" s="0" t="n">
        <v>82</v>
      </c>
      <c r="D151" s="149" t="n">
        <f aca="false">LN(B151)</f>
        <v>1.32707500145992</v>
      </c>
      <c r="E151" s="0" t="n">
        <v>18</v>
      </c>
      <c r="F151" s="149" t="n">
        <f aca="false">LN(B151)</f>
        <v>1.32707500145992</v>
      </c>
      <c r="G151" s="0" t="n">
        <v>3</v>
      </c>
    </row>
    <row r="152" customFormat="false" ht="14.25" hidden="true" customHeight="false" outlineLevel="0" collapsed="false">
      <c r="A152" s="147" t="n">
        <v>46174</v>
      </c>
      <c r="B152" s="148" t="n">
        <v>3.55</v>
      </c>
      <c r="C152" s="0" t="n">
        <v>83</v>
      </c>
      <c r="D152" s="149" t="n">
        <f aca="false">LN(B152)</f>
        <v>1.26694760348732</v>
      </c>
      <c r="E152" s="0" t="n">
        <v>19</v>
      </c>
      <c r="F152" s="149" t="n">
        <f aca="false">LN(B152)</f>
        <v>1.26694760348732</v>
      </c>
      <c r="G152" s="0" t="n">
        <v>4</v>
      </c>
    </row>
    <row r="153" customFormat="false" ht="14.25" hidden="true" customHeight="false" outlineLevel="0" collapsed="false">
      <c r="A153" s="147" t="n">
        <v>46189</v>
      </c>
      <c r="B153" s="148" t="n">
        <v>3.18</v>
      </c>
      <c r="C153" s="0" t="n">
        <v>84</v>
      </c>
      <c r="D153" s="149" t="n">
        <f aca="false">LN(B153)</f>
        <v>1.15688119679209</v>
      </c>
      <c r="E153" s="0" t="n">
        <v>20</v>
      </c>
      <c r="F153" s="149" t="n">
        <f aca="false">LN(B153)</f>
        <v>1.15688119679209</v>
      </c>
      <c r="G153" s="0" t="n">
        <v>4</v>
      </c>
    </row>
    <row r="154" customFormat="false" ht="14.25" hidden="true" customHeight="false" outlineLevel="0" collapsed="false">
      <c r="A154" s="147" t="n">
        <v>46204</v>
      </c>
      <c r="B154" s="148" t="n">
        <v>3.1</v>
      </c>
      <c r="C154" s="0" t="n">
        <v>85</v>
      </c>
      <c r="D154" s="149" t="n">
        <f aca="false">LN(B154)</f>
        <v>1.1314021114911</v>
      </c>
      <c r="E154" s="0" t="n">
        <v>21</v>
      </c>
      <c r="F154" s="149" t="n">
        <f aca="false">LN(B154)</f>
        <v>1.1314021114911</v>
      </c>
      <c r="G154" s="0" t="n">
        <v>4</v>
      </c>
    </row>
    <row r="155" customFormat="false" ht="14.25" hidden="true" customHeight="false" outlineLevel="0" collapsed="false">
      <c r="A155" s="147" t="n">
        <v>46219</v>
      </c>
      <c r="B155" s="148" t="n">
        <v>3.14</v>
      </c>
      <c r="C155" s="0" t="n">
        <v>86</v>
      </c>
      <c r="D155" s="149" t="n">
        <f aca="false">LN(B155)</f>
        <v>1.14422279992016</v>
      </c>
      <c r="E155" s="0" t="n">
        <v>22</v>
      </c>
      <c r="F155" s="149" t="n">
        <f aca="false">LN(B155)</f>
        <v>1.14422279992016</v>
      </c>
      <c r="G155" s="0" t="n">
        <v>4</v>
      </c>
    </row>
    <row r="156" customFormat="false" ht="14.25" hidden="true" customHeight="false" outlineLevel="0" collapsed="false">
      <c r="A156" s="147" t="n">
        <v>46235</v>
      </c>
      <c r="B156" s="148" t="n">
        <v>3.26</v>
      </c>
      <c r="C156" s="0" t="n">
        <v>87</v>
      </c>
      <c r="D156" s="149" t="n">
        <f aca="false">LN(B156)</f>
        <v>1.18172719537862</v>
      </c>
      <c r="E156" s="0" t="n">
        <v>23</v>
      </c>
      <c r="F156" s="149" t="n">
        <f aca="false">LN(B156)</f>
        <v>1.18172719537862</v>
      </c>
      <c r="G156" s="0" t="n">
        <v>4</v>
      </c>
    </row>
    <row r="157" customFormat="false" ht="14.25" hidden="true" customHeight="false" outlineLevel="0" collapsed="false">
      <c r="A157" s="147" t="n">
        <v>46250</v>
      </c>
      <c r="B157" s="148" t="n">
        <v>3.26</v>
      </c>
      <c r="C157" s="0" t="n">
        <v>88</v>
      </c>
      <c r="D157" s="149" t="n">
        <f aca="false">LN(B157)</f>
        <v>1.18172719537862</v>
      </c>
      <c r="E157" s="0" t="n">
        <v>24</v>
      </c>
      <c r="F157" s="149" t="n">
        <f aca="false">LN(B157)</f>
        <v>1.18172719537862</v>
      </c>
      <c r="G157" s="0" t="n">
        <v>4</v>
      </c>
    </row>
    <row r="158" customFormat="false" ht="14.25" hidden="true" customHeight="false" outlineLevel="0" collapsed="false">
      <c r="A158" s="147" t="n">
        <v>46266</v>
      </c>
      <c r="B158" s="148" t="n">
        <v>3.42</v>
      </c>
      <c r="C158" s="0" t="n">
        <v>89</v>
      </c>
      <c r="D158" s="149" t="n">
        <f aca="false">LN(B158)</f>
        <v>1.22964055107451</v>
      </c>
      <c r="E158" s="0" t="n">
        <v>25</v>
      </c>
      <c r="F158" s="149" t="n">
        <f aca="false">LN(B158)</f>
        <v>1.22964055107451</v>
      </c>
    </row>
    <row r="159" customFormat="false" ht="14.25" hidden="true" customHeight="false" outlineLevel="0" collapsed="false"/>
    <row r="160" customFormat="false" ht="14.25" hidden="true" customHeight="false" outlineLevel="0" collapsed="false"/>
    <row r="161" customFormat="false" ht="14.25" hidden="true" customHeight="false" outlineLevel="0" collapsed="false"/>
    <row r="162" customFormat="false" ht="14.25" hidden="true" customHeight="false" outlineLevel="0" collapsed="false">
      <c r="A162" s="150" t="s">
        <v>697</v>
      </c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</row>
    <row r="163" customFormat="false" ht="54.75" hidden="true" customHeight="true" outlineLevel="0" collapsed="false">
      <c r="A163" s="129" t="s">
        <v>698</v>
      </c>
      <c r="B163" s="129" t="s">
        <v>699</v>
      </c>
      <c r="C163" s="129" t="s">
        <v>700</v>
      </c>
    </row>
    <row r="164" customFormat="false" ht="14.25" hidden="true" customHeight="false" outlineLevel="0" collapsed="false">
      <c r="A164" s="152" t="n">
        <v>45597</v>
      </c>
      <c r="B164" s="148" t="n">
        <v>30.5</v>
      </c>
      <c r="C164" s="153" t="n">
        <v>4.55</v>
      </c>
    </row>
    <row r="165" customFormat="false" ht="14.25" hidden="true" customHeight="false" outlineLevel="0" collapsed="false">
      <c r="A165" s="152" t="n">
        <v>45627</v>
      </c>
      <c r="B165" s="148" t="n">
        <v>29.63</v>
      </c>
      <c r="C165" s="153" t="n">
        <v>4.215</v>
      </c>
    </row>
    <row r="166" customFormat="false" ht="14.25" hidden="true" customHeight="false" outlineLevel="0" collapsed="false">
      <c r="A166" s="152" t="n">
        <v>45658</v>
      </c>
      <c r="B166" s="148" t="n">
        <v>29.18</v>
      </c>
      <c r="C166" s="153" t="n">
        <v>3.585</v>
      </c>
    </row>
    <row r="167" customFormat="false" ht="14.25" hidden="true" customHeight="false" outlineLevel="0" collapsed="false">
      <c r="A167" s="152" t="n">
        <v>45689</v>
      </c>
      <c r="B167" s="148" t="n">
        <v>27.65</v>
      </c>
      <c r="C167" s="153" t="n">
        <v>3.775</v>
      </c>
    </row>
    <row r="168" customFormat="false" ht="14.25" hidden="true" customHeight="false" outlineLevel="0" collapsed="false">
      <c r="A168" s="152" t="n">
        <v>45717</v>
      </c>
      <c r="B168" s="148" t="n">
        <v>27.7</v>
      </c>
      <c r="C168" s="153" t="n">
        <v>3.8</v>
      </c>
    </row>
    <row r="169" customFormat="false" ht="14.25" hidden="true" customHeight="false" outlineLevel="0" collapsed="false">
      <c r="A169" s="152" t="n">
        <v>45748</v>
      </c>
      <c r="B169" s="148" t="n">
        <v>25.98</v>
      </c>
      <c r="C169" s="153" t="n">
        <v>3.93</v>
      </c>
    </row>
    <row r="170" customFormat="false" ht="14.25" hidden="true" customHeight="false" outlineLevel="0" collapsed="false">
      <c r="A170" s="152" t="n">
        <v>45778</v>
      </c>
      <c r="B170" s="148" t="n">
        <v>27.51</v>
      </c>
      <c r="C170" s="153" t="n">
        <v>4.42</v>
      </c>
    </row>
    <row r="171" customFormat="false" ht="14.25" hidden="true" customHeight="false" outlineLevel="0" collapsed="false">
      <c r="A171" s="152" t="n">
        <v>45809</v>
      </c>
      <c r="B171" s="148" t="n">
        <v>27.98</v>
      </c>
      <c r="C171" s="153" t="n">
        <v>4.32</v>
      </c>
    </row>
    <row r="172" customFormat="false" ht="14.25" hidden="true" customHeight="false" outlineLevel="0" collapsed="false">
      <c r="A172" s="152" t="n">
        <v>45839</v>
      </c>
      <c r="B172" s="148" t="n">
        <v>25.96</v>
      </c>
      <c r="C172" s="153" t="n">
        <v>3.515</v>
      </c>
    </row>
    <row r="173" customFormat="false" ht="14.25" hidden="true" customHeight="false" outlineLevel="0" collapsed="false">
      <c r="A173" s="152" t="n">
        <v>45870</v>
      </c>
      <c r="B173" s="148" t="n">
        <v>25.73</v>
      </c>
      <c r="C173" s="153" t="n">
        <v>3.57</v>
      </c>
    </row>
    <row r="174" customFormat="false" ht="14.25" hidden="true" customHeight="false" outlineLevel="0" collapsed="false">
      <c r="A174" s="152" t="n">
        <v>45901</v>
      </c>
      <c r="B174" s="148" t="n">
        <v>25</v>
      </c>
      <c r="C174" s="153" t="n">
        <v>3.76</v>
      </c>
    </row>
    <row r="175" customFormat="false" ht="14.25" hidden="true" customHeight="false" outlineLevel="0" collapsed="false">
      <c r="A175" s="152" t="n">
        <v>45931</v>
      </c>
      <c r="B175" s="148" t="n">
        <v>26.45</v>
      </c>
      <c r="C175" s="153" t="n">
        <v>3.565</v>
      </c>
    </row>
    <row r="176" customFormat="false" ht="14.25" hidden="true" customHeight="false" outlineLevel="0" collapsed="false">
      <c r="A176" s="152" t="n">
        <v>45962</v>
      </c>
      <c r="B176" s="148" t="n">
        <v>31.05</v>
      </c>
      <c r="C176" s="153" t="n">
        <v>3.8</v>
      </c>
    </row>
    <row r="177" customFormat="false" ht="14.25" hidden="true" customHeight="false" outlineLevel="0" collapsed="false">
      <c r="A177" s="152" t="n">
        <v>45992</v>
      </c>
      <c r="B177" s="148" t="n">
        <v>40.93</v>
      </c>
      <c r="C177" s="153" t="n">
        <v>3.69</v>
      </c>
    </row>
    <row r="178" customFormat="false" ht="14.25" hidden="true" customHeight="false" outlineLevel="0" collapsed="false">
      <c r="A178" s="152" t="n">
        <v>46023</v>
      </c>
      <c r="B178" s="148" t="n">
        <v>35.8</v>
      </c>
      <c r="C178" s="153" t="n">
        <v>3.795</v>
      </c>
    </row>
    <row r="179" customFormat="false" ht="14.25" hidden="true" customHeight="false" outlineLevel="0" collapsed="false">
      <c r="A179" s="152" t="n">
        <v>46054</v>
      </c>
      <c r="B179" s="148" t="n">
        <v>37.12</v>
      </c>
      <c r="C179" s="153" t="n">
        <v>4.025</v>
      </c>
    </row>
    <row r="180" customFormat="false" ht="14.25" hidden="true" customHeight="false" outlineLevel="0" collapsed="false">
      <c r="A180" s="152" t="n">
        <v>46082</v>
      </c>
      <c r="B180" s="148" t="n">
        <v>35.44</v>
      </c>
      <c r="C180" s="153" t="n">
        <v>4.59</v>
      </c>
    </row>
    <row r="181" customFormat="false" ht="14.25" hidden="true" customHeight="false" outlineLevel="0" collapsed="false">
      <c r="A181" s="152" t="n">
        <v>46113</v>
      </c>
      <c r="B181" s="148" t="n">
        <v>33.49</v>
      </c>
      <c r="C181" s="153" t="n">
        <v>4.45</v>
      </c>
    </row>
    <row r="182" customFormat="false" ht="14.25" hidden="true" customHeight="false" outlineLevel="0" collapsed="false">
      <c r="A182" s="152" t="n">
        <v>46143</v>
      </c>
      <c r="B182" s="148" t="n">
        <v>34.49</v>
      </c>
      <c r="C182" s="153" t="n">
        <v>3.94</v>
      </c>
    </row>
    <row r="183" customFormat="false" ht="14.25" hidden="true" customHeight="false" outlineLevel="0" collapsed="false">
      <c r="A183" s="152" t="n">
        <v>46174</v>
      </c>
      <c r="B183" s="148" t="n">
        <v>30.25</v>
      </c>
      <c r="C183" s="153" t="n">
        <v>3.365</v>
      </c>
    </row>
    <row r="184" customFormat="false" ht="14.25" hidden="true" customHeight="false" outlineLevel="0" collapsed="false">
      <c r="A184" s="152" t="n">
        <v>46204</v>
      </c>
      <c r="B184" s="148" t="n">
        <v>29.59</v>
      </c>
      <c r="C184" s="153" t="n">
        <v>3.12</v>
      </c>
    </row>
    <row r="185" customFormat="false" ht="14.25" hidden="true" customHeight="false" outlineLevel="0" collapsed="false">
      <c r="A185" s="152" t="n">
        <v>46235</v>
      </c>
      <c r="B185" s="148" t="n">
        <v>27.06</v>
      </c>
      <c r="C185" s="153" t="n">
        <v>3.26</v>
      </c>
    </row>
    <row r="186" customFormat="false" ht="14.25" hidden="true" customHeight="false" outlineLevel="0" collapsed="false">
      <c r="A186" s="152" t="n">
        <v>46266</v>
      </c>
      <c r="B186" s="148" t="n">
        <v>35</v>
      </c>
      <c r="C186" s="153" t="n">
        <v>3.42</v>
      </c>
    </row>
    <row r="187" customFormat="false" ht="14.25" hidden="true" customHeight="false" outlineLevel="0" collapsed="false"/>
    <row r="188" customFormat="false" ht="14.25" hidden="true" customHeight="false" outlineLevel="0" collapsed="false">
      <c r="A188" s="129" t="s">
        <v>701</v>
      </c>
      <c r="B188" s="129" t="s">
        <v>78</v>
      </c>
      <c r="C188" s="129" t="s">
        <v>702</v>
      </c>
    </row>
    <row r="189" customFormat="false" ht="14.25" hidden="true" customHeight="false" outlineLevel="0" collapsed="false">
      <c r="A189" s="0" t="s">
        <v>703</v>
      </c>
      <c r="B189" s="154" t="n">
        <f aca="false">CORREL(B164:B186,C164:C186)</f>
        <v>0.190174438586874</v>
      </c>
      <c r="C189" s="0" t="str">
        <f aca="false">CHOOSE(MONTH(A164),"ene","feb","mar","abr","may","jun","jul","ago","sep","oct","nov","dic")&amp;"-"&amp;RIGHT(YEAR(A164),2)&amp;" a "&amp;CHOOSE(MONTH(A186),"ene","feb","mar","abr","may","jun","jul","ago","sep","oct","nov","dic")&amp;"-"&amp;RIGHT(YEAR(A186),2)</f>
        <v>nov-24 a sep-26</v>
      </c>
    </row>
    <row r="190" customFormat="false" ht="14.25" hidden="true" customHeight="false" outlineLevel="0" collapsed="false">
      <c r="A190" s="0" t="s">
        <v>704</v>
      </c>
      <c r="B190" s="154" t="n">
        <f aca="false">CORREL(B178:B186,C178:C186)</f>
        <v>0.660039084883809</v>
      </c>
      <c r="C190" s="0" t="str">
        <f aca="false">CHOOSE(MONTH(A178),"ene","feb","mar","abr","may","jun","jul","ago","sep","oct","nov","dic")&amp;"-"&amp;RIGHT(YEAR(A178),2)&amp;" a "&amp;CHOOSE(MONTH(A186),"ene","feb","mar","abr","may","jun","jul","ago","sep","oct","nov","dic")&amp;"-"&amp;RIGHT(YEAR(A186),2)</f>
        <v>ene-26 a sep-26</v>
      </c>
    </row>
    <row r="191" customFormat="false" ht="14.25" hidden="true" customHeight="false" outlineLevel="0" collapsed="false">
      <c r="A191" s="0" t="s">
        <v>705</v>
      </c>
      <c r="B191" s="154" t="n">
        <f aca="false">CORREL(B181:B186,C181:C186)</f>
        <v>0.602966810483746</v>
      </c>
      <c r="C191" s="0" t="str">
        <f aca="false">CHOOSE(MONTH(A181),"ene","feb","mar","abr","may","jun","jul","ago","sep","oct","nov","dic")&amp;"-"&amp;RIGHT(YEAR(A181),2)&amp;" a "&amp;CHOOSE(MONTH(A186),"ene","feb","mar","abr","may","jun","jul","ago","sep","oct","nov","dic")&amp;"-"&amp;RIGHT(YEAR(A186),2)</f>
        <v>abr-26 a sep-26</v>
      </c>
    </row>
    <row r="192" customFormat="false" ht="14.25" hidden="true" customHeight="false" outlineLevel="0" collapsed="false">
      <c r="A192" s="0" t="s">
        <v>706</v>
      </c>
      <c r="B192" s="154" t="n">
        <f aca="false">CORREL(B184:B186,C184:C186)</f>
        <v>0.695059955343774</v>
      </c>
      <c r="C192" s="0" t="str">
        <f aca="false">CHOOSE(MONTH(A184),"ene","feb","mar","abr","may","jun","jul","ago","sep","oct","nov","dic")&amp;"-"&amp;RIGHT(YEAR(A184),2)&amp;" a "&amp;CHOOSE(MONTH(A186),"ene","feb","mar","abr","may","jun","jul","ago","sep","oct","nov","dic")&amp;"-"&amp;RIGHT(YEAR(A186),2)</f>
        <v>jul-26 a sep-26</v>
      </c>
    </row>
    <row r="193" customFormat="false" ht="14.25" hidden="true" customHeight="false" outlineLevel="0" collapsed="false">
      <c r="A193" s="123" t="s">
        <v>707</v>
      </c>
    </row>
    <row r="194" customFormat="false" ht="14.25" hidden="true" customHeight="false" outlineLevel="0" collapsed="false"/>
    <row r="195" customFormat="false" ht="27" hidden="true" customHeight="true" outlineLevel="0" collapsed="false">
      <c r="A195" s="129" t="s">
        <v>60</v>
      </c>
      <c r="B195" s="129" t="s">
        <v>708</v>
      </c>
      <c r="C195" s="129" t="s">
        <v>709</v>
      </c>
    </row>
    <row r="196" customFormat="false" ht="14.25" hidden="true" customHeight="false" outlineLevel="0" collapsed="false">
      <c r="A196" s="147" t="n">
        <v>46204</v>
      </c>
      <c r="B196" s="155" t="n">
        <v>0.003</v>
      </c>
      <c r="C196" s="155" t="n">
        <v>0.0042</v>
      </c>
    </row>
    <row r="197" customFormat="false" ht="14.25" hidden="true" customHeight="false" outlineLevel="0" collapsed="false">
      <c r="A197" s="147" t="n">
        <v>46205</v>
      </c>
      <c r="B197" s="155" t="n">
        <v>0.0119</v>
      </c>
      <c r="C197" s="155" t="n">
        <v>-0.0026</v>
      </c>
    </row>
    <row r="198" customFormat="false" ht="14.25" hidden="true" customHeight="false" outlineLevel="0" collapsed="false">
      <c r="A198" s="147" t="n">
        <v>46206</v>
      </c>
      <c r="B198" s="155" t="n">
        <v>-0.0257</v>
      </c>
      <c r="C198" s="155" t="n">
        <v>-0.0002</v>
      </c>
    </row>
    <row r="199" customFormat="false" ht="14.25" hidden="true" customHeight="false" outlineLevel="0" collapsed="false">
      <c r="A199" s="147" t="n">
        <v>46209</v>
      </c>
      <c r="B199" s="155" t="n">
        <v>-0.0104</v>
      </c>
      <c r="C199" s="155" t="n">
        <v>0.0061</v>
      </c>
    </row>
    <row r="200" customFormat="false" ht="14.25" hidden="true" customHeight="false" outlineLevel="0" collapsed="false">
      <c r="A200" s="147" t="n">
        <v>46210</v>
      </c>
      <c r="B200" s="155" t="n">
        <v>0.0233</v>
      </c>
      <c r="C200" s="155" t="n">
        <v>-0.0117</v>
      </c>
    </row>
    <row r="201" customFormat="false" ht="14.25" hidden="true" customHeight="false" outlineLevel="0" collapsed="false">
      <c r="A201" s="147" t="n">
        <v>46211</v>
      </c>
      <c r="B201" s="155" t="n">
        <v>-0.0096</v>
      </c>
      <c r="C201" s="155" t="n">
        <v>-0.001</v>
      </c>
    </row>
    <row r="202" customFormat="false" ht="14.25" hidden="true" customHeight="false" outlineLevel="0" collapsed="false">
      <c r="A202" s="147" t="n">
        <v>46212</v>
      </c>
      <c r="B202" s="155" t="n">
        <v>0.0253</v>
      </c>
      <c r="C202" s="155" t="n">
        <v>-0.0075</v>
      </c>
    </row>
    <row r="203" customFormat="false" ht="14.25" hidden="true" customHeight="false" outlineLevel="0" collapsed="false">
      <c r="A203" s="147" t="n">
        <v>46213</v>
      </c>
      <c r="B203" s="155" t="n">
        <v>-0.0052</v>
      </c>
      <c r="C203" s="155" t="n">
        <v>0.0059</v>
      </c>
    </row>
    <row r="204" customFormat="false" ht="14.25" hidden="true" customHeight="false" outlineLevel="0" collapsed="false">
      <c r="A204" s="147" t="n">
        <v>46216</v>
      </c>
      <c r="B204" s="155" t="n">
        <v>-0.0196</v>
      </c>
      <c r="C204" s="155" t="n">
        <v>-0.0079</v>
      </c>
    </row>
    <row r="205" customFormat="false" ht="14.25" hidden="true" customHeight="false" outlineLevel="0" collapsed="false">
      <c r="A205" s="147" t="n">
        <v>46218</v>
      </c>
      <c r="B205" s="155" t="n">
        <v>0.0013</v>
      </c>
      <c r="C205" s="155" t="n">
        <v>-0.0017</v>
      </c>
    </row>
    <row r="206" customFormat="false" ht="14.25" hidden="true" customHeight="false" outlineLevel="0" collapsed="false">
      <c r="A206" s="147" t="n">
        <v>46219</v>
      </c>
      <c r="B206" s="155" t="n">
        <v>-0.0027</v>
      </c>
      <c r="C206" s="155" t="n">
        <v>-0.0007</v>
      </c>
    </row>
    <row r="207" customFormat="false" ht="14.25" hidden="true" customHeight="false" outlineLevel="0" collapsed="false">
      <c r="A207" s="147" t="n">
        <v>46220</v>
      </c>
      <c r="B207" s="155" t="n">
        <v>0.0103</v>
      </c>
      <c r="C207" s="155" t="n">
        <v>0.0042</v>
      </c>
    </row>
    <row r="208" customFormat="false" ht="14.25" hidden="true" customHeight="false" outlineLevel="0" collapsed="false">
      <c r="A208" s="147" t="n">
        <v>46224</v>
      </c>
      <c r="B208" s="155" t="n">
        <v>-0.0155</v>
      </c>
      <c r="C208" s="155" t="n">
        <v>0.0089</v>
      </c>
    </row>
    <row r="209" customFormat="false" ht="14.25" hidden="true" customHeight="false" outlineLevel="0" collapsed="false">
      <c r="A209" s="147" t="n">
        <v>46225</v>
      </c>
      <c r="B209" s="155" t="n">
        <v>-0.0168</v>
      </c>
      <c r="C209" s="155" t="n">
        <v>0.0088</v>
      </c>
    </row>
    <row r="210" customFormat="false" ht="14.25" hidden="true" customHeight="false" outlineLevel="0" collapsed="false">
      <c r="A210" s="147" t="n">
        <v>46227</v>
      </c>
      <c r="B210" s="155" t="n">
        <v>0.0038</v>
      </c>
      <c r="C210" s="155" t="n">
        <v>0.0018</v>
      </c>
    </row>
    <row r="211" customFormat="false" ht="14.25" hidden="true" customHeight="false" outlineLevel="0" collapsed="false">
      <c r="A211" s="147" t="n">
        <v>46230</v>
      </c>
      <c r="B211" s="155" t="n">
        <v>-0.0129</v>
      </c>
      <c r="C211" s="155" t="n">
        <v>0.0117</v>
      </c>
    </row>
    <row r="212" customFormat="false" ht="14.25" hidden="true" customHeight="false" outlineLevel="0" collapsed="false">
      <c r="A212" s="147" t="n">
        <v>46231</v>
      </c>
      <c r="B212" s="155" t="n">
        <v>0.0162</v>
      </c>
      <c r="C212" s="155" t="n">
        <v>0.0022</v>
      </c>
    </row>
    <row r="213" customFormat="false" ht="14.25" hidden="true" customHeight="false" outlineLevel="0" collapsed="false">
      <c r="A213" s="147" t="n">
        <v>46232</v>
      </c>
      <c r="B213" s="155" t="n">
        <v>0.0034</v>
      </c>
      <c r="C213" s="155" t="n">
        <v>-0.0123</v>
      </c>
    </row>
    <row r="214" customFormat="false" ht="14.25" hidden="true" customHeight="false" outlineLevel="0" collapsed="false">
      <c r="A214" s="147" t="n">
        <v>46234</v>
      </c>
      <c r="B214" s="155" t="n">
        <v>-0.0003</v>
      </c>
      <c r="C214" s="155" t="n">
        <v>-0.0053</v>
      </c>
    </row>
    <row r="215" customFormat="false" ht="14.25" hidden="true" customHeight="false" outlineLevel="0" collapsed="false">
      <c r="A215" s="147" t="n">
        <v>46237</v>
      </c>
      <c r="B215" s="155" t="n">
        <v>0.0071</v>
      </c>
      <c r="C215" s="155" t="n">
        <v>-0.0036</v>
      </c>
    </row>
    <row r="216" customFormat="false" ht="14.25" hidden="true" customHeight="false" outlineLevel="0" collapsed="false">
      <c r="A216" s="147" t="n">
        <v>46239</v>
      </c>
      <c r="B216" s="155" t="n">
        <v>-0.0268</v>
      </c>
      <c r="C216" s="155" t="n">
        <v>-0.0046</v>
      </c>
    </row>
    <row r="217" customFormat="false" ht="14.25" hidden="true" customHeight="false" outlineLevel="0" collapsed="false">
      <c r="A217" s="147" t="n">
        <v>46240</v>
      </c>
      <c r="B217" s="155" t="n">
        <v>0</v>
      </c>
      <c r="C217" s="155" t="n">
        <v>-0.0019</v>
      </c>
    </row>
    <row r="218" customFormat="false" ht="14.25" hidden="true" customHeight="false" outlineLevel="0" collapsed="false">
      <c r="A218" s="147" t="n">
        <v>46241</v>
      </c>
      <c r="B218" s="155" t="n">
        <v>0.0162</v>
      </c>
      <c r="C218" s="155" t="n">
        <v>0.0082</v>
      </c>
    </row>
    <row r="219" customFormat="false" ht="14.25" hidden="true" customHeight="false" outlineLevel="0" collapsed="false">
      <c r="A219" s="147" t="n">
        <v>46244</v>
      </c>
      <c r="B219" s="155" t="n">
        <v>-0.0037</v>
      </c>
      <c r="C219" s="155" t="n">
        <v>-0.0075</v>
      </c>
    </row>
    <row r="220" customFormat="false" ht="14.25" hidden="true" customHeight="false" outlineLevel="0" collapsed="false">
      <c r="A220" s="147" t="n">
        <v>46245</v>
      </c>
      <c r="B220" s="155" t="n">
        <v>-0.0208</v>
      </c>
      <c r="C220" s="155" t="n">
        <v>-0.0132</v>
      </c>
    </row>
    <row r="221" customFormat="false" ht="14.25" hidden="true" customHeight="false" outlineLevel="0" collapsed="false">
      <c r="A221" s="147" t="n">
        <v>46246</v>
      </c>
      <c r="B221" s="155" t="n">
        <v>0</v>
      </c>
      <c r="C221" s="155" t="n">
        <v>0.0029</v>
      </c>
    </row>
    <row r="222" customFormat="false" ht="14.25" hidden="true" customHeight="false" outlineLevel="0" collapsed="false">
      <c r="A222" s="147" t="n">
        <v>46247</v>
      </c>
      <c r="B222" s="155" t="n">
        <v>-0.0278</v>
      </c>
      <c r="C222" s="155" t="n">
        <v>-0.0141</v>
      </c>
    </row>
    <row r="223" customFormat="false" ht="14.25" hidden="true" customHeight="false" outlineLevel="0" collapsed="false">
      <c r="A223" s="147" t="n">
        <v>46248</v>
      </c>
      <c r="B223" s="155" t="n">
        <v>-0.0161</v>
      </c>
      <c r="C223" s="155" t="n">
        <v>-0.0066</v>
      </c>
    </row>
    <row r="224" customFormat="false" ht="14.25" hidden="true" customHeight="false" outlineLevel="0" collapsed="false">
      <c r="A224" s="147" t="n">
        <v>46251</v>
      </c>
      <c r="B224" s="155" t="n">
        <v>0</v>
      </c>
      <c r="C224" s="155" t="n">
        <v>-0.0022</v>
      </c>
    </row>
    <row r="225" customFormat="false" ht="14.25" hidden="true" customHeight="false" outlineLevel="0" collapsed="false">
      <c r="A225" s="147" t="n">
        <v>46252</v>
      </c>
      <c r="B225" s="155" t="n">
        <v>0</v>
      </c>
      <c r="C225" s="155" t="n">
        <v>-0.005</v>
      </c>
    </row>
    <row r="226" customFormat="false" ht="14.25" hidden="true" customHeight="false" outlineLevel="0" collapsed="false">
      <c r="A226" s="147" t="n">
        <v>46253</v>
      </c>
      <c r="B226" s="155" t="n">
        <v>-0.0004</v>
      </c>
      <c r="C226" s="155" t="n">
        <v>0.001</v>
      </c>
    </row>
    <row r="227" customFormat="false" ht="14.25" hidden="true" customHeight="false" outlineLevel="0" collapsed="false">
      <c r="A227" s="147" t="n">
        <v>46254</v>
      </c>
      <c r="B227" s="155" t="n">
        <v>0</v>
      </c>
      <c r="C227" s="155" t="n">
        <v>0.0055</v>
      </c>
    </row>
    <row r="228" customFormat="false" ht="14.25" hidden="true" customHeight="false" outlineLevel="0" collapsed="false">
      <c r="A228" s="147" t="n">
        <v>46255</v>
      </c>
      <c r="B228" s="155" t="n">
        <v>-0.0149</v>
      </c>
      <c r="C228" s="155" t="n">
        <v>0.0214</v>
      </c>
    </row>
    <row r="229" customFormat="false" ht="14.25" hidden="true" customHeight="false" outlineLevel="0" collapsed="false">
      <c r="A229" s="147" t="n">
        <v>46258</v>
      </c>
      <c r="B229" s="155" t="n">
        <v>0</v>
      </c>
      <c r="C229" s="155" t="n">
        <v>0.0006</v>
      </c>
    </row>
    <row r="230" customFormat="false" ht="14.25" hidden="true" customHeight="false" outlineLevel="0" collapsed="false">
      <c r="A230" s="147" t="n">
        <v>46259</v>
      </c>
      <c r="B230" s="155" t="n">
        <v>0.0078</v>
      </c>
      <c r="C230" s="155" t="n">
        <v>0.0079</v>
      </c>
    </row>
    <row r="231" customFormat="false" ht="14.25" hidden="true" customHeight="false" outlineLevel="0" collapsed="false">
      <c r="A231" s="147" t="n">
        <v>46260</v>
      </c>
      <c r="B231" s="155" t="n">
        <v>0</v>
      </c>
      <c r="C231" s="155" t="n">
        <v>-0.0015</v>
      </c>
    </row>
    <row r="232" customFormat="false" ht="14.25" hidden="true" customHeight="false" outlineLevel="0" collapsed="false">
      <c r="A232" s="147" t="n">
        <v>46261</v>
      </c>
      <c r="B232" s="155" t="n">
        <v>-0.0081</v>
      </c>
      <c r="C232" s="155" t="n">
        <v>-0.0055</v>
      </c>
    </row>
    <row r="233" customFormat="false" ht="14.25" hidden="true" customHeight="false" outlineLevel="0" collapsed="false">
      <c r="A233" s="147" t="n">
        <v>46262</v>
      </c>
      <c r="B233" s="155" t="n">
        <v>0</v>
      </c>
      <c r="C233" s="155" t="n">
        <v>-0.0053</v>
      </c>
    </row>
    <row r="234" customFormat="false" ht="14.25" hidden="true" customHeight="false" outlineLevel="0" collapsed="false">
      <c r="A234" s="147" t="n">
        <v>46265</v>
      </c>
      <c r="B234" s="155" t="n">
        <v>-0.0004</v>
      </c>
      <c r="C234" s="155" t="n">
        <v>-0.0008</v>
      </c>
    </row>
    <row r="235" customFormat="false" ht="14.25" hidden="true" customHeight="false" outlineLevel="0" collapsed="false">
      <c r="A235" s="147" t="n">
        <v>46266</v>
      </c>
      <c r="B235" s="155" t="n">
        <v>-0.0052</v>
      </c>
      <c r="C235" s="155" t="n">
        <v>-0.014</v>
      </c>
    </row>
    <row r="236" customFormat="false" ht="14.25" hidden="true" customHeight="false" outlineLevel="0" collapsed="false">
      <c r="A236" s="147" t="n">
        <v>46267</v>
      </c>
      <c r="B236" s="155" t="n">
        <v>-0.0063</v>
      </c>
      <c r="C236" s="155" t="n">
        <v>0.0057</v>
      </c>
    </row>
    <row r="237" customFormat="false" ht="14.25" hidden="true" customHeight="false" outlineLevel="0" collapsed="false">
      <c r="A237" s="147" t="n">
        <v>46268</v>
      </c>
      <c r="B237" s="155" t="n">
        <v>0</v>
      </c>
      <c r="C237" s="155" t="n">
        <v>0.0085</v>
      </c>
    </row>
    <row r="238" customFormat="false" ht="14.25" hidden="true" customHeight="false" outlineLevel="0" collapsed="false">
      <c r="A238" s="147" t="n">
        <v>46269</v>
      </c>
      <c r="B238" s="155" t="n">
        <v>-0.028</v>
      </c>
      <c r="C238" s="155" t="n">
        <v>-0.0087</v>
      </c>
    </row>
    <row r="239" customFormat="false" ht="14.25" hidden="true" customHeight="false" outlineLevel="0" collapsed="false">
      <c r="A239" s="147" t="n">
        <v>46273</v>
      </c>
      <c r="B239" s="155" t="n">
        <v>0.0096</v>
      </c>
      <c r="C239" s="155" t="n">
        <v>0.0052</v>
      </c>
    </row>
    <row r="240" customFormat="false" ht="14.25" hidden="true" customHeight="false" outlineLevel="0" collapsed="false">
      <c r="A240" s="147" t="n">
        <v>46274</v>
      </c>
      <c r="B240" s="155" t="n">
        <v>0.0095</v>
      </c>
      <c r="C240" s="155" t="n">
        <v>-0.0039</v>
      </c>
    </row>
    <row r="241" customFormat="false" ht="14.25" hidden="true" customHeight="false" outlineLevel="0" collapsed="false">
      <c r="A241" s="147" t="n">
        <v>46275</v>
      </c>
      <c r="B241" s="155" t="n">
        <v>-0.0355</v>
      </c>
      <c r="C241" s="155" t="n">
        <v>-0.0109</v>
      </c>
    </row>
    <row r="242" customFormat="false" ht="14.25" hidden="true" customHeight="false" outlineLevel="0" collapsed="false">
      <c r="A242" s="147" t="n">
        <v>46276</v>
      </c>
      <c r="B242" s="155" t="n">
        <v>0.0172</v>
      </c>
      <c r="C242" s="155" t="n">
        <v>-0.0028</v>
      </c>
    </row>
    <row r="243" customFormat="false" ht="14.25" hidden="true" customHeight="false" outlineLevel="0" collapsed="false">
      <c r="A243" s="147" t="n">
        <v>46279</v>
      </c>
      <c r="B243" s="155" t="n">
        <v>0.06</v>
      </c>
      <c r="C243" s="155" t="n">
        <v>0.0046</v>
      </c>
    </row>
    <row r="244" customFormat="false" ht="14.25" hidden="true" customHeight="false" outlineLevel="0" collapsed="false">
      <c r="A244" s="147" t="n">
        <v>46280</v>
      </c>
      <c r="B244" s="155" t="n">
        <v>0.0762</v>
      </c>
      <c r="C244" s="155" t="n">
        <v>-0.0111</v>
      </c>
    </row>
    <row r="245" customFormat="false" ht="14.25" hidden="true" customHeight="false" outlineLevel="0" collapsed="false">
      <c r="A245" s="147" t="n">
        <v>46282</v>
      </c>
      <c r="B245" s="155" t="n">
        <v>0.0121</v>
      </c>
      <c r="C245" s="155" t="n">
        <v>0.0058</v>
      </c>
    </row>
    <row r="246" customFormat="false" ht="14.25" hidden="true" customHeight="false" outlineLevel="0" collapsed="false">
      <c r="A246" s="147" t="n">
        <v>46283</v>
      </c>
      <c r="B246" s="155" t="n">
        <v>0.0073</v>
      </c>
      <c r="C246" s="155" t="n">
        <v>-0.0078</v>
      </c>
    </row>
    <row r="247" customFormat="false" ht="14.25" hidden="true" customHeight="false" outlineLevel="0" collapsed="false">
      <c r="A247" s="147" t="n">
        <v>46286</v>
      </c>
      <c r="B247" s="155" t="n">
        <v>-0.0046</v>
      </c>
      <c r="C247" s="155" t="n">
        <v>0.0025</v>
      </c>
    </row>
    <row r="248" customFormat="false" ht="14.25" hidden="true" customHeight="false" outlineLevel="0" collapsed="false">
      <c r="A248" s="147" t="n">
        <v>46288</v>
      </c>
      <c r="B248" s="155" t="n">
        <v>0.0233</v>
      </c>
      <c r="C248" s="155" t="n">
        <v>-0.0028</v>
      </c>
    </row>
    <row r="249" customFormat="false" ht="14.25" hidden="true" customHeight="false" outlineLevel="0" collapsed="false">
      <c r="A249" s="147" t="n">
        <v>46289</v>
      </c>
      <c r="B249" s="155" t="n">
        <v>0.0682</v>
      </c>
      <c r="C249" s="155" t="n">
        <v>-0.0002</v>
      </c>
    </row>
    <row r="250" customFormat="false" ht="14.25" hidden="true" customHeight="false" outlineLevel="0" collapsed="false">
      <c r="A250" s="147" t="n">
        <v>46290</v>
      </c>
      <c r="B250" s="155" t="n">
        <v>0.0176</v>
      </c>
      <c r="C250" s="155" t="n">
        <v>0.0113</v>
      </c>
    </row>
    <row r="251" customFormat="false" ht="14.25" hidden="true" customHeight="false" outlineLevel="0" collapsed="false">
      <c r="A251" s="147" t="n">
        <v>46293</v>
      </c>
      <c r="B251" s="155" t="n">
        <v>0.0111</v>
      </c>
      <c r="C251" s="155" t="n">
        <v>-0.0007</v>
      </c>
    </row>
    <row r="252" customFormat="false" ht="14.25" hidden="true" customHeight="false" outlineLevel="0" collapsed="false">
      <c r="A252" s="147" t="n">
        <v>46294</v>
      </c>
      <c r="B252" s="155" t="n">
        <v>0.0192</v>
      </c>
      <c r="C252" s="155" t="n">
        <v>0.0026</v>
      </c>
    </row>
    <row r="253" customFormat="false" ht="14.25" hidden="true" customHeight="false" outlineLevel="0" collapsed="false">
      <c r="A253" s="147" t="n">
        <v>46295</v>
      </c>
      <c r="B253" s="155" t="n">
        <v>0.0145</v>
      </c>
      <c r="C253" s="155" t="n">
        <v>-0.0138</v>
      </c>
    </row>
    <row r="254" customFormat="false" ht="14.25" hidden="true" customHeight="false" outlineLevel="0" collapsed="false">
      <c r="A254" s="147" t="n">
        <v>46296</v>
      </c>
      <c r="B254" s="155" t="n">
        <v>-0.0286</v>
      </c>
      <c r="C254" s="155" t="n">
        <v>-0.006</v>
      </c>
    </row>
    <row r="255" customFormat="false" ht="14.25" hidden="true" customHeight="false" outlineLevel="0" collapsed="false">
      <c r="A255" s="147" t="n">
        <v>46297</v>
      </c>
      <c r="B255" s="155" t="n">
        <v>0.0029</v>
      </c>
      <c r="C255" s="155" t="n">
        <v>0.011</v>
      </c>
    </row>
    <row r="256" customFormat="false" ht="14.25" hidden="true" customHeight="false" outlineLevel="0" collapsed="false">
      <c r="A256" s="147" t="n">
        <v>46300</v>
      </c>
      <c r="B256" s="155" t="n">
        <v>-0.0091</v>
      </c>
      <c r="C256" s="155" t="n">
        <v>0.0069</v>
      </c>
    </row>
    <row r="257" customFormat="false" ht="14.25" hidden="true" customHeight="false" outlineLevel="0" collapsed="false">
      <c r="A257" s="147" t="n">
        <v>46301</v>
      </c>
      <c r="B257" s="155" t="n">
        <v>-0.0201</v>
      </c>
      <c r="C257" s="155" t="n">
        <v>0.0052</v>
      </c>
    </row>
    <row r="258" customFormat="false" ht="14.25" hidden="true" customHeight="false" outlineLevel="0" collapsed="false"/>
    <row r="259" customFormat="false" ht="14.25" hidden="true" customHeight="false" outlineLevel="0" collapsed="false">
      <c r="A259" s="156" t="s">
        <v>710</v>
      </c>
    </row>
    <row r="260" customFormat="false" ht="14.25" hidden="true" customHeight="false" outlineLevel="0" collapsed="false">
      <c r="A260" s="0" t="s">
        <v>711</v>
      </c>
      <c r="B260" s="157" t="n">
        <f aca="false">SLOPE(B196:B257,C196:C257)</f>
        <v>0.0414619566109314</v>
      </c>
    </row>
    <row r="261" customFormat="false" ht="14.25" hidden="true" customHeight="false" outlineLevel="0" collapsed="false">
      <c r="A261" s="0" t="s">
        <v>664</v>
      </c>
      <c r="B261" s="158" t="n">
        <f aca="false">RSQ(B196:B257,C196:C257)</f>
        <v>0.000225094026900157</v>
      </c>
    </row>
    <row r="262" customFormat="false" ht="14.25" hidden="true" customHeight="false" outlineLevel="0" collapsed="false">
      <c r="A262" s="0" t="s">
        <v>712</v>
      </c>
      <c r="B262" s="0" t="n">
        <f aca="false">COUNT(B196:B257)</f>
        <v>62</v>
      </c>
    </row>
    <row r="263" customFormat="false" ht="14.25" hidden="true" customHeight="false" outlineLevel="0" collapsed="false">
      <c r="A263" s="0" t="s">
        <v>713</v>
      </c>
      <c r="B263" s="155" t="n">
        <v>0.414619566109315</v>
      </c>
      <c r="C263" s="123" t="s">
        <v>714</v>
      </c>
    </row>
    <row r="264" customFormat="false" ht="14.25" hidden="true" customHeight="false" outlineLevel="0" collapsed="false"/>
    <row r="265" customFormat="false" ht="14.25" hidden="true" customHeight="false" outlineLevel="0" collapsed="false">
      <c r="A265" s="156" t="s">
        <v>715</v>
      </c>
    </row>
    <row r="266" customFormat="false" ht="14.25" hidden="true" customHeight="false" outlineLevel="0" collapsed="false">
      <c r="A266" s="0" t="s">
        <v>716</v>
      </c>
      <c r="B266" s="148" t="n">
        <f aca="false">WACC!B9</f>
        <v>0.170520815748403</v>
      </c>
      <c r="C266" s="123" t="s">
        <v>717</v>
      </c>
    </row>
    <row r="267" customFormat="false" ht="14.25" hidden="true" customHeight="false" outlineLevel="0" collapsed="false">
      <c r="A267" s="0" t="s">
        <v>718</v>
      </c>
      <c r="C267" s="123" t="s">
        <v>719</v>
      </c>
    </row>
    <row r="268" customFormat="false" ht="14.25" hidden="true" customHeight="false" outlineLevel="0" collapsed="false"/>
    <row r="269" customFormat="false" ht="14.25" hidden="true" customHeight="false" outlineLevel="0" collapsed="false"/>
  </sheetData>
  <mergeCells count="5">
    <mergeCell ref="A5:C5"/>
    <mergeCell ref="A6:D6"/>
    <mergeCell ref="C33:G33"/>
    <mergeCell ref="C34:G34"/>
    <mergeCell ref="C35:G35"/>
  </mergeCells>
  <dataValidations count="1">
    <dataValidation allowBlank="false" errorStyle="stop" operator="between" showDropDown="false" showErrorMessage="false" showInputMessage="false" sqref="E6" type="list">
      <formula1>"1,2,3,0"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3.88"/>
    <col collapsed="false" customWidth="true" hidden="false" outlineLevel="0" max="3" min="3" style="0" width="22.44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7" min="7" style="0" width="62"/>
    <col collapsed="false" customWidth="true" hidden="false" outlineLevel="0" max="8" min="8" style="0" width="12"/>
    <col collapsed="false" customWidth="true" hidden="false" outlineLevel="0" max="9" min="9" style="0" width="70"/>
  </cols>
  <sheetData>
    <row r="1" customFormat="false" ht="14.25" hidden="false" customHeight="false" outlineLevel="0" collapsed="false">
      <c r="A1" s="159" t="s">
        <v>720</v>
      </c>
      <c r="B1" s="159"/>
      <c r="G1" s="119" t="s">
        <v>721</v>
      </c>
    </row>
    <row r="2" customFormat="false" ht="14.25" hidden="false" customHeight="false" outlineLevel="0" collapsed="false">
      <c r="A2" s="160" t="s">
        <v>46</v>
      </c>
      <c r="B2" s="161" t="s">
        <v>78</v>
      </c>
      <c r="C2" s="143"/>
      <c r="D2" s="143"/>
      <c r="E2" s="143"/>
      <c r="G2" s="119" t="s">
        <v>46</v>
      </c>
      <c r="H2" s="119" t="s">
        <v>78</v>
      </c>
      <c r="I2" s="119" t="s">
        <v>722</v>
      </c>
    </row>
    <row r="3" customFormat="false" ht="14.25" hidden="false" customHeight="false" outlineLevel="0" collapsed="false">
      <c r="A3" s="162" t="s">
        <v>722</v>
      </c>
      <c r="B3" s="130" t="s">
        <v>723</v>
      </c>
      <c r="E3" s="132"/>
      <c r="G3" s="36" t="s">
        <v>724</v>
      </c>
      <c r="H3" s="163" t="n">
        <v>0.217837909377843</v>
      </c>
      <c r="I3" s="36" t="s">
        <v>725</v>
      </c>
    </row>
    <row r="4" customFormat="false" ht="14.25" hidden="false" customHeight="false" outlineLevel="0" collapsed="false">
      <c r="A4" s="162" t="s">
        <v>726</v>
      </c>
      <c r="B4" s="130" t="s">
        <v>727</v>
      </c>
      <c r="E4" s="132"/>
      <c r="G4" s="36" t="s">
        <v>728</v>
      </c>
      <c r="H4" s="164" t="n">
        <f aca="false">WACC!B21</f>
        <v>23618</v>
      </c>
      <c r="I4" s="36" t="s">
        <v>729</v>
      </c>
    </row>
    <row r="5" customFormat="false" ht="14.25" hidden="false" customHeight="false" outlineLevel="0" collapsed="false">
      <c r="A5" s="162" t="s">
        <v>730</v>
      </c>
      <c r="B5" s="130" t="s">
        <v>731</v>
      </c>
      <c r="E5" s="132"/>
      <c r="G5" s="36" t="s">
        <v>732</v>
      </c>
      <c r="H5" s="165" t="n">
        <v>59580</v>
      </c>
      <c r="I5" s="36" t="s">
        <v>733</v>
      </c>
    </row>
    <row r="6" customFormat="false" ht="14.25" hidden="false" customHeight="false" outlineLevel="0" collapsed="false">
      <c r="A6" s="162" t="s">
        <v>734</v>
      </c>
      <c r="B6" s="130" t="n">
        <v>215</v>
      </c>
      <c r="E6" s="132"/>
      <c r="G6" s="36" t="s">
        <v>735</v>
      </c>
      <c r="H6" s="158" t="n">
        <f aca="false">H4/H5</f>
        <v>0.396408190668009</v>
      </c>
      <c r="I6" s="36" t="s">
        <v>736</v>
      </c>
    </row>
    <row r="7" customFormat="false" ht="14.25" hidden="false" customHeight="false" outlineLevel="0" collapsed="false">
      <c r="A7" s="162" t="s">
        <v>737</v>
      </c>
      <c r="B7" s="146" t="n">
        <v>0.87</v>
      </c>
      <c r="E7" s="132"/>
      <c r="G7" s="36" t="s">
        <v>738</v>
      </c>
      <c r="H7" s="166" t="n">
        <v>0.3</v>
      </c>
      <c r="I7" s="36" t="s">
        <v>739</v>
      </c>
    </row>
    <row r="8" customFormat="false" ht="14.25" hidden="false" customHeight="false" outlineLevel="0" collapsed="false">
      <c r="A8" s="162" t="s">
        <v>740</v>
      </c>
      <c r="B8" s="131" t="n">
        <v>0.4596</v>
      </c>
      <c r="E8" s="132"/>
      <c r="G8" s="36" t="s">
        <v>741</v>
      </c>
      <c r="H8" s="158" t="n">
        <f aca="false">H3/(1+(1-H7)*H6)</f>
        <v>0.170520815748403</v>
      </c>
      <c r="I8" s="36" t="s">
        <v>742</v>
      </c>
    </row>
    <row r="9" customFormat="false" ht="14.25" hidden="false" customHeight="false" outlineLevel="0" collapsed="false">
      <c r="A9" s="162" t="s">
        <v>743</v>
      </c>
      <c r="B9" s="131" t="n">
        <v>0.2081</v>
      </c>
      <c r="E9" s="132"/>
      <c r="G9" s="36" t="s">
        <v>744</v>
      </c>
      <c r="H9" s="167" t="n">
        <f aca="false">H3/H8-1-(1-H7)*H6</f>
        <v>0</v>
      </c>
      <c r="I9" s="36" t="s">
        <v>745</v>
      </c>
    </row>
    <row r="10" customFormat="false" ht="14.25" hidden="false" customHeight="false" outlineLevel="0" collapsed="false">
      <c r="A10" s="162" t="s">
        <v>746</v>
      </c>
      <c r="B10" s="131" t="n">
        <v>0.2537</v>
      </c>
      <c r="E10" s="132"/>
    </row>
    <row r="11" customFormat="false" ht="14.25" hidden="false" customHeight="false" outlineLevel="0" collapsed="false">
      <c r="A11" s="162" t="s">
        <v>747</v>
      </c>
      <c r="B11" s="146" t="n">
        <v>0.65</v>
      </c>
      <c r="E11" s="132"/>
    </row>
    <row r="12" customFormat="false" ht="14.25" hidden="false" customHeight="false" outlineLevel="0" collapsed="false">
      <c r="A12" s="162" t="s">
        <v>748</v>
      </c>
      <c r="B12" s="131" t="n">
        <v>0.0581</v>
      </c>
      <c r="E12" s="132"/>
    </row>
    <row r="13" customFormat="false" ht="14.25" hidden="false" customHeight="false" outlineLevel="0" collapsed="false">
      <c r="A13" s="162" t="s">
        <v>749</v>
      </c>
      <c r="B13" s="146" t="n">
        <v>0.69</v>
      </c>
      <c r="E13" s="132"/>
    </row>
    <row r="14" customFormat="false" ht="14.25" hidden="false" customHeight="false" outlineLevel="0" collapsed="false">
      <c r="A14" s="168" t="s">
        <v>750</v>
      </c>
      <c r="B14" s="169" t="n">
        <f aca="false">B7/(1+(1-B10)*B8)</f>
        <v>0.647803675992488</v>
      </c>
      <c r="C14" s="136" t="n">
        <f aca="false">B14-B11</f>
        <v>-0.00219632400751191</v>
      </c>
    </row>
    <row r="15" customFormat="false" ht="28.35" hidden="false" customHeight="false" outlineLevel="0" collapsed="false">
      <c r="A15" s="132" t="s">
        <v>751</v>
      </c>
      <c r="B15" s="158" t="n">
        <f aca="false">H3</f>
        <v>0.217837909377843</v>
      </c>
    </row>
    <row r="16" customFormat="false" ht="14.25" hidden="false" customHeight="false" outlineLevel="0" collapsed="false">
      <c r="A16" s="132" t="s">
        <v>752</v>
      </c>
      <c r="B16" s="158" t="n">
        <f aca="false">H8</f>
        <v>0.170520815748403</v>
      </c>
    </row>
    <row r="17" customFormat="false" ht="28.5" hidden="false" customHeight="true" outlineLevel="0" collapsed="false">
      <c r="A17" s="140" t="s">
        <v>753</v>
      </c>
      <c r="B17" s="146" t="n">
        <v>0.8</v>
      </c>
    </row>
    <row r="18" customFormat="false" ht="27" hidden="false" customHeight="true" outlineLevel="0" collapsed="false">
      <c r="A18" s="135" t="s">
        <v>754</v>
      </c>
      <c r="B18" s="141" t="n">
        <v>2</v>
      </c>
    </row>
    <row r="19" customFormat="false" ht="27" hidden="false" customHeight="true" outlineLevel="0" collapsed="false">
      <c r="A19" s="135" t="s">
        <v>755</v>
      </c>
      <c r="B19" s="170" t="n">
        <f aca="false">CHOOSE(B18+1,B17,B13,B16)</f>
        <v>0.170520815748403</v>
      </c>
    </row>
    <row r="20" customFormat="false" ht="14.25" hidden="false" customHeight="false" outlineLevel="0" collapsed="false">
      <c r="A20" s="132"/>
    </row>
    <row r="21" customFormat="false" ht="14.25" hidden="false" customHeight="true" outlineLevel="0" collapsed="false">
      <c r="A21" s="171" t="s">
        <v>756</v>
      </c>
      <c r="B21" s="171"/>
      <c r="C21" s="171"/>
    </row>
    <row r="22" customFormat="false" ht="14.25" hidden="false" customHeight="false" outlineLevel="0" collapsed="false">
      <c r="A22" s="135" t="s">
        <v>195</v>
      </c>
      <c r="B22" s="135" t="s">
        <v>757</v>
      </c>
      <c r="C22" s="135" t="s">
        <v>758</v>
      </c>
      <c r="D22" s="143"/>
      <c r="E22" s="143"/>
    </row>
    <row r="23" customFormat="false" ht="14.25" hidden="false" customHeight="false" outlineLevel="0" collapsed="false">
      <c r="A23" s="140" t="s">
        <v>759</v>
      </c>
      <c r="B23" s="136" t="n">
        <f aca="false">B19</f>
        <v>0.170520815748403</v>
      </c>
      <c r="C23" s="136" t="n">
        <f aca="false">B19</f>
        <v>0.170520815748403</v>
      </c>
      <c r="E23" s="132"/>
    </row>
    <row r="24" customFormat="false" ht="14.25" hidden="false" customHeight="false" outlineLevel="0" collapsed="false">
      <c r="A24" s="140" t="s">
        <v>760</v>
      </c>
      <c r="B24" s="136" t="n">
        <f aca="false">WACC!B23</f>
        <v>0.391908934023629</v>
      </c>
      <c r="C24" s="136" t="n">
        <f aca="false">'Proyección Final Soriana'!D219</f>
        <v>0.328264593963907</v>
      </c>
      <c r="E24" s="132"/>
    </row>
    <row r="25" customFormat="false" ht="14.25" hidden="false" customHeight="false" outlineLevel="0" collapsed="false">
      <c r="A25" s="140" t="s">
        <v>761</v>
      </c>
      <c r="B25" s="136" t="n">
        <f aca="false">WACC!B10</f>
        <v>0.3</v>
      </c>
      <c r="C25" s="136" t="n">
        <f aca="false">'Proyección Final Soriana'!B207</f>
        <v>0.3</v>
      </c>
      <c r="E25" s="132"/>
    </row>
    <row r="26" customFormat="false" ht="14.25" hidden="false" customHeight="false" outlineLevel="0" collapsed="false">
      <c r="A26" s="135" t="s">
        <v>762</v>
      </c>
      <c r="B26" s="136" t="n">
        <f aca="false">B23*(1+(1-B25)*B24)</f>
        <v>0.21730085753856</v>
      </c>
      <c r="C26" s="136" t="n">
        <f aca="false">C23*(1+(1-C25)*C24)</f>
        <v>0.209703978189233</v>
      </c>
      <c r="E26" s="132"/>
    </row>
    <row r="27" customFormat="false" ht="14.25" hidden="false" customHeight="false" outlineLevel="0" collapsed="false">
      <c r="A27" s="140" t="s">
        <v>763</v>
      </c>
      <c r="B27" s="139" t="n">
        <f aca="false">WACC!B5</f>
        <v>0.09517</v>
      </c>
      <c r="C27" s="139" t="n">
        <f aca="false">'Proyección Final Soriana'!B210</f>
        <v>0.09517</v>
      </c>
      <c r="E27" s="132"/>
    </row>
    <row r="28" customFormat="false" ht="14.25" hidden="false" customHeight="false" outlineLevel="0" collapsed="false">
      <c r="A28" s="140" t="s">
        <v>764</v>
      </c>
      <c r="B28" s="139" t="n">
        <f aca="false">WACC!B8</f>
        <v>0.0423</v>
      </c>
      <c r="C28" s="139" t="n">
        <f aca="false">'Proyección Final Soriana'!B211</f>
        <v>0.0423</v>
      </c>
      <c r="E28" s="132"/>
    </row>
    <row r="29" customFormat="false" ht="14.25" hidden="false" customHeight="false" outlineLevel="0" collapsed="false">
      <c r="A29" s="135" t="s">
        <v>765</v>
      </c>
      <c r="B29" s="139" t="n">
        <f aca="false">B27+B26*B28</f>
        <v>0.104361826273881</v>
      </c>
      <c r="C29" s="139" t="n">
        <f aca="false">C27+C26*C28</f>
        <v>0.104040478277405</v>
      </c>
      <c r="E29" s="132"/>
    </row>
    <row r="30" customFormat="false" ht="14.25" hidden="false" customHeight="false" outlineLevel="0" collapsed="false">
      <c r="A30" s="140" t="s">
        <v>766</v>
      </c>
      <c r="B30" s="139" t="n">
        <f aca="false">WACC!B33</f>
        <v>0.100630184051038</v>
      </c>
      <c r="C30" s="139" t="n">
        <f aca="false">'Proyección Final Soriana'!B126</f>
        <v>0.0956277841268195</v>
      </c>
      <c r="E30" s="132"/>
    </row>
    <row r="31" customFormat="false" ht="14.25" hidden="false" customHeight="false" outlineLevel="0" collapsed="false">
      <c r="A31" s="140" t="s">
        <v>767</v>
      </c>
      <c r="B31" s="136" t="n">
        <f aca="false">B26-WACC!B28</f>
        <v>0</v>
      </c>
      <c r="C31" s="136" t="n">
        <f aca="false">C26-'Proyección Final Soriana'!E219</f>
        <v>0</v>
      </c>
      <c r="E31" s="132"/>
    </row>
    <row r="32" customFormat="false" ht="28.5" hidden="false" customHeight="true" outlineLevel="0" collapsed="false">
      <c r="A32" s="140" t="s">
        <v>768</v>
      </c>
      <c r="B32" s="139" t="n">
        <f aca="false">WACC!B5+B7*WACC!B8</f>
        <v>0.131971</v>
      </c>
      <c r="C32" s="130"/>
    </row>
    <row r="33" customFormat="false" ht="14.25" hidden="false" customHeight="false" outlineLevel="0" collapsed="false">
      <c r="A33" s="132"/>
    </row>
    <row r="34" customFormat="false" ht="14.25" hidden="false" customHeight="true" outlineLevel="0" collapsed="false">
      <c r="A34" s="171" t="s">
        <v>769</v>
      </c>
      <c r="B34" s="171"/>
      <c r="C34" s="171"/>
      <c r="D34" s="171"/>
      <c r="E34" s="171"/>
    </row>
    <row r="35" customFormat="false" ht="27" hidden="false" customHeight="true" outlineLevel="0" collapsed="false">
      <c r="A35" s="135" t="s">
        <v>195</v>
      </c>
      <c r="B35" s="135" t="s">
        <v>770</v>
      </c>
      <c r="C35" s="135" t="s">
        <v>771</v>
      </c>
      <c r="D35" s="135" t="s">
        <v>772</v>
      </c>
      <c r="E35" s="135" t="s">
        <v>667</v>
      </c>
    </row>
    <row r="36" customFormat="false" ht="14.25" hidden="false" customHeight="false" outlineLevel="0" collapsed="false">
      <c r="A36" s="140" t="s">
        <v>773</v>
      </c>
      <c r="B36" s="136" t="n">
        <f aca="false">Validación!H8</f>
        <v>0.69</v>
      </c>
      <c r="C36" s="136" t="n">
        <f aca="false">Validación!F8</f>
        <v>0.170520815748403</v>
      </c>
      <c r="D36" s="136" t="n">
        <f aca="false">C36-B36</f>
        <v>-0.519479184251597</v>
      </c>
      <c r="E36" s="130" t="s">
        <v>774</v>
      </c>
    </row>
    <row r="37" customFormat="false" ht="14.25" hidden="false" customHeight="false" outlineLevel="0" collapsed="false">
      <c r="A37" s="140" t="s">
        <v>775</v>
      </c>
      <c r="B37" s="136" t="n">
        <f aca="false">Validación!H14</f>
        <v>0.907086203708222</v>
      </c>
      <c r="C37" s="136" t="n">
        <f aca="false">Validación!F14</f>
        <v>0.209703978189233</v>
      </c>
      <c r="D37" s="136" t="n">
        <f aca="false">C37-B37</f>
        <v>-0.697382225518989</v>
      </c>
      <c r="E37" s="130"/>
    </row>
    <row r="38" customFormat="false" ht="14.25" hidden="false" customHeight="false" outlineLevel="0" collapsed="false">
      <c r="A38" s="140" t="s">
        <v>776</v>
      </c>
      <c r="B38" s="139" t="n">
        <f aca="false">Validación!H13</f>
        <v>0.133539746416858</v>
      </c>
      <c r="C38" s="139" t="n">
        <f aca="false">Validación!F13</f>
        <v>0.104040478277405</v>
      </c>
      <c r="D38" s="139" t="n">
        <f aca="false">C38-B38</f>
        <v>-0.029499268139453</v>
      </c>
      <c r="E38" s="130"/>
    </row>
    <row r="39" customFormat="false" ht="14.25" hidden="false" customHeight="false" outlineLevel="0" collapsed="false">
      <c r="A39" s="140" t="s">
        <v>777</v>
      </c>
      <c r="B39" s="139" t="n">
        <f aca="false">Validación!H12</f>
        <v>0.113837026578705</v>
      </c>
      <c r="C39" s="139" t="n">
        <f aca="false">Validación!F12</f>
        <v>0.0956277841268195</v>
      </c>
      <c r="D39" s="139" t="n">
        <f aca="false">C39-B39</f>
        <v>-0.0182092424518855</v>
      </c>
      <c r="E39" s="130"/>
    </row>
    <row r="40" customFormat="false" ht="14.25" hidden="false" customHeight="false" outlineLevel="0" collapsed="false">
      <c r="A40" s="140" t="s">
        <v>778</v>
      </c>
      <c r="B40" s="139" t="n">
        <f aca="false">Validación!H15</f>
        <v>0.120748041823037</v>
      </c>
      <c r="C40" s="139" t="n">
        <f aca="false">Validación!F15</f>
        <v>0.100630184051038</v>
      </c>
      <c r="D40" s="139" t="n">
        <f aca="false">C40-B40</f>
        <v>-0.020117857771999</v>
      </c>
      <c r="E40" s="130"/>
    </row>
    <row r="41" customFormat="false" ht="14.25" hidden="false" customHeight="false" outlineLevel="0" collapsed="false">
      <c r="A41" s="140" t="s">
        <v>779</v>
      </c>
      <c r="B41" s="139" t="n">
        <f aca="false">Validación!H16</f>
        <v>0.132364052240143</v>
      </c>
      <c r="C41" s="139" t="n">
        <f aca="false">Validación!F16</f>
        <v>0.104361826273881</v>
      </c>
      <c r="D41" s="139" t="n">
        <f aca="false">C41-B41</f>
        <v>-0.028002225966262</v>
      </c>
      <c r="E41" s="130"/>
    </row>
    <row r="42" customFormat="false" ht="14.25" hidden="false" customHeight="false" outlineLevel="0" collapsed="false">
      <c r="A42" s="140" t="s">
        <v>780</v>
      </c>
      <c r="B42" s="172" t="n">
        <f aca="false">Validación!H11</f>
        <v>67198.4289751488</v>
      </c>
      <c r="C42" s="172" t="n">
        <f aca="false">Validación!F11</f>
        <v>79382.6971683179</v>
      </c>
      <c r="D42" s="172" t="n">
        <f aca="false">C42-B42</f>
        <v>12184.2681931691</v>
      </c>
      <c r="E42" s="130"/>
    </row>
    <row r="43" customFormat="false" ht="14.25" hidden="false" customHeight="false" outlineLevel="0" collapsed="false">
      <c r="A43" s="140" t="s">
        <v>781</v>
      </c>
      <c r="B43" s="172" t="n">
        <f aca="false">Validación!H10</f>
        <v>56910.4022601389</v>
      </c>
      <c r="C43" s="172" t="n">
        <f aca="false">Validación!F10</f>
        <v>69012.1409597606</v>
      </c>
      <c r="D43" s="172" t="n">
        <f aca="false">C43-B43</f>
        <v>12101.7386996217</v>
      </c>
      <c r="E43" s="130"/>
    </row>
    <row r="44" customFormat="false" ht="14.25" hidden="false" customHeight="false" outlineLevel="0" collapsed="false">
      <c r="A44" s="135" t="s">
        <v>782</v>
      </c>
      <c r="B44" s="173" t="n">
        <f aca="false">Validación!H9</f>
        <v>31.6168901445216</v>
      </c>
      <c r="C44" s="173" t="n">
        <f aca="false">Validación!F9</f>
        <v>38.3400783109781</v>
      </c>
      <c r="D44" s="173" t="n">
        <f aca="false">C44-B44</f>
        <v>6.7231881664565</v>
      </c>
      <c r="E44" s="130"/>
    </row>
    <row r="45" customFormat="false" ht="14.25" hidden="false" customHeight="false" outlineLevel="0" collapsed="false">
      <c r="A45" s="135" t="s">
        <v>783</v>
      </c>
      <c r="B45" s="173" t="n">
        <f aca="false">Validación!H19</f>
        <v>32.5548654995095</v>
      </c>
      <c r="C45" s="173" t="n">
        <f aca="false">Validación!F19</f>
        <v>35.9164595827377</v>
      </c>
      <c r="D45" s="173" t="n">
        <f aca="false">C45-B45</f>
        <v>3.3615940832282</v>
      </c>
      <c r="E45" s="130"/>
    </row>
    <row r="46" customFormat="false" ht="14.25" hidden="false" customHeight="false" outlineLevel="0" collapsed="false">
      <c r="A46" s="132"/>
    </row>
    <row r="47" customFormat="false" ht="14.25" hidden="false" customHeight="true" outlineLevel="0" collapsed="false">
      <c r="A47" s="174" t="s">
        <v>784</v>
      </c>
      <c r="B47" s="174"/>
      <c r="C47" s="174"/>
      <c r="D47" s="174"/>
      <c r="E47" s="174"/>
    </row>
    <row r="48" customFormat="false" ht="30" hidden="false" customHeight="true" outlineLevel="0" collapsed="false">
      <c r="A48" s="135" t="s">
        <v>785</v>
      </c>
      <c r="B48" s="131" t="n">
        <f aca="false">'Proyección Final Soriana'!C61</f>
        <v>0.1</v>
      </c>
      <c r="C48" s="130"/>
      <c r="D48" s="130"/>
      <c r="E48" s="140" t="s">
        <v>786</v>
      </c>
    </row>
    <row r="49" customFormat="false" ht="30" hidden="false" customHeight="true" outlineLevel="0" collapsed="false">
      <c r="A49" s="140" t="s">
        <v>787</v>
      </c>
      <c r="B49" s="131" t="n">
        <f aca="false">(Datos!E10+Datos!F10)*2/Datos!F29</f>
        <v>0.0986484820696688</v>
      </c>
      <c r="C49" s="130"/>
      <c r="D49" s="130"/>
      <c r="E49" s="140" t="s">
        <v>788</v>
      </c>
    </row>
    <row r="50" customFormat="false" ht="30" hidden="false" customHeight="true" outlineLevel="0" collapsed="false">
      <c r="A50" s="140" t="s">
        <v>789</v>
      </c>
      <c r="B50" s="131" t="n">
        <f aca="false">B48-B49</f>
        <v>0.00135151793033124</v>
      </c>
      <c r="C50" s="130"/>
      <c r="D50" s="130"/>
      <c r="E50" s="140" t="s">
        <v>790</v>
      </c>
    </row>
    <row r="51" customFormat="false" ht="30" hidden="false" customHeight="true" outlineLevel="0" collapsed="false">
      <c r="A51" s="140" t="s">
        <v>791</v>
      </c>
      <c r="B51" s="131" t="n">
        <f aca="false">WACC!B31</f>
        <v>0.130154966550936</v>
      </c>
      <c r="C51" s="130"/>
      <c r="D51" s="130"/>
      <c r="E51" s="140" t="s">
        <v>792</v>
      </c>
    </row>
    <row r="52" customFormat="false" ht="14.25" hidden="false" customHeight="false" outlineLevel="0" collapsed="false">
      <c r="A52" s="132"/>
    </row>
  </sheetData>
  <mergeCells count="4">
    <mergeCell ref="A1:B1"/>
    <mergeCell ref="A21:C21"/>
    <mergeCell ref="A34:E34"/>
    <mergeCell ref="A47:E47"/>
  </mergeCells>
  <dataValidations count="1">
    <dataValidation allowBlank="false" errorStyle="stop" operator="between" showDropDown="false" showErrorMessage="false" showInputMessage="false" sqref="B18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D70" activeCellId="0" sqref="D7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36" width="98.67"/>
    <col collapsed="false" customWidth="true" hidden="false" outlineLevel="0" max="2" min="2" style="36" width="11"/>
    <col collapsed="false" customWidth="true" hidden="false" outlineLevel="0" max="3" min="3" style="36" width="22"/>
    <col collapsed="false" customWidth="true" hidden="false" outlineLevel="0" max="4" min="4" style="36" width="73.44"/>
    <col collapsed="false" customWidth="true" hidden="false" outlineLevel="0" max="5" min="5" style="36" width="22.44"/>
    <col collapsed="false" customWidth="true" hidden="false" outlineLevel="0" max="6" min="6" style="36" width="19.11"/>
    <col collapsed="false" customWidth="true" hidden="false" outlineLevel="0" max="7" min="7" style="36" width="10.56"/>
    <col collapsed="false" customWidth="true" hidden="false" outlineLevel="0" max="8" min="8" style="36" width="11.44"/>
    <col collapsed="false" customWidth="true" hidden="false" outlineLevel="0" max="9" min="9" style="36" width="14.44"/>
    <col collapsed="false" customWidth="true" hidden="false" outlineLevel="0" max="10" min="10" style="36" width="17.67"/>
    <col collapsed="false" customWidth="true" hidden="false" outlineLevel="0" max="11" min="11" style="36" width="11.11"/>
    <col collapsed="false" customWidth="true" hidden="true" outlineLevel="0" max="12" min="12" style="36" width="48"/>
    <col collapsed="false" customWidth="true" hidden="false" outlineLevel="0" max="13" min="13" style="36" width="14"/>
    <col collapsed="false" customWidth="true" hidden="false" outlineLevel="0" max="14" min="14" style="36" width="14.44"/>
    <col collapsed="false" customWidth="true" hidden="false" outlineLevel="0" max="15" min="15" style="36" width="11.89"/>
    <col collapsed="false" customWidth="true" hidden="false" outlineLevel="0" max="16" min="16" style="36" width="8.34"/>
    <col collapsed="false" customWidth="true" hidden="false" outlineLevel="0" max="17" min="17" style="36" width="12.56"/>
    <col collapsed="false" customWidth="true" hidden="false" outlineLevel="0" max="18" min="18" style="36" width="15.11"/>
    <col collapsed="false" customWidth="true" hidden="false" outlineLevel="0" max="19" min="19" style="36" width="8.88"/>
    <col collapsed="false" customWidth="false" hidden="false" outlineLevel="0" max="16384" min="20" style="36" width="8.67"/>
  </cols>
  <sheetData>
    <row r="1" customFormat="false" ht="15" hidden="false" customHeight="true" outlineLevel="0" collapsed="false">
      <c r="A1" s="175" t="s">
        <v>793</v>
      </c>
    </row>
    <row r="2" customFormat="false" ht="14.25" hidden="false" customHeight="false" outlineLevel="0" collapsed="false">
      <c r="A2" s="77"/>
    </row>
    <row r="3" s="176" customFormat="true" ht="14.25" hidden="false" customHeight="false" outlineLevel="0" collapsed="false">
      <c r="A3" s="2" t="s">
        <v>794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customFormat="false" ht="15" hidden="false" customHeight="true" outlineLevel="0" collapsed="false">
      <c r="A4" s="177" t="s">
        <v>795</v>
      </c>
      <c r="B4" s="177" t="s">
        <v>796</v>
      </c>
      <c r="C4" s="177" t="s">
        <v>797</v>
      </c>
      <c r="D4" s="177" t="s">
        <v>798</v>
      </c>
      <c r="E4" s="177" t="s">
        <v>799</v>
      </c>
      <c r="F4" s="177" t="s">
        <v>800</v>
      </c>
      <c r="G4" s="177" t="s">
        <v>801</v>
      </c>
      <c r="H4" s="177" t="s">
        <v>802</v>
      </c>
      <c r="I4" s="177" t="s">
        <v>803</v>
      </c>
      <c r="J4" s="177" t="s">
        <v>804</v>
      </c>
      <c r="K4" s="177" t="s">
        <v>805</v>
      </c>
      <c r="L4" s="177" t="s">
        <v>806</v>
      </c>
      <c r="M4" s="177" t="s">
        <v>807</v>
      </c>
      <c r="N4" s="177" t="s">
        <v>808</v>
      </c>
      <c r="O4" s="177" t="s">
        <v>809</v>
      </c>
      <c r="P4" s="177" t="s">
        <v>810</v>
      </c>
      <c r="Q4" s="177" t="s">
        <v>811</v>
      </c>
      <c r="R4" s="177" t="s">
        <v>812</v>
      </c>
      <c r="S4" s="177" t="s">
        <v>813</v>
      </c>
    </row>
    <row r="5" customFormat="false" ht="15" hidden="false" customHeight="true" outlineLevel="0" collapsed="false">
      <c r="A5" s="178" t="s">
        <v>814</v>
      </c>
      <c r="B5" s="178" t="s">
        <v>815</v>
      </c>
      <c r="C5" s="178" t="s">
        <v>816</v>
      </c>
      <c r="D5" s="179" t="s">
        <v>817</v>
      </c>
      <c r="E5" s="180" t="n">
        <v>7428.7</v>
      </c>
      <c r="F5" s="180" t="n">
        <v>16018.2</v>
      </c>
      <c r="G5" s="181" t="n">
        <v>0.064</v>
      </c>
      <c r="H5" s="181" t="n">
        <v>-0.0335</v>
      </c>
      <c r="I5" s="182" t="n">
        <v>2.5</v>
      </c>
      <c r="J5" s="183" t="s">
        <v>818</v>
      </c>
      <c r="K5" s="183" t="n">
        <v>1</v>
      </c>
      <c r="L5" s="179" t="s">
        <v>819</v>
      </c>
      <c r="M5" s="184" t="n">
        <v>0.5</v>
      </c>
      <c r="N5" s="184" t="n">
        <v>5.7</v>
      </c>
      <c r="O5" s="184" t="n">
        <v>8.8</v>
      </c>
      <c r="P5" s="184" t="n">
        <v>13.1</v>
      </c>
      <c r="Q5" s="184" t="n">
        <v>2</v>
      </c>
      <c r="R5" s="184" t="n">
        <v>5.17</v>
      </c>
      <c r="S5" s="184" t="n">
        <v>11.18</v>
      </c>
    </row>
    <row r="6" customFormat="false" ht="15" hidden="false" customHeight="true" outlineLevel="0" collapsed="false">
      <c r="A6" s="178" t="s">
        <v>820</v>
      </c>
      <c r="B6" s="178" t="s">
        <v>821</v>
      </c>
      <c r="C6" s="178" t="s">
        <v>822</v>
      </c>
      <c r="D6" s="179" t="s">
        <v>823</v>
      </c>
      <c r="E6" s="180" t="n">
        <v>2853.8</v>
      </c>
      <c r="F6" s="180" t="n">
        <v>8146.6</v>
      </c>
      <c r="G6" s="181" t="n">
        <v>0.059</v>
      </c>
      <c r="H6" s="181" t="n">
        <v>0.1871</v>
      </c>
      <c r="I6" s="182" t="n">
        <v>2.6</v>
      </c>
      <c r="J6" s="183" t="s">
        <v>824</v>
      </c>
      <c r="K6" s="183" t="n">
        <v>1</v>
      </c>
      <c r="L6" s="179" t="s">
        <v>825</v>
      </c>
      <c r="M6" s="184" t="n">
        <v>0.4</v>
      </c>
      <c r="N6" s="184" t="n">
        <v>5.3</v>
      </c>
      <c r="O6" s="184" t="n">
        <v>6.6</v>
      </c>
      <c r="P6" s="184" t="n">
        <v>4.7</v>
      </c>
      <c r="Q6" s="184" t="n">
        <v>0.8</v>
      </c>
      <c r="R6" s="184" t="n">
        <v>5.04</v>
      </c>
      <c r="S6" s="184" t="n">
        <v>6.32</v>
      </c>
    </row>
    <row r="7" customFormat="false" ht="15" hidden="false" customHeight="true" outlineLevel="0" collapsed="false">
      <c r="A7" s="178" t="s">
        <v>826</v>
      </c>
      <c r="B7" s="178" t="s">
        <v>815</v>
      </c>
      <c r="C7" s="178" t="s">
        <v>827</v>
      </c>
      <c r="D7" s="179" t="s">
        <v>828</v>
      </c>
      <c r="E7" s="180" t="n">
        <v>9571.4</v>
      </c>
      <c r="F7" s="180" t="n">
        <v>12791.2</v>
      </c>
      <c r="G7" s="181" t="n">
        <v>0.142</v>
      </c>
      <c r="H7" s="181" t="n">
        <v>0.0304</v>
      </c>
      <c r="I7" s="182" t="n">
        <v>1.6</v>
      </c>
      <c r="J7" s="183" t="s">
        <v>829</v>
      </c>
      <c r="K7" s="183" t="n">
        <v>0</v>
      </c>
      <c r="L7" s="179" t="s">
        <v>830</v>
      </c>
      <c r="M7" s="184" t="n">
        <v>0.8</v>
      </c>
      <c r="N7" s="184" t="n">
        <v>4.9</v>
      </c>
      <c r="O7" s="184" t="n">
        <v>5.9</v>
      </c>
      <c r="P7" s="184" t="n">
        <v>8.2</v>
      </c>
      <c r="Q7" s="184" t="n">
        <v>0.8</v>
      </c>
      <c r="R7" s="184" t="n">
        <v>4.69</v>
      </c>
      <c r="S7" s="184" t="n">
        <v>6.29</v>
      </c>
    </row>
    <row r="8" customFormat="false" ht="15" hidden="false" customHeight="true" outlineLevel="0" collapsed="false">
      <c r="A8" s="178" t="s">
        <v>831</v>
      </c>
      <c r="B8" s="178" t="s">
        <v>815</v>
      </c>
      <c r="C8" s="178" t="s">
        <v>822</v>
      </c>
      <c r="D8" s="179" t="s">
        <v>832</v>
      </c>
      <c r="E8" s="180" t="n">
        <v>52191.3</v>
      </c>
      <c r="F8" s="180" t="n">
        <v>56741.1</v>
      </c>
      <c r="G8" s="181" t="n">
        <v>0.096</v>
      </c>
      <c r="H8" s="181" t="n">
        <v>0.0287</v>
      </c>
      <c r="I8" s="182" t="n">
        <v>0.8</v>
      </c>
      <c r="J8" s="183" t="s">
        <v>824</v>
      </c>
      <c r="K8" s="183" t="n">
        <v>1</v>
      </c>
      <c r="L8" s="179" t="s">
        <v>833</v>
      </c>
      <c r="M8" s="184" t="n">
        <v>0.9</v>
      </c>
      <c r="N8" s="184" t="n">
        <v>9.1</v>
      </c>
      <c r="O8" s="184" t="n">
        <v>12</v>
      </c>
      <c r="P8" s="184" t="n">
        <v>17.8</v>
      </c>
      <c r="Q8" s="184" t="n">
        <v>4.3</v>
      </c>
      <c r="R8" s="184" t="n">
        <v>8.52</v>
      </c>
      <c r="S8" s="184" t="n">
        <v>16.13</v>
      </c>
    </row>
    <row r="9" customFormat="false" ht="15" hidden="false" customHeight="true" outlineLevel="0" collapsed="false">
      <c r="A9" s="178" t="s">
        <v>834</v>
      </c>
      <c r="B9" s="178" t="s">
        <v>815</v>
      </c>
      <c r="C9" s="178" t="s">
        <v>816</v>
      </c>
      <c r="D9" s="179" t="s">
        <v>835</v>
      </c>
      <c r="E9" s="180" t="n">
        <v>2140.3</v>
      </c>
      <c r="F9" s="180" t="n">
        <v>2735.8</v>
      </c>
      <c r="G9" s="181" t="n">
        <v>0.1</v>
      </c>
      <c r="H9" s="181" t="n">
        <v>0.086</v>
      </c>
      <c r="I9" s="182" t="n">
        <v>0.5</v>
      </c>
      <c r="J9" s="183" t="s">
        <v>824</v>
      </c>
      <c r="K9" s="183" t="n">
        <v>1</v>
      </c>
      <c r="L9" s="179" t="s">
        <v>836</v>
      </c>
      <c r="M9" s="184" t="n">
        <v>0.8</v>
      </c>
      <c r="N9" s="184" t="n">
        <v>7.4</v>
      </c>
      <c r="O9" s="184" t="n">
        <v>10.7</v>
      </c>
      <c r="P9" s="184" t="n">
        <v>14.6</v>
      </c>
      <c r="Q9" s="184" t="n">
        <v>1.4</v>
      </c>
      <c r="R9" s="184" t="n">
        <v>7.07</v>
      </c>
      <c r="S9" s="184" t="n">
        <v>13.9</v>
      </c>
    </row>
    <row r="10" customFormat="false" ht="15" hidden="false" customHeight="true" outlineLevel="0" collapsed="false">
      <c r="A10" s="178" t="s">
        <v>837</v>
      </c>
      <c r="B10" s="178" t="s">
        <v>821</v>
      </c>
      <c r="C10" s="178" t="s">
        <v>822</v>
      </c>
      <c r="D10" s="179" t="s">
        <v>838</v>
      </c>
      <c r="E10" s="180" t="n">
        <v>6909.1</v>
      </c>
      <c r="F10" s="180" t="n">
        <v>15576.1</v>
      </c>
      <c r="G10" s="181" t="n">
        <v>0.078</v>
      </c>
      <c r="H10" s="181" t="n">
        <v>0.0169</v>
      </c>
      <c r="I10" s="182" t="n">
        <v>4</v>
      </c>
      <c r="J10" s="183" t="s">
        <v>824</v>
      </c>
      <c r="K10" s="183" t="n">
        <v>1</v>
      </c>
      <c r="L10" s="179" t="s">
        <v>839</v>
      </c>
      <c r="M10" s="184" t="n">
        <v>0.4</v>
      </c>
      <c r="N10" s="184" t="n">
        <v>5.5</v>
      </c>
      <c r="O10" s="184" t="n">
        <v>7.6</v>
      </c>
      <c r="P10" s="184" t="n">
        <v>16.8</v>
      </c>
      <c r="Q10" s="184" t="n">
        <v>17.1</v>
      </c>
      <c r="R10" s="184" t="n">
        <v>4.77</v>
      </c>
      <c r="S10" s="184" t="n">
        <v>11.68</v>
      </c>
    </row>
    <row r="11" customFormat="false" ht="15" hidden="false" customHeight="true" outlineLevel="0" collapsed="false">
      <c r="A11" s="178" t="s">
        <v>840</v>
      </c>
      <c r="B11" s="178" t="s">
        <v>841</v>
      </c>
      <c r="C11" s="178" t="s">
        <v>822</v>
      </c>
      <c r="D11" s="179" t="s">
        <v>842</v>
      </c>
      <c r="E11" s="180" t="n">
        <v>11831.7</v>
      </c>
      <c r="F11" s="180" t="n">
        <v>17028</v>
      </c>
      <c r="G11" s="181" t="n">
        <v>0.056</v>
      </c>
      <c r="H11" s="181" t="n">
        <v>-0.016</v>
      </c>
      <c r="I11" s="182" t="n">
        <v>5.1</v>
      </c>
      <c r="J11" s="183" t="s">
        <v>824</v>
      </c>
      <c r="K11" s="183" t="n">
        <v>1</v>
      </c>
      <c r="L11" s="179" t="s">
        <v>843</v>
      </c>
      <c r="M11" s="184" t="n">
        <v>0.7</v>
      </c>
      <c r="N11" s="184" t="n">
        <v>9.3</v>
      </c>
      <c r="O11" s="184" t="n">
        <v>14</v>
      </c>
      <c r="P11" s="184" t="n">
        <v>21</v>
      </c>
      <c r="Q11" s="184" t="n">
        <v>2.7</v>
      </c>
      <c r="R11" s="184" t="n">
        <v>6.88</v>
      </c>
      <c r="S11" s="184" t="n">
        <v>15.27</v>
      </c>
    </row>
    <row r="12" customFormat="false" ht="15" hidden="false" customHeight="true" outlineLevel="0" collapsed="false">
      <c r="A12" s="178" t="s">
        <v>844</v>
      </c>
      <c r="B12" s="178" t="s">
        <v>845</v>
      </c>
      <c r="C12" s="178" t="s">
        <v>822</v>
      </c>
      <c r="D12" s="179" t="s">
        <v>846</v>
      </c>
      <c r="E12" s="180" t="n">
        <v>6092.8</v>
      </c>
      <c r="F12" s="180" t="n">
        <v>6992.8</v>
      </c>
      <c r="G12" s="181" t="n">
        <v>0.11</v>
      </c>
      <c r="H12" s="181" t="n">
        <v>0.0785</v>
      </c>
      <c r="I12" s="182" t="n">
        <v>3.2</v>
      </c>
      <c r="J12" s="183" t="s">
        <v>824</v>
      </c>
      <c r="K12" s="183" t="n">
        <v>1</v>
      </c>
      <c r="L12" s="179" t="s">
        <v>847</v>
      </c>
      <c r="M12" s="184" t="n">
        <v>0.9</v>
      </c>
      <c r="N12" s="184" t="n">
        <v>7</v>
      </c>
      <c r="O12" s="184" t="n">
        <v>10</v>
      </c>
      <c r="P12" s="184" t="n">
        <v>13.6</v>
      </c>
      <c r="Q12" s="184" t="n">
        <v>4.2</v>
      </c>
      <c r="R12" s="184" t="n">
        <v>6.49</v>
      </c>
      <c r="S12" s="184" t="n">
        <v>13.1</v>
      </c>
    </row>
    <row r="13" customFormat="false" ht="15" hidden="false" customHeight="true" outlineLevel="0" collapsed="false">
      <c r="A13" s="178" t="s">
        <v>848</v>
      </c>
      <c r="B13" s="178" t="s">
        <v>815</v>
      </c>
      <c r="C13" s="178" t="s">
        <v>849</v>
      </c>
      <c r="D13" s="179" t="s">
        <v>850</v>
      </c>
      <c r="E13" s="180" t="n">
        <v>49954.9</v>
      </c>
      <c r="F13" s="180" t="n">
        <v>48576.5</v>
      </c>
      <c r="G13" s="181" t="n">
        <v>0.118</v>
      </c>
      <c r="H13" s="181" t="n">
        <v>0.0745</v>
      </c>
      <c r="I13" s="182" t="n">
        <v>2.1</v>
      </c>
      <c r="J13" s="183" t="s">
        <v>829</v>
      </c>
      <c r="K13" s="183" t="n">
        <v>0</v>
      </c>
      <c r="L13" s="179" t="s">
        <v>851</v>
      </c>
      <c r="M13" s="184" t="n">
        <v>1.1</v>
      </c>
      <c r="N13" s="184" t="n">
        <v>7.5</v>
      </c>
      <c r="O13" s="184" t="n">
        <v>11.1</v>
      </c>
      <c r="P13" s="184" t="n">
        <v>25.9</v>
      </c>
      <c r="Q13" s="184" t="n">
        <v>11.6</v>
      </c>
      <c r="R13" s="184" t="n">
        <v>6.58</v>
      </c>
      <c r="S13" s="184" t="n">
        <v>20.88</v>
      </c>
    </row>
    <row r="14" customFormat="false" ht="15" hidden="false" customHeight="true" outlineLevel="0" collapsed="false">
      <c r="A14" s="178" t="s">
        <v>852</v>
      </c>
      <c r="B14" s="178" t="s">
        <v>841</v>
      </c>
      <c r="C14" s="178" t="s">
        <v>827</v>
      </c>
      <c r="D14" s="179" t="s">
        <v>853</v>
      </c>
      <c r="E14" s="180" t="n">
        <v>20976.5</v>
      </c>
      <c r="F14" s="180" t="n">
        <v>14289.2</v>
      </c>
      <c r="G14" s="181" t="n">
        <v>0.127</v>
      </c>
      <c r="H14" s="181" t="n">
        <v>0.0894</v>
      </c>
      <c r="I14" s="182" t="n">
        <v>3</v>
      </c>
      <c r="J14" s="183" t="s">
        <v>829</v>
      </c>
      <c r="K14" s="183" t="n">
        <v>0</v>
      </c>
      <c r="L14" s="179" t="s">
        <v>854</v>
      </c>
      <c r="M14" s="184" t="n">
        <v>1.5</v>
      </c>
      <c r="N14" s="184" t="n">
        <v>10.4</v>
      </c>
      <c r="O14" s="184" t="n">
        <v>12.8</v>
      </c>
      <c r="P14" s="184" t="n">
        <v>10.4</v>
      </c>
      <c r="Q14" s="184" t="n">
        <v>2</v>
      </c>
      <c r="R14" s="184" t="n">
        <v>9.77</v>
      </c>
      <c r="S14" s="184" t="n">
        <v>18.33</v>
      </c>
    </row>
    <row r="15" customFormat="false" ht="14.25" hidden="false" customHeight="false" outlineLevel="0" collapsed="false">
      <c r="A15" s="183" t="s">
        <v>855</v>
      </c>
      <c r="B15" s="178"/>
      <c r="C15" s="178"/>
      <c r="D15" s="178"/>
      <c r="E15" s="180" t="n">
        <v>4103.2</v>
      </c>
      <c r="F15" s="180" t="n">
        <v>9502.5</v>
      </c>
      <c r="G15" s="181" t="n">
        <v>0.064</v>
      </c>
      <c r="H15" s="181" t="n">
        <v>-0.0293</v>
      </c>
      <c r="I15" s="182" t="n">
        <v>2</v>
      </c>
      <c r="J15" s="178"/>
      <c r="K15" s="178"/>
      <c r="L15" s="178"/>
      <c r="M15" s="184" t="n">
        <v>0.4</v>
      </c>
      <c r="N15" s="184" t="n">
        <v>6.3</v>
      </c>
      <c r="O15" s="184" t="n">
        <v>9.9</v>
      </c>
      <c r="P15" s="184" t="n">
        <v>15.7</v>
      </c>
      <c r="Q15" s="184" t="n">
        <v>0.8</v>
      </c>
      <c r="R15" s="184" t="n">
        <v>6.53</v>
      </c>
      <c r="S15" s="184" t="n">
        <v>15.08</v>
      </c>
    </row>
    <row r="16" customFormat="false" ht="14.25" hidden="false" customHeight="false" outlineLevel="0" collapsed="false">
      <c r="A16" s="77"/>
    </row>
    <row r="17" s="176" customFormat="true" ht="14.25" hidden="false" customHeight="false" outlineLevel="0" collapsed="false">
      <c r="A17" s="185" t="s">
        <v>856</v>
      </c>
      <c r="B17" s="185"/>
    </row>
    <row r="18" customFormat="false" ht="14.25" hidden="false" customHeight="false" outlineLevel="0" collapsed="false">
      <c r="A18" s="130" t="s">
        <v>857</v>
      </c>
      <c r="B18" s="186" t="n">
        <f aca="false">SUM(Datos!C6:F6)</f>
        <v>174278</v>
      </c>
      <c r="C18" s="77"/>
    </row>
    <row r="19" customFormat="false" ht="14.25" hidden="false" customHeight="false" outlineLevel="0" collapsed="false">
      <c r="A19" s="130" t="s">
        <v>858</v>
      </c>
      <c r="B19" s="186" t="n">
        <f aca="false">SUM(Datos!C9:F9)</f>
        <v>7631</v>
      </c>
      <c r="C19" s="77"/>
    </row>
    <row r="20" customFormat="false" ht="14.25" hidden="false" customHeight="false" outlineLevel="0" collapsed="false">
      <c r="A20" s="130" t="s">
        <v>859</v>
      </c>
      <c r="B20" s="186" t="n">
        <f aca="false">SUM(Datos!C14:F14)</f>
        <v>4179.871</v>
      </c>
      <c r="C20" s="77"/>
    </row>
    <row r="21" customFormat="false" ht="14.25" hidden="false" customHeight="false" outlineLevel="0" collapsed="false">
      <c r="A21" s="187" t="s">
        <v>860</v>
      </c>
      <c r="B21" s="186" t="n">
        <f aca="false">B19+B20</f>
        <v>11810.871</v>
      </c>
      <c r="C21" s="77"/>
    </row>
    <row r="22" customFormat="false" ht="14.25" hidden="false" customHeight="false" outlineLevel="0" collapsed="false">
      <c r="A22" s="130" t="s">
        <v>861</v>
      </c>
      <c r="B22" s="186" t="n">
        <f aca="false">SUM(Datos!C13:F13)</f>
        <v>3816</v>
      </c>
      <c r="C22" s="77"/>
    </row>
    <row r="23" customFormat="false" ht="14.25" hidden="false" customHeight="false" outlineLevel="0" collapsed="false">
      <c r="A23" s="130" t="s">
        <v>57</v>
      </c>
      <c r="B23" s="186" t="n">
        <f aca="false">WACC!B17</f>
        <v>1800</v>
      </c>
      <c r="C23" s="77"/>
    </row>
    <row r="24" customFormat="false" ht="14.25" hidden="false" customHeight="false" outlineLevel="0" collapsed="false">
      <c r="A24" s="130" t="s">
        <v>862</v>
      </c>
      <c r="B24" s="188" t="n">
        <f aca="false">B22/B23</f>
        <v>2.12</v>
      </c>
      <c r="C24" s="77"/>
    </row>
    <row r="25" customFormat="false" ht="14.25" hidden="false" customHeight="false" outlineLevel="0" collapsed="false">
      <c r="A25" s="130" t="s">
        <v>638</v>
      </c>
      <c r="B25" s="186" t="n">
        <f aca="false">Datos!F17</f>
        <v>6875.384</v>
      </c>
      <c r="C25" s="77"/>
    </row>
    <row r="26" customFormat="false" ht="14.25" hidden="false" customHeight="false" outlineLevel="0" collapsed="false">
      <c r="A26" s="130" t="s">
        <v>636</v>
      </c>
      <c r="B26" s="186" t="n">
        <f aca="false">-(Datos!F25+Datos!F26)</f>
        <v>-11500</v>
      </c>
      <c r="C26" s="77"/>
    </row>
    <row r="27" customFormat="false" ht="14.25" hidden="false" customHeight="false" outlineLevel="0" collapsed="false">
      <c r="A27" s="130" t="s">
        <v>637</v>
      </c>
      <c r="B27" s="186" t="n">
        <f aca="false">-(Datos!F27+Datos!F28)</f>
        <v>-12220.588</v>
      </c>
      <c r="C27" s="77"/>
    </row>
    <row r="28" customFormat="false" ht="14.25" hidden="false" customHeight="false" outlineLevel="0" collapsed="false">
      <c r="A28" s="130" t="s">
        <v>863</v>
      </c>
      <c r="B28" s="186" t="n">
        <v>0</v>
      </c>
      <c r="C28" s="77"/>
    </row>
    <row r="29" customFormat="false" ht="14.25" hidden="false" customHeight="false" outlineLevel="0" collapsed="false">
      <c r="A29" s="130" t="s">
        <v>864</v>
      </c>
      <c r="B29" s="186" t="n">
        <v>0</v>
      </c>
      <c r="C29" s="77"/>
    </row>
    <row r="30" customFormat="false" ht="14.25" hidden="false" customHeight="false" outlineLevel="0" collapsed="false">
      <c r="A30" s="187" t="s">
        <v>865</v>
      </c>
      <c r="B30" s="186" t="n">
        <f aca="false">SUM(B25:B29)</f>
        <v>-16845.204</v>
      </c>
      <c r="C30" s="77"/>
    </row>
    <row r="32" s="176" customFormat="true" ht="13.5" hidden="false" customHeight="true" outlineLevel="0" collapsed="false">
      <c r="A32" s="189" t="s">
        <v>866</v>
      </c>
      <c r="B32" s="189"/>
      <c r="C32" s="189"/>
      <c r="D32" s="189"/>
      <c r="E32" s="189"/>
    </row>
    <row r="33" customFormat="false" ht="13.5" hidden="false" customHeight="true" outlineLevel="0" collapsed="false">
      <c r="A33" s="190" t="s">
        <v>867</v>
      </c>
      <c r="B33" s="190" t="s">
        <v>868</v>
      </c>
      <c r="C33" s="190" t="s">
        <v>869</v>
      </c>
      <c r="D33" s="190" t="s">
        <v>870</v>
      </c>
      <c r="E33" s="190" t="s">
        <v>871</v>
      </c>
      <c r="F33" s="191"/>
    </row>
    <row r="34" customFormat="false" ht="13.5" hidden="false" customHeight="true" outlineLevel="0" collapsed="false">
      <c r="A34" s="187" t="s">
        <v>808</v>
      </c>
      <c r="B34" s="130" t="s">
        <v>872</v>
      </c>
      <c r="C34" s="192" t="n">
        <f aca="false">$B$21</f>
        <v>11810.871</v>
      </c>
      <c r="D34" s="187" t="n">
        <v>1</v>
      </c>
      <c r="E34" s="187" t="s">
        <v>873</v>
      </c>
      <c r="F34" s="132"/>
      <c r="G34" s="132"/>
      <c r="H34" s="132"/>
      <c r="I34" s="132"/>
      <c r="J34" s="132"/>
      <c r="K34" s="132"/>
      <c r="L34" s="132"/>
    </row>
    <row r="35" customFormat="false" ht="13.5" hidden="false" customHeight="true" outlineLevel="0" collapsed="false">
      <c r="A35" s="187" t="s">
        <v>809</v>
      </c>
      <c r="B35" s="130" t="s">
        <v>872</v>
      </c>
      <c r="C35" s="192" t="n">
        <f aca="false">$B$19</f>
        <v>7631</v>
      </c>
      <c r="D35" s="187" t="n">
        <v>1</v>
      </c>
      <c r="E35" s="187" t="s">
        <v>873</v>
      </c>
      <c r="F35" s="132"/>
      <c r="G35" s="132"/>
      <c r="H35" s="132"/>
      <c r="I35" s="132"/>
      <c r="J35" s="132"/>
      <c r="K35" s="132"/>
      <c r="L35" s="132"/>
    </row>
    <row r="36" customFormat="false" ht="13.5" hidden="false" customHeight="true" outlineLevel="0" collapsed="false">
      <c r="A36" s="187" t="s">
        <v>810</v>
      </c>
      <c r="B36" s="130" t="s">
        <v>874</v>
      </c>
      <c r="C36" s="192" t="n">
        <f aca="false">$B$24</f>
        <v>2.12</v>
      </c>
      <c r="D36" s="187" t="n">
        <v>1</v>
      </c>
      <c r="E36" s="187" t="s">
        <v>873</v>
      </c>
      <c r="F36" s="132"/>
      <c r="G36" s="132"/>
      <c r="H36" s="132"/>
      <c r="I36" s="132"/>
      <c r="J36" s="132"/>
      <c r="K36" s="132"/>
      <c r="L36" s="132"/>
    </row>
    <row r="37" customFormat="false" ht="13.5" hidden="false" customHeight="true" outlineLevel="0" collapsed="false">
      <c r="A37" s="187" t="s">
        <v>807</v>
      </c>
      <c r="B37" s="130" t="s">
        <v>872</v>
      </c>
      <c r="C37" s="192" t="n">
        <f aca="false">$B$18</f>
        <v>174278</v>
      </c>
      <c r="D37" s="187" t="n">
        <v>0</v>
      </c>
      <c r="E37" s="187" t="s">
        <v>875</v>
      </c>
      <c r="F37" s="132"/>
      <c r="G37" s="132"/>
      <c r="H37" s="132"/>
      <c r="I37" s="132"/>
      <c r="J37" s="132"/>
      <c r="K37" s="132"/>
      <c r="L37" s="132"/>
    </row>
    <row r="38" customFormat="false" ht="13.5" hidden="false" customHeight="true" outlineLevel="0" collapsed="false">
      <c r="A38" s="187" t="s">
        <v>811</v>
      </c>
      <c r="B38" s="130" t="s">
        <v>874</v>
      </c>
      <c r="C38" s="192" t="s">
        <v>876</v>
      </c>
      <c r="D38" s="187" t="n">
        <v>0</v>
      </c>
      <c r="E38" s="187" t="s">
        <v>876</v>
      </c>
      <c r="F38" s="132"/>
      <c r="G38" s="132"/>
      <c r="H38" s="132"/>
      <c r="I38" s="132"/>
      <c r="J38" s="132"/>
      <c r="K38" s="132"/>
      <c r="L38" s="132"/>
    </row>
    <row r="39" customFormat="false" ht="13.5" hidden="false" customHeight="true" outlineLevel="0" collapsed="false">
      <c r="A39" s="187" t="s">
        <v>812</v>
      </c>
      <c r="B39" s="130" t="s">
        <v>872</v>
      </c>
      <c r="C39" s="192" t="s">
        <v>876</v>
      </c>
      <c r="D39" s="187" t="n">
        <v>0</v>
      </c>
      <c r="E39" s="187" t="s">
        <v>876</v>
      </c>
      <c r="F39" s="132"/>
      <c r="G39" s="132"/>
      <c r="H39" s="132"/>
      <c r="I39" s="132"/>
      <c r="J39" s="132"/>
      <c r="K39" s="132"/>
      <c r="L39" s="132"/>
    </row>
    <row r="40" customFormat="false" ht="13.5" hidden="false" customHeight="true" outlineLevel="0" collapsed="false">
      <c r="A40" s="187" t="s">
        <v>813</v>
      </c>
      <c r="B40" s="130" t="s">
        <v>874</v>
      </c>
      <c r="C40" s="192" t="s">
        <v>876</v>
      </c>
      <c r="D40" s="187" t="n">
        <v>0</v>
      </c>
      <c r="E40" s="187" t="s">
        <v>876</v>
      </c>
      <c r="F40" s="132"/>
      <c r="G40" s="132"/>
      <c r="H40" s="132"/>
      <c r="I40" s="132"/>
      <c r="J40" s="132"/>
      <c r="K40" s="132"/>
      <c r="L40" s="132"/>
    </row>
    <row r="43" s="176" customFormat="true" ht="14.25" hidden="false" customHeight="false" outlineLevel="0" collapsed="false">
      <c r="A43" s="193" t="s">
        <v>877</v>
      </c>
      <c r="B43" s="193"/>
      <c r="C43" s="193"/>
      <c r="D43" s="193"/>
      <c r="E43" s="193"/>
    </row>
    <row r="44" customFormat="false" ht="14.25" hidden="false" customHeight="false" outlineLevel="0" collapsed="false">
      <c r="A44" s="177" t="s">
        <v>878</v>
      </c>
      <c r="B44" s="194" t="s">
        <v>879</v>
      </c>
      <c r="C44" s="194" t="s">
        <v>880</v>
      </c>
      <c r="D44" s="194" t="s">
        <v>881</v>
      </c>
      <c r="E44" s="194" t="s">
        <v>134</v>
      </c>
    </row>
    <row r="45" customFormat="false" ht="14.25" hidden="false" customHeight="false" outlineLevel="0" collapsed="false">
      <c r="A45" s="178" t="str">
        <f aca="false">A5</f>
        <v>Grupo Comercial Chedraui, S.A.B. de C.V. (BMV:CHDRAUI B)</v>
      </c>
      <c r="B45" s="195" t="n">
        <f aca="false">IF(AND($K$5=1,ISNUMBER(M5)),M5,"")</f>
        <v>0.5</v>
      </c>
      <c r="C45" s="195" t="n">
        <f aca="false">IF(AND($K$5=1,ISNUMBER(N5)),N5,"")</f>
        <v>5.7</v>
      </c>
      <c r="D45" s="195" t="n">
        <f aca="false">IF(AND($K$5=1,ISNUMBER(O5)),O5,"")</f>
        <v>8.8</v>
      </c>
      <c r="E45" s="195" t="n">
        <f aca="false">IF(AND($K$5=1,ISNUMBER(P5)),P5,"")</f>
        <v>13.1</v>
      </c>
    </row>
    <row r="46" customFormat="false" ht="14.25" hidden="false" customHeight="false" outlineLevel="0" collapsed="false">
      <c r="A46" s="178" t="str">
        <f aca="false">A6</f>
        <v>Grupo Mateus S.A. (BOVESPA:GMAT3)</v>
      </c>
      <c r="B46" s="195" t="n">
        <f aca="false">IF(AND($K$6=1,ISNUMBER(M6)),M6,"")</f>
        <v>0.4</v>
      </c>
      <c r="C46" s="195" t="n">
        <f aca="false">IF(AND($K$6=1,ISNUMBER(N6)),N6,"")</f>
        <v>5.3</v>
      </c>
      <c r="D46" s="195" t="n">
        <f aca="false">IF(AND($K$6=1,ISNUMBER(O6)),O6,"")</f>
        <v>6.6</v>
      </c>
      <c r="E46" s="195" t="n">
        <f aca="false">IF(AND($K$6=1,ISNUMBER(P6)),P6,"")</f>
        <v>4.7</v>
      </c>
    </row>
    <row r="47" customFormat="false" ht="14.25" hidden="false" customHeight="false" outlineLevel="0" collapsed="false">
      <c r="A47" s="178" t="str">
        <f aca="false">A7</f>
        <v>El Puerto de Liverpool, S.A.B. de C.V. (BMV:LIVEPOL C-1)</v>
      </c>
      <c r="B47" s="195" t="str">
        <f aca="false">IF(AND($K$7=1,ISNUMBER(M7)),M7,"")</f>
        <v/>
      </c>
      <c r="C47" s="195" t="str">
        <f aca="false">IF(AND($K$7=1,ISNUMBER(N7)),N7,"")</f>
        <v/>
      </c>
      <c r="D47" s="195" t="str">
        <f aca="false">IF(AND($K$7=1,ISNUMBER(O7)),O7,"")</f>
        <v/>
      </c>
      <c r="E47" s="195" t="str">
        <f aca="false">IF(AND($K$7=1,ISNUMBER(P7)),P7,"")</f>
        <v/>
      </c>
    </row>
    <row r="48" customFormat="false" ht="14.25" hidden="false" customHeight="false" outlineLevel="0" collapsed="false">
      <c r="A48" s="178" t="str">
        <f aca="false">A8</f>
        <v>Wal-Mart de México, S.A.B. de C.V. (BMV:WALMEX *)</v>
      </c>
      <c r="B48" s="195" t="n">
        <f aca="false">IF(AND($K$8=1,ISNUMBER(M8)),M8,"")</f>
        <v>0.9</v>
      </c>
      <c r="C48" s="195" t="n">
        <f aca="false">IF(AND($K$8=1,ISNUMBER(N8)),N8,"")</f>
        <v>9.1</v>
      </c>
      <c r="D48" s="195" t="n">
        <f aca="false">IF(AND($K$8=1,ISNUMBER(O8)),O8,"")</f>
        <v>12</v>
      </c>
      <c r="E48" s="195" t="n">
        <f aca="false">IF(AND($K$8=1,ISNUMBER(P8)),P8,"")</f>
        <v>17.8</v>
      </c>
    </row>
    <row r="49" customFormat="false" ht="14.25" hidden="false" customHeight="false" outlineLevel="0" collapsed="false">
      <c r="A49" s="178" t="str">
        <f aca="false">A9</f>
        <v>La Comer, S.A.B. de C.V. (BMV:LACOMER UBC)</v>
      </c>
      <c r="B49" s="195" t="n">
        <f aca="false">IF(AND($K$9=1,ISNUMBER(M9)),M9,"")</f>
        <v>0.8</v>
      </c>
      <c r="C49" s="195" t="n">
        <f aca="false">IF(AND($K$9=1,ISNUMBER(N9)),N9,"")</f>
        <v>7.4</v>
      </c>
      <c r="D49" s="195" t="n">
        <f aca="false">IF(AND($K$9=1,ISNUMBER(O9)),O9,"")</f>
        <v>10.7</v>
      </c>
      <c r="E49" s="195" t="n">
        <f aca="false">IF(AND($K$9=1,ISNUMBER(P9)),P9,"")</f>
        <v>14.6</v>
      </c>
    </row>
    <row r="50" customFormat="false" ht="14.25" hidden="false" customHeight="false" outlineLevel="0" collapsed="false">
      <c r="A50" s="178" t="str">
        <f aca="false">A10</f>
        <v>Sendas Distribuidora S.A. (BOVESPA:ASAI3)</v>
      </c>
      <c r="B50" s="195" t="n">
        <f aca="false">IF(AND($K$10=1,ISNUMBER(M10)),M10,"")</f>
        <v>0.4</v>
      </c>
      <c r="C50" s="195" t="n">
        <f aca="false">IF(AND($K$10=1,ISNUMBER(N10)),N10,"")</f>
        <v>5.5</v>
      </c>
      <c r="D50" s="195" t="n">
        <f aca="false">IF(AND($K$10=1,ISNUMBER(O10)),O10,"")</f>
        <v>7.6</v>
      </c>
      <c r="E50" s="195" t="n">
        <f aca="false">IF(AND($K$10=1,ISNUMBER(P10)),P10,"")</f>
        <v>16.8</v>
      </c>
    </row>
    <row r="51" customFormat="false" ht="14.25" hidden="false" customHeight="false" outlineLevel="0" collapsed="false">
      <c r="A51" s="178" t="str">
        <f aca="false">A11</f>
        <v>Cencosud S.A. (SNSE:CENCOSUD)</v>
      </c>
      <c r="B51" s="195" t="n">
        <f aca="false">IF(AND($K$11=1,ISNUMBER(M11)),M11,"")</f>
        <v>0.7</v>
      </c>
      <c r="C51" s="195" t="n">
        <f aca="false">IF(AND($K$11=1,ISNUMBER(N11)),N11,"")</f>
        <v>9.3</v>
      </c>
      <c r="D51" s="195" t="n">
        <f aca="false">IF(AND($K$11=1,ISNUMBER(O11)),O11,"")</f>
        <v>14</v>
      </c>
      <c r="E51" s="195" t="n">
        <f aca="false">IF(AND($K$11=1,ISNUMBER(P11)),P11,"")</f>
        <v>21</v>
      </c>
    </row>
    <row r="52" customFormat="false" ht="14.25" hidden="false" customHeight="false" outlineLevel="0" collapsed="false">
      <c r="A52" s="178" t="str">
        <f aca="false">A12</f>
        <v>InRetail Perú Corp. (BVL:INRETC1)</v>
      </c>
      <c r="B52" s="195" t="n">
        <f aca="false">IF(AND($K$12=1,ISNUMBER(M12)),M12,"")</f>
        <v>0.9</v>
      </c>
      <c r="C52" s="195" t="n">
        <f aca="false">IF(AND($K$12=1,ISNUMBER(N12)),N12,"")</f>
        <v>7</v>
      </c>
      <c r="D52" s="195" t="n">
        <f aca="false">IF(AND($K$12=1,ISNUMBER(O12)),O12,"")</f>
        <v>10</v>
      </c>
      <c r="E52" s="195" t="n">
        <f aca="false">IF(AND($K$12=1,ISNUMBER(P12)),P12,"")</f>
        <v>13.6</v>
      </c>
    </row>
    <row r="53" customFormat="false" ht="14.25" hidden="false" customHeight="false" outlineLevel="0" collapsed="false">
      <c r="A53" s="178" t="str">
        <f aca="false">A13</f>
        <v>Fomento Económico Mexicano, S.A.B. de C.V. (BMV:FEMSA UBD)</v>
      </c>
      <c r="B53" s="195" t="str">
        <f aca="false">IF(AND($K$13=1,ISNUMBER(M13)),M13,"")</f>
        <v/>
      </c>
      <c r="C53" s="195" t="str">
        <f aca="false">IF(AND($K$13=1,ISNUMBER(N13)),N13,"")</f>
        <v/>
      </c>
      <c r="D53" s="195" t="str">
        <f aca="false">IF(AND($K$13=1,ISNUMBER(O13)),O13,"")</f>
        <v/>
      </c>
      <c r="E53" s="195" t="str">
        <f aca="false">IF(AND($K$13=1,ISNUMBER(P13)),P13,"")</f>
        <v/>
      </c>
    </row>
    <row r="54" customFormat="false" ht="14.25" hidden="false" customHeight="false" outlineLevel="0" collapsed="false">
      <c r="A54" s="178" t="str">
        <f aca="false">A14</f>
        <v>Falabella S.A. (SNSE:FALABELLA)</v>
      </c>
      <c r="B54" s="184" t="str">
        <f aca="false">IF(AND($K$14=1,ISNUMBER(M14)),M14,"")</f>
        <v/>
      </c>
      <c r="C54" s="184" t="str">
        <f aca="false">IF(AND($K$14=1,ISNUMBER(N14)),N14,"")</f>
        <v/>
      </c>
      <c r="D54" s="184" t="str">
        <f aca="false">IF(AND($K$14=1,ISNUMBER(O14)),O14,"")</f>
        <v/>
      </c>
      <c r="E54" s="184" t="str">
        <f aca="false">IF(AND($K$14=1,ISNUMBER(P14)),P14,"")</f>
        <v/>
      </c>
    </row>
    <row r="55" customFormat="false" ht="14.25" hidden="false" customHeight="false" outlineLevel="0" collapsed="false">
      <c r="A55" s="196"/>
      <c r="B55" s="197"/>
      <c r="C55" s="197"/>
      <c r="D55" s="197"/>
      <c r="E55" s="197"/>
    </row>
    <row r="56" customFormat="false" ht="14.25" hidden="false" customHeight="false" outlineLevel="0" collapsed="false">
      <c r="A56" s="198" t="s">
        <v>882</v>
      </c>
      <c r="B56" s="198"/>
      <c r="C56" s="198"/>
      <c r="D56" s="198"/>
      <c r="E56" s="198"/>
      <c r="F56" s="198"/>
      <c r="G56" s="198"/>
      <c r="H56" s="198"/>
      <c r="I56" s="198"/>
      <c r="J56" s="198"/>
    </row>
    <row r="57" customFormat="false" ht="28.5" hidden="false" customHeight="true" outlineLevel="0" collapsed="false">
      <c r="A57" s="190" t="s">
        <v>883</v>
      </c>
      <c r="B57" s="190" t="s">
        <v>879</v>
      </c>
      <c r="C57" s="190" t="s">
        <v>880</v>
      </c>
      <c r="D57" s="190" t="s">
        <v>881</v>
      </c>
      <c r="E57" s="190" t="s">
        <v>134</v>
      </c>
      <c r="F57" s="190"/>
      <c r="G57" s="190" t="s">
        <v>884</v>
      </c>
      <c r="H57" s="190" t="s">
        <v>885</v>
      </c>
      <c r="I57" s="190" t="s">
        <v>886</v>
      </c>
      <c r="J57" s="190" t="s">
        <v>887</v>
      </c>
    </row>
    <row r="58" customFormat="false" ht="14.25" hidden="false" customHeight="false" outlineLevel="0" collapsed="false">
      <c r="A58" s="130" t="s">
        <v>888</v>
      </c>
      <c r="B58" s="199" t="n">
        <f aca="false">MIN(B45:B54)</f>
        <v>0.4</v>
      </c>
      <c r="C58" s="199" t="n">
        <f aca="false">MIN(C45:C54)</f>
        <v>5.3</v>
      </c>
      <c r="D58" s="199" t="n">
        <f aca="false">MIN(D45:D54)</f>
        <v>6.6</v>
      </c>
      <c r="E58" s="199" t="n">
        <f aca="false">MIN(E45:E54)</f>
        <v>4.7</v>
      </c>
      <c r="F58" s="130"/>
      <c r="G58" s="200" t="n">
        <f aca="false">IF(B58*$B$18+$B$30&gt;0,(B58*$B$18+$B$30)/$B$23,"NM")</f>
        <v>29.3699977777778</v>
      </c>
      <c r="H58" s="200" t="n">
        <f aca="false">IF(C58*$B$21+$B$30&gt;0,(C58*$B$21+$B$30)/$B$23,"NM")</f>
        <v>25.4180068333333</v>
      </c>
      <c r="I58" s="200" t="n">
        <f aca="false">IF(D58*$B$19+$B$30&gt;0,(D58*$B$19+$B$30)/$B$23,"NM")</f>
        <v>18.6218866666667</v>
      </c>
      <c r="J58" s="200" t="n">
        <f aca="false">IF(E58*$B$24&gt;0,E58*$B$24,"NM")</f>
        <v>9.964</v>
      </c>
    </row>
    <row r="59" customFormat="false" ht="14.25" hidden="false" customHeight="false" outlineLevel="0" collapsed="false">
      <c r="A59" s="130" t="s">
        <v>889</v>
      </c>
      <c r="B59" s="199" t="n">
        <f aca="false">PERCENTILE(B45:B54,0.25)</f>
        <v>0.45</v>
      </c>
      <c r="C59" s="199" t="n">
        <f aca="false">PERCENTILE(C45:C54,0.25)</f>
        <v>5.6</v>
      </c>
      <c r="D59" s="199" t="n">
        <f aca="false">PERCENTILE(D45:D54,0.25)</f>
        <v>8.2</v>
      </c>
      <c r="E59" s="199" t="n">
        <f aca="false">PERCENTILE(E45:E54,0.25)</f>
        <v>13.35</v>
      </c>
      <c r="F59" s="130"/>
      <c r="G59" s="200" t="n">
        <f aca="false">IF(B59*$B$18+$B$30&gt;0,(B59*$B$18+$B$30)/$B$23,"NM")</f>
        <v>34.2110533333333</v>
      </c>
      <c r="H59" s="200" t="n">
        <f aca="false">IF(C59*$B$21+$B$30&gt;0,(C59*$B$21+$B$30)/$B$23,"NM")</f>
        <v>27.3864853333333</v>
      </c>
      <c r="I59" s="200" t="n">
        <f aca="false">IF(D59*$B$19+$B$30&gt;0,(D59*$B$19+$B$30)/$B$23,"NM")</f>
        <v>25.4049977777778</v>
      </c>
      <c r="J59" s="200" t="n">
        <f aca="false">IF(E59*$B$24&gt;0,E59*$B$24,"NM")</f>
        <v>28.302</v>
      </c>
    </row>
    <row r="60" customFormat="false" ht="14.25" hidden="false" customHeight="false" outlineLevel="0" collapsed="false">
      <c r="A60" s="187" t="s">
        <v>546</v>
      </c>
      <c r="B60" s="199" t="n">
        <f aca="false">AVERAGE(B45:B54)</f>
        <v>0.657142857142857</v>
      </c>
      <c r="C60" s="199" t="n">
        <f aca="false">AVERAGE(C45:C54)</f>
        <v>7.04285714285714</v>
      </c>
      <c r="D60" s="199" t="n">
        <f aca="false">AVERAGE(D45:D54)</f>
        <v>9.95714285714286</v>
      </c>
      <c r="E60" s="199" t="n">
        <f aca="false">AVERAGE(E45:E54)</f>
        <v>14.5142857142857</v>
      </c>
      <c r="F60" s="130"/>
      <c r="G60" s="200" t="n">
        <f aca="false">IF(B60*$B$18+$B$30&gt;0,(B60*$B$18+$B$30)/$B$23,"NM")</f>
        <v>54.2668549206349</v>
      </c>
      <c r="H60" s="200" t="n">
        <f aca="false">IF(C60*$B$21+$B$30&gt;0,(C60*$B$21+$B$30)/$B$23,"NM")</f>
        <v>36.853929547619</v>
      </c>
      <c r="I60" s="200" t="n">
        <f aca="false">IF(D60*$B$19+$B$30&gt;0,(D60*$B$19+$B$30)/$B$23,"NM")</f>
        <v>32.8543073015873</v>
      </c>
      <c r="J60" s="200" t="n">
        <f aca="false">IF(E60*$B$24&gt;0,E60*$B$24,"NM")</f>
        <v>30.7702857142857</v>
      </c>
    </row>
    <row r="61" customFormat="false" ht="14.25" hidden="false" customHeight="false" outlineLevel="0" collapsed="false">
      <c r="A61" s="130" t="s">
        <v>890</v>
      </c>
      <c r="B61" s="199" t="n">
        <f aca="false">MEDIAN(B45:B54)</f>
        <v>0.7</v>
      </c>
      <c r="C61" s="199" t="n">
        <f aca="false">MEDIAN(C45:C54)</f>
        <v>7</v>
      </c>
      <c r="D61" s="199" t="n">
        <f aca="false">MEDIAN(D45:D54)</f>
        <v>10</v>
      </c>
      <c r="E61" s="199" t="n">
        <f aca="false">MEDIAN(E45:E54)</f>
        <v>14.6</v>
      </c>
      <c r="F61" s="130"/>
      <c r="G61" s="200" t="n">
        <f aca="false">IF(B61*$B$18+$B$30&gt;0,(B61*$B$18+$B$30)/$B$23,"NM")</f>
        <v>58.4163311111111</v>
      </c>
      <c r="H61" s="200" t="n">
        <f aca="false">IF(C61*$B$21+$B$30&gt;0,(C61*$B$21+$B$30)/$B$23,"NM")</f>
        <v>36.5727183333333</v>
      </c>
      <c r="I61" s="200" t="n">
        <f aca="false">IF(D61*$B$19+$B$30&gt;0,(D61*$B$19+$B$30)/$B$23,"NM")</f>
        <v>33.0359977777778</v>
      </c>
      <c r="J61" s="200" t="n">
        <f aca="false">IF(E61*$B$24&gt;0,E61*$B$24,"NM")</f>
        <v>30.952</v>
      </c>
    </row>
    <row r="62" customFormat="false" ht="14.25" hidden="false" customHeight="false" outlineLevel="0" collapsed="false">
      <c r="A62" s="130" t="s">
        <v>891</v>
      </c>
      <c r="B62" s="199" t="n">
        <f aca="false">PERCENTILE(B45:B54,0.75)</f>
        <v>0.85</v>
      </c>
      <c r="C62" s="199" t="n">
        <f aca="false">PERCENTILE(C45:C54,0.75)</f>
        <v>8.25</v>
      </c>
      <c r="D62" s="199" t="n">
        <f aca="false">PERCENTILE(D45:D54,0.75)</f>
        <v>11.35</v>
      </c>
      <c r="E62" s="199" t="n">
        <f aca="false">PERCENTILE(E45:E54,0.75)</f>
        <v>17.3</v>
      </c>
      <c r="F62" s="130"/>
      <c r="G62" s="200" t="n">
        <f aca="false">IF(B62*$B$18+$B$30&gt;0,(B62*$B$18+$B$30)/$B$23,"NM")</f>
        <v>72.9394977777778</v>
      </c>
      <c r="H62" s="200" t="n">
        <f aca="false">IF(C62*$B$21+$B$30&gt;0,(C62*$B$21+$B$30)/$B$23,"NM")</f>
        <v>44.7747120833333</v>
      </c>
      <c r="I62" s="200" t="n">
        <f aca="false">IF(D62*$B$19+$B$30&gt;0,(D62*$B$19+$B$30)/$B$23,"NM")</f>
        <v>38.7592477777778</v>
      </c>
      <c r="J62" s="200" t="n">
        <f aca="false">IF(E62*$B$24&gt;0,E62*$B$24,"NM")</f>
        <v>36.676</v>
      </c>
    </row>
    <row r="63" customFormat="false" ht="14.25" hidden="false" customHeight="false" outlineLevel="0" collapsed="false">
      <c r="A63" s="130" t="s">
        <v>892</v>
      </c>
      <c r="B63" s="199" t="n">
        <f aca="false">MAX(B45:B54)</f>
        <v>0.9</v>
      </c>
      <c r="C63" s="199" t="n">
        <f aca="false">MAX(C45:C54)</f>
        <v>9.3</v>
      </c>
      <c r="D63" s="199" t="n">
        <f aca="false">MAX(D45:D54)</f>
        <v>14</v>
      </c>
      <c r="E63" s="199" t="n">
        <f aca="false">MAX(E45:E54)</f>
        <v>21</v>
      </c>
      <c r="F63" s="130"/>
      <c r="G63" s="200" t="n">
        <f aca="false">IF(B63*$B$18+$B$30&gt;0,(B63*$B$18+$B$30)/$B$23,"NM")</f>
        <v>77.7805533333333</v>
      </c>
      <c r="H63" s="200" t="n">
        <f aca="false">IF(C63*$B$21+$B$30&gt;0,(C63*$B$21+$B$30)/$B$23,"NM")</f>
        <v>51.6643868333333</v>
      </c>
      <c r="I63" s="200" t="n">
        <f aca="false">IF(D63*$B$19+$B$30&gt;0,(D63*$B$19+$B$30)/$B$23,"NM")</f>
        <v>49.9937755555556</v>
      </c>
      <c r="J63" s="200" t="n">
        <f aca="false">IF(E63*$B$24&gt;0,E63*$B$24,"NM")</f>
        <v>44.52</v>
      </c>
    </row>
    <row r="64" customFormat="false" ht="14.25" hidden="false" customHeight="false" outlineLevel="0" collapsed="false">
      <c r="A64" s="130" t="s">
        <v>340</v>
      </c>
      <c r="B64" s="201" t="n">
        <f aca="false">COUNT(B45:B54)</f>
        <v>7</v>
      </c>
      <c r="C64" s="201" t="n">
        <f aca="false">COUNT(C45:C54)</f>
        <v>7</v>
      </c>
      <c r="D64" s="201" t="n">
        <f aca="false">COUNT(D45:D54)</f>
        <v>7</v>
      </c>
      <c r="E64" s="201" t="n">
        <f aca="false">COUNT(E45:E54)</f>
        <v>7</v>
      </c>
      <c r="F64" s="130"/>
      <c r="G64" s="130"/>
      <c r="H64" s="130"/>
      <c r="I64" s="130"/>
      <c r="J64" s="130"/>
    </row>
    <row r="65" customFormat="false" ht="14.25" hidden="false" customHeight="false" outlineLevel="0" collapsed="false">
      <c r="A65" s="77"/>
    </row>
    <row r="66" customFormat="false" ht="14.25" hidden="false" customHeight="false" outlineLevel="0" collapsed="false">
      <c r="A66" s="194" t="s">
        <v>893</v>
      </c>
      <c r="B66" s="194" t="s">
        <v>879</v>
      </c>
      <c r="C66" s="194" t="s">
        <v>880</v>
      </c>
      <c r="D66" s="194" t="s">
        <v>881</v>
      </c>
      <c r="E66" s="194" t="s">
        <v>134</v>
      </c>
    </row>
    <row r="67" customFormat="false" ht="14.25" hidden="false" customHeight="false" outlineLevel="0" collapsed="false">
      <c r="A67" s="202" t="s">
        <v>894</v>
      </c>
      <c r="B67" s="203" t="n">
        <f aca="false">$B$18</f>
        <v>174278</v>
      </c>
      <c r="C67" s="203" t="n">
        <f aca="false">$B$21</f>
        <v>11810.871</v>
      </c>
      <c r="D67" s="203" t="n">
        <f aca="false">$B$19</f>
        <v>7631</v>
      </c>
      <c r="E67" s="203" t="n">
        <f aca="false">$B$24</f>
        <v>2.12</v>
      </c>
    </row>
    <row r="68" customFormat="false" ht="14.25" hidden="false" customHeight="false" outlineLevel="0" collapsed="false">
      <c r="A68" s="202" t="s">
        <v>895</v>
      </c>
      <c r="B68" s="204" t="n">
        <f aca="false">B60*$B$18</f>
        <v>114525.542857143</v>
      </c>
      <c r="C68" s="204" t="n">
        <f aca="false">C60*$B$21</f>
        <v>83182.2771857143</v>
      </c>
      <c r="D68" s="204" t="n">
        <f aca="false">D60*$B$19</f>
        <v>75982.9571428572</v>
      </c>
      <c r="E68" s="202" t="s">
        <v>896</v>
      </c>
    </row>
    <row r="69" customFormat="false" ht="14.25" hidden="false" customHeight="false" outlineLevel="0" collapsed="false">
      <c r="A69" s="202" t="s">
        <v>897</v>
      </c>
      <c r="B69" s="204" t="n">
        <f aca="false">B68+$B$30</f>
        <v>97680.3388571429</v>
      </c>
      <c r="C69" s="204" t="n">
        <f aca="false">C68+$B$30</f>
        <v>66337.0731857143</v>
      </c>
      <c r="D69" s="204" t="n">
        <f aca="false">D68+$B$30</f>
        <v>59137.7531428572</v>
      </c>
      <c r="E69" s="204" t="n">
        <f aca="false">E60*$B$24*$B$23</f>
        <v>55386.5142857143</v>
      </c>
    </row>
    <row r="70" customFormat="false" ht="14.25" hidden="false" customHeight="false" outlineLevel="0" collapsed="false">
      <c r="A70" s="202" t="s">
        <v>898</v>
      </c>
      <c r="B70" s="205" t="n">
        <f aca="false">G60</f>
        <v>54.2668549206349</v>
      </c>
      <c r="C70" s="205" t="n">
        <f aca="false">H60</f>
        <v>36.853929547619</v>
      </c>
      <c r="D70" s="205" t="n">
        <f aca="false">I60</f>
        <v>32.8543073015873</v>
      </c>
      <c r="E70" s="205" t="n">
        <f aca="false">J60</f>
        <v>30.7702857142857</v>
      </c>
    </row>
    <row r="72" s="176" customFormat="true" ht="14.25" hidden="false" customHeight="false" outlineLevel="0" collapsed="false">
      <c r="A72" s="185" t="s">
        <v>899</v>
      </c>
      <c r="B72" s="185"/>
      <c r="C72" s="185"/>
      <c r="D72" s="185"/>
    </row>
    <row r="73" customFormat="false" ht="14.25" hidden="false" customHeight="false" outlineLevel="0" collapsed="false">
      <c r="A73" s="185" t="s">
        <v>900</v>
      </c>
      <c r="B73" s="185"/>
      <c r="C73" s="185"/>
      <c r="D73" s="206" t="n">
        <f aca="false">IF((IF(AND($D$37=1,ISNUMBER(G60)),1,0)+IF(AND($D$34=1,ISNUMBER(H60)),1,0)+IF(AND($D$35=1,ISNUMBER(I60)),1,0)+IF(AND($D$36=1,ISNUMBER(J60)),1,0))=0,"NA",(IF(AND($D$37=1,ISNUMBER(G60)),G60,0)+IF(AND($D$34=1,ISNUMBER(H60)),H60,0)+IF(AND($D$35=1,ISNUMBER(I60)),I60,0)+IF(AND($D$36=1,ISNUMBER(J60)),J60,0))/(IF(AND($D$37=1,ISNUMBER(G60)),1,0)+IF(AND($D$34=1,ISNUMBER(H60)),1,0)+IF(AND($D$35=1,ISNUMBER(I60)),1,0)+IF(AND($D$36=1,ISNUMBER(J60)),1,0)))</f>
        <v>33.4928408544974</v>
      </c>
    </row>
    <row r="74" customFormat="false" ht="14.25" hidden="false" customHeight="false" outlineLevel="0" collapsed="false">
      <c r="A74" s="198" t="s">
        <v>901</v>
      </c>
      <c r="B74" s="198"/>
      <c r="C74" s="198"/>
      <c r="D74" s="200" t="n">
        <f aca="false">IF((IF(AND($D$37=1,ISNUMBER(G59)),1,0)+IF(AND($D$34=1,ISNUMBER(H59)),1,0)+IF(AND($D$35=1,ISNUMBER(I59)),1,0)+IF(AND($D$36=1,ISNUMBER(J59)),1,0))=0,"NA",(IF(AND($D$37=1,ISNUMBER(G59)),G59,0)+IF(AND($D$34=1,ISNUMBER(H59)),H59,0)+IF(AND($D$35=1,ISNUMBER(I59)),I59,0)+IF(AND($D$36=1,ISNUMBER(J59)),J59,0))/(IF(AND($D$37=1,ISNUMBER(G59)),1,0)+IF(AND($D$34=1,ISNUMBER(H59)),1,0)+IF(AND($D$35=1,ISNUMBER(I59)),1,0)+IF(AND($D$36=1,ISNUMBER(J59)),1,0)))</f>
        <v>27.031161037037</v>
      </c>
    </row>
    <row r="75" customFormat="false" ht="14.25" hidden="false" customHeight="false" outlineLevel="0" collapsed="false">
      <c r="A75" s="198" t="s">
        <v>902</v>
      </c>
      <c r="B75" s="198"/>
      <c r="C75" s="198"/>
      <c r="D75" s="200" t="n">
        <f aca="false">IF((IF(AND($D$37=1,ISNUMBER(G62)),1,0)+IF(AND($D$34=1,ISNUMBER(H62)),1,0)+IF(AND($D$35=1,ISNUMBER(I62)),1,0)+IF(AND($D$36=1,ISNUMBER(J62)),1,0))=0,"NA",(IF(AND($D$37=1,ISNUMBER(G62)),G62,0)+IF(AND($D$34=1,ISNUMBER(H62)),H62,0)+IF(AND($D$35=1,ISNUMBER(I62)),I62,0)+IF(AND($D$36=1,ISNUMBER(J62)),J62,0))/(IF(AND($D$37=1,ISNUMBER(G62)),1,0)+IF(AND($D$34=1,ISNUMBER(H62)),1,0)+IF(AND($D$35=1,ISNUMBER(I62)),1,0)+IF(AND($D$36=1,ISNUMBER(J62)),1,0)))</f>
        <v>40.0699866203704</v>
      </c>
    </row>
    <row r="76" customFormat="false" ht="14.25" hidden="false" customHeight="false" outlineLevel="0" collapsed="false">
      <c r="A76" s="198" t="s">
        <v>903</v>
      </c>
      <c r="B76" s="198"/>
      <c r="C76" s="198"/>
      <c r="D76" s="200" t="n">
        <f aca="false">Valuación!B42</f>
        <v>33.48</v>
      </c>
    </row>
    <row r="77" customFormat="false" ht="14.25" hidden="false" customHeight="false" outlineLevel="0" collapsed="false">
      <c r="A77" s="198" t="s">
        <v>904</v>
      </c>
      <c r="B77" s="198"/>
      <c r="C77" s="198"/>
      <c r="D77" s="207" t="n">
        <f aca="false">D73/D76-1</f>
        <v>0.000383538067423972</v>
      </c>
    </row>
    <row r="78" customFormat="false" ht="14.25" hidden="false" customHeight="false" outlineLevel="0" collapsed="false">
      <c r="A78" s="198" t="s">
        <v>905</v>
      </c>
      <c r="B78" s="198"/>
      <c r="C78" s="198"/>
      <c r="D78" s="130" t="n">
        <f aca="false">SUM(D34:D37)</f>
        <v>3</v>
      </c>
    </row>
    <row r="79" customFormat="false" ht="14.25" hidden="false" customHeight="false" outlineLevel="0" collapsed="false">
      <c r="A79" s="77"/>
    </row>
  </sheetData>
  <mergeCells count="11">
    <mergeCell ref="A17:B17"/>
    <mergeCell ref="A32:E32"/>
    <mergeCell ref="A43:E43"/>
    <mergeCell ref="A56:J56"/>
    <mergeCell ref="A72:D72"/>
    <mergeCell ref="A73:C73"/>
    <mergeCell ref="A74:C74"/>
    <mergeCell ref="A75:C75"/>
    <mergeCell ref="A76:C76"/>
    <mergeCell ref="A77:C77"/>
    <mergeCell ref="A78:C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3" activeCellId="0" sqref="A5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36" width="46.44"/>
    <col collapsed="false" customWidth="true" hidden="false" outlineLevel="0" max="2" min="2" style="36" width="17"/>
    <col collapsed="false" customWidth="true" hidden="false" outlineLevel="0" max="3" min="3" style="36" width="31.44"/>
    <col collapsed="false" customWidth="true" hidden="false" outlineLevel="0" max="4" min="4" style="36" width="26"/>
    <col collapsed="false" customWidth="true" hidden="false" outlineLevel="0" max="5" min="5" style="36" width="16.67"/>
    <col collapsed="false" customWidth="true" hidden="false" outlineLevel="0" max="7" min="6" style="36" width="12"/>
    <col collapsed="false" customWidth="true" hidden="false" outlineLevel="0" max="9" min="8" style="36" width="10"/>
    <col collapsed="false" customWidth="true" hidden="false" outlineLevel="0" max="10" min="10" style="36" width="12"/>
    <col collapsed="false" customWidth="true" hidden="false" outlineLevel="0" max="11" min="11" style="36" width="14"/>
    <col collapsed="false" customWidth="true" hidden="false" outlineLevel="0" max="12" min="12" style="36" width="11"/>
    <col collapsed="false" customWidth="true" hidden="false" outlineLevel="0" max="15" min="13" style="36" width="12"/>
    <col collapsed="false" customWidth="true" hidden="false" outlineLevel="0" max="16" min="16" style="36" width="50"/>
    <col collapsed="false" customWidth="true" hidden="false" outlineLevel="0" max="17" min="17" style="36" width="19.33"/>
    <col collapsed="false" customWidth="false" hidden="false" outlineLevel="0" max="16384" min="18" style="36" width="8.67"/>
  </cols>
  <sheetData>
    <row r="1" customFormat="false" ht="14.25" hidden="false" customHeight="false" outlineLevel="0" collapsed="false">
      <c r="A1" s="2" t="s">
        <v>906</v>
      </c>
      <c r="C1" s="208"/>
    </row>
    <row r="3" customFormat="false" ht="14.25" hidden="false" customHeight="false" outlineLevel="0" collapsed="false">
      <c r="A3" s="209" t="s">
        <v>907</v>
      </c>
      <c r="B3" s="210"/>
      <c r="C3" s="210"/>
    </row>
    <row r="4" customFormat="false" ht="14.25" hidden="false" customHeight="false" outlineLevel="0" collapsed="false">
      <c r="A4" s="210" t="s">
        <v>629</v>
      </c>
      <c r="B4" s="210"/>
      <c r="C4" s="211" t="n">
        <f aca="false">'Proyección Final Soriana'!B252</f>
        <v>46296</v>
      </c>
    </row>
    <row r="5" customFormat="false" ht="14.25" hidden="false" customHeight="false" outlineLevel="0" collapsed="false">
      <c r="A5" s="210" t="s">
        <v>908</v>
      </c>
      <c r="B5" s="210"/>
      <c r="C5" s="210" t="n">
        <v>3</v>
      </c>
    </row>
    <row r="6" customFormat="false" ht="14.25" hidden="false" customHeight="false" outlineLevel="0" collapsed="false">
      <c r="A6" s="210" t="s">
        <v>909</v>
      </c>
      <c r="B6" s="210"/>
      <c r="C6" s="211" t="n">
        <f aca="false">EDATE(C4,-12*C5)</f>
        <v>45200</v>
      </c>
    </row>
    <row r="7" customFormat="false" ht="14.25" hidden="false" customHeight="false" outlineLevel="0" collapsed="false">
      <c r="A7" s="210" t="s">
        <v>910</v>
      </c>
      <c r="B7" s="210"/>
      <c r="C7" s="210" t="s">
        <v>911</v>
      </c>
    </row>
    <row r="8" customFormat="false" ht="14.25" hidden="false" customHeight="false" outlineLevel="0" collapsed="false">
      <c r="A8" s="210" t="s">
        <v>912</v>
      </c>
      <c r="B8" s="210"/>
      <c r="C8" s="210" t="n">
        <v>2</v>
      </c>
    </row>
    <row r="10" customFormat="false" ht="14.25" hidden="false" customHeight="false" outlineLevel="0" collapsed="false">
      <c r="A10" s="187" t="s">
        <v>913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customFormat="false" ht="16.5" hidden="false" customHeight="true" outlineLevel="0" collapsed="false">
      <c r="A11" s="212" t="s">
        <v>914</v>
      </c>
      <c r="B11" s="212" t="s">
        <v>915</v>
      </c>
      <c r="C11" s="212" t="s">
        <v>916</v>
      </c>
      <c r="D11" s="212" t="s">
        <v>917</v>
      </c>
      <c r="E11" s="212" t="s">
        <v>918</v>
      </c>
      <c r="F11" s="212" t="s">
        <v>919</v>
      </c>
      <c r="G11" s="212" t="s">
        <v>920</v>
      </c>
      <c r="H11" s="212" t="s">
        <v>879</v>
      </c>
      <c r="I11" s="212" t="s">
        <v>880</v>
      </c>
      <c r="J11" s="212" t="s">
        <v>921</v>
      </c>
      <c r="K11" s="212" t="s">
        <v>922</v>
      </c>
      <c r="L11" s="212" t="s">
        <v>923</v>
      </c>
      <c r="M11" s="212" t="s">
        <v>924</v>
      </c>
      <c r="N11" s="212" t="s">
        <v>925</v>
      </c>
      <c r="O11" s="212" t="s">
        <v>805</v>
      </c>
      <c r="P11" s="212" t="s">
        <v>712</v>
      </c>
      <c r="Q11" s="212" t="s">
        <v>926</v>
      </c>
    </row>
    <row r="12" customFormat="false" ht="16.5" hidden="false" customHeight="true" outlineLevel="0" collapsed="false">
      <c r="A12" s="213" t="n">
        <v>45215</v>
      </c>
      <c r="B12" s="214" t="s">
        <v>927</v>
      </c>
      <c r="C12" s="214" t="s">
        <v>928</v>
      </c>
      <c r="D12" s="214" t="s">
        <v>929</v>
      </c>
      <c r="E12" s="214" t="s">
        <v>930</v>
      </c>
      <c r="F12" s="215" t="n">
        <v>56675.3</v>
      </c>
      <c r="G12" s="215" t="n">
        <v>35348.1</v>
      </c>
      <c r="H12" s="216" t="n">
        <v>0.3</v>
      </c>
      <c r="I12" s="216" t="n">
        <v>5.2</v>
      </c>
      <c r="J12" s="217" t="s">
        <v>931</v>
      </c>
      <c r="K12" s="217" t="str">
        <f aca="false">IF(A12&gt;=$C$6,"Sí","No")</f>
        <v>Sí</v>
      </c>
      <c r="L12" s="217" t="str">
        <f aca="false">IF(J12=$C$7,"Sí","No")</f>
        <v>No</v>
      </c>
      <c r="M12" s="217" t="str">
        <f aca="false">IF(COUNT(H12:I12)&gt;=$C$8,"Sí","No")</f>
        <v>Sí</v>
      </c>
      <c r="N12" s="217" t="s">
        <v>932</v>
      </c>
      <c r="O12" s="218" t="n">
        <v>1</v>
      </c>
      <c r="P12" s="214" t="s">
        <v>933</v>
      </c>
      <c r="Q12" s="214" t="s">
        <v>934</v>
      </c>
    </row>
    <row r="13" customFormat="false" ht="16.5" hidden="false" customHeight="true" outlineLevel="0" collapsed="false">
      <c r="A13" s="213" t="n">
        <v>43657</v>
      </c>
      <c r="B13" s="214" t="s">
        <v>935</v>
      </c>
      <c r="C13" s="214" t="s">
        <v>936</v>
      </c>
      <c r="D13" s="214" t="s">
        <v>937</v>
      </c>
      <c r="E13" s="214" t="s">
        <v>938</v>
      </c>
      <c r="F13" s="215" t="n">
        <v>116983.8</v>
      </c>
      <c r="G13" s="215" t="n">
        <v>4590.5</v>
      </c>
      <c r="H13" s="216" t="n">
        <v>1.5</v>
      </c>
      <c r="I13" s="216" t="n">
        <v>11.4</v>
      </c>
      <c r="J13" s="217" t="s">
        <v>939</v>
      </c>
      <c r="K13" s="217" t="str">
        <f aca="false">IF(A13&gt;=$C$6,"Sí","No")</f>
        <v>No</v>
      </c>
      <c r="L13" s="217" t="str">
        <f aca="false">IF(J13=$C$7,"Sí","No")</f>
        <v>No</v>
      </c>
      <c r="M13" s="217" t="str">
        <f aca="false">IF(COUNT(H13:I13)&gt;=$C$8,"Sí","No")</f>
        <v>Sí</v>
      </c>
      <c r="N13" s="217" t="s">
        <v>940</v>
      </c>
      <c r="O13" s="218" t="n">
        <v>1</v>
      </c>
      <c r="P13" s="214" t="s">
        <v>941</v>
      </c>
      <c r="Q13" s="214" t="s">
        <v>942</v>
      </c>
    </row>
    <row r="14" customFormat="false" ht="16.5" hidden="false" customHeight="true" outlineLevel="0" collapsed="false">
      <c r="A14" s="213" t="n">
        <v>43642</v>
      </c>
      <c r="B14" s="214" t="s">
        <v>943</v>
      </c>
      <c r="C14" s="214" t="s">
        <v>928</v>
      </c>
      <c r="D14" s="214" t="s">
        <v>944</v>
      </c>
      <c r="E14" s="214" t="s">
        <v>945</v>
      </c>
      <c r="F14" s="215" t="n">
        <v>56675.3</v>
      </c>
      <c r="G14" s="215" t="n">
        <v>130645</v>
      </c>
      <c r="H14" s="216" t="n">
        <v>0.4</v>
      </c>
      <c r="I14" s="216" t="n">
        <v>6.3</v>
      </c>
      <c r="J14" s="217" t="s">
        <v>931</v>
      </c>
      <c r="K14" s="217" t="str">
        <f aca="false">IF(A14&gt;=$C$6,"Sí","No")</f>
        <v>No</v>
      </c>
      <c r="L14" s="217" t="str">
        <f aca="false">IF(J14=$C$7,"Sí","No")</f>
        <v>No</v>
      </c>
      <c r="M14" s="217" t="str">
        <f aca="false">IF(COUNT(H14:I14)&gt;=$C$8,"Sí","No")</f>
        <v>Sí</v>
      </c>
      <c r="N14" s="217" t="s">
        <v>940</v>
      </c>
      <c r="O14" s="218" t="n">
        <v>1</v>
      </c>
      <c r="P14" s="214" t="s">
        <v>946</v>
      </c>
      <c r="Q14" s="214" t="s">
        <v>934</v>
      </c>
    </row>
    <row r="15" customFormat="false" ht="14.25" hidden="false" customHeight="false" outlineLevel="0" collapsed="false">
      <c r="A15" s="2"/>
      <c r="H15" s="219" t="n">
        <v>0.7</v>
      </c>
      <c r="I15" s="219" t="n">
        <v>7.6</v>
      </c>
      <c r="J15" s="77"/>
    </row>
    <row r="16" customFormat="false" ht="14.25" hidden="false" customHeight="false" outlineLevel="0" collapsed="false">
      <c r="A16" s="130" t="s">
        <v>947</v>
      </c>
      <c r="B16" s="130"/>
      <c r="C16" s="130" t="str">
        <f aca="false">COUNTIF(K12:K14,"Sí")&amp;" de "&amp;COUNTA(B12:B14)</f>
        <v>1 de 3</v>
      </c>
    </row>
    <row r="17" customFormat="false" ht="14.25" hidden="false" customHeight="false" outlineLevel="0" collapsed="false">
      <c r="A17" s="130" t="s">
        <v>948</v>
      </c>
      <c r="B17" s="130"/>
      <c r="C17" s="130" t="str">
        <f aca="false">COUNTIF(L12:L14,"Sí")&amp;" de "&amp;COUNTA(B12:B14)</f>
        <v>0 de 3</v>
      </c>
    </row>
    <row r="18" customFormat="false" ht="14.25" hidden="false" customHeight="false" outlineLevel="0" collapsed="false">
      <c r="A18" s="130" t="s">
        <v>949</v>
      </c>
      <c r="B18" s="130"/>
      <c r="C18" s="130" t="str">
        <f aca="false">COUNTIF(N12:N14,"Sí")&amp;" de "&amp;COUNTA(B12:B14)</f>
        <v>1 de 3</v>
      </c>
    </row>
    <row r="19" customFormat="false" ht="14.25" hidden="false" customHeight="false" outlineLevel="0" collapsed="false">
      <c r="A19" s="130" t="s">
        <v>950</v>
      </c>
      <c r="B19" s="130"/>
      <c r="C19" s="220" t="n">
        <f aca="false">H12/I12</f>
        <v>0.0576923076923077</v>
      </c>
      <c r="D19" s="221" t="n">
        <f aca="false">H13/I13</f>
        <v>0.131578947368421</v>
      </c>
      <c r="E19" s="221" t="n">
        <f aca="false">H14/I14</f>
        <v>0.0634920634920635</v>
      </c>
    </row>
    <row r="21" customFormat="false" ht="14.25" hidden="false" customHeight="false" outlineLevel="0" collapsed="false">
      <c r="A21" s="187" t="s">
        <v>951</v>
      </c>
      <c r="B21" s="130"/>
      <c r="C21" s="130"/>
    </row>
    <row r="22" customFormat="false" ht="14.25" hidden="false" customHeight="false" outlineLevel="0" collapsed="false">
      <c r="A22" s="187" t="s">
        <v>952</v>
      </c>
      <c r="B22" s="130"/>
      <c r="C22" s="130"/>
    </row>
    <row r="23" customFormat="false" ht="14.25" hidden="false" customHeight="false" outlineLevel="0" collapsed="false">
      <c r="A23" s="130" t="str">
        <f aca="false">C12</f>
        <v>Almacenes Éxito S.A.</v>
      </c>
      <c r="B23" s="199" t="n">
        <f aca="false">IF($O$12=1,H12,"")</f>
        <v>0.3</v>
      </c>
      <c r="C23" s="199" t="n">
        <f aca="false">IF($O$12=1,I12,"")</f>
        <v>5.2</v>
      </c>
    </row>
    <row r="24" customFormat="false" ht="14.25" hidden="false" customHeight="false" outlineLevel="0" collapsed="false">
      <c r="A24" s="130" t="str">
        <f aca="false">C13</f>
        <v>InRetail Perú Corp.</v>
      </c>
      <c r="B24" s="199" t="n">
        <f aca="false">IF($O$13=1,H13,"")</f>
        <v>1.5</v>
      </c>
      <c r="C24" s="199" t="n">
        <f aca="false">IF($O$13=1,I13,"")</f>
        <v>11.4</v>
      </c>
    </row>
    <row r="25" customFormat="false" ht="14.25" hidden="false" customHeight="false" outlineLevel="0" collapsed="false">
      <c r="A25" s="130" t="str">
        <f aca="false">C14</f>
        <v>Almacenes Éxito S.A.</v>
      </c>
      <c r="B25" s="199" t="n">
        <f aca="false">IF($O$14=1,H14,"")</f>
        <v>0.4</v>
      </c>
      <c r="C25" s="199" t="n">
        <f aca="false">IF($O$14=1,I14,"")</f>
        <v>6.3</v>
      </c>
    </row>
    <row r="27" customFormat="false" ht="14.25" hidden="false" customHeight="false" outlineLevel="0" collapsed="false">
      <c r="A27" s="190" t="s">
        <v>953</v>
      </c>
      <c r="B27" s="190" t="s">
        <v>879</v>
      </c>
      <c r="C27" s="190" t="s">
        <v>880</v>
      </c>
      <c r="D27" s="190" t="s">
        <v>954</v>
      </c>
      <c r="E27" s="190" t="s">
        <v>955</v>
      </c>
      <c r="F27" s="191"/>
      <c r="G27" s="191"/>
    </row>
    <row r="28" customFormat="false" ht="14.25" hidden="false" customHeight="false" outlineLevel="0" collapsed="false">
      <c r="A28" s="130" t="s">
        <v>888</v>
      </c>
      <c r="B28" s="199" t="n">
        <f aca="false">MIN(B23:B25)</f>
        <v>0.3</v>
      </c>
      <c r="C28" s="199" t="n">
        <f aca="false">MIN(C23:C25)</f>
        <v>5.2</v>
      </c>
      <c r="D28" s="200" t="n">
        <f aca="false">IF(B28*Multiplos!$B$18+Multiplos!$B$30&gt;0,(B28*Multiplos!$B$18+Multiplos!$B$30)/Multiplos!$B$23,"NM")</f>
        <v>19.6878866666667</v>
      </c>
      <c r="E28" s="200" t="n">
        <f aca="false">IF(C28*Multiplos!$B$21+Multiplos!$B$30&gt;0,(C28*Multiplos!$B$21+Multiplos!$B$30)/Multiplos!$B$23,"NM")</f>
        <v>24.7618473333333</v>
      </c>
    </row>
    <row r="29" customFormat="false" ht="14.25" hidden="false" customHeight="false" outlineLevel="0" collapsed="false">
      <c r="A29" s="130" t="s">
        <v>889</v>
      </c>
      <c r="B29" s="199" t="n">
        <f aca="false">PERCENTILE(B23:B25,0.25)</f>
        <v>0.35</v>
      </c>
      <c r="C29" s="199" t="n">
        <f aca="false">PERCENTILE(C23:C25,0.25)</f>
        <v>5.75</v>
      </c>
      <c r="D29" s="200" t="n">
        <f aca="false">IF(B29*Multiplos!$B$18+Multiplos!$B$30&gt;0,(B29*Multiplos!$B$18+Multiplos!$B$30)/Multiplos!$B$23,"NM")</f>
        <v>24.5289422222222</v>
      </c>
      <c r="E29" s="200" t="n">
        <f aca="false">IF(C29*Multiplos!$B$21+Multiplos!$B$30&gt;0,(C29*Multiplos!$B$21+Multiplos!$B$30)/Multiplos!$B$23,"NM")</f>
        <v>28.3707245833333</v>
      </c>
    </row>
    <row r="30" customFormat="false" ht="14.25" hidden="false" customHeight="false" outlineLevel="0" collapsed="false">
      <c r="A30" s="187" t="s">
        <v>546</v>
      </c>
      <c r="B30" s="199" t="n">
        <f aca="false">AVERAGE(B23:B25)</f>
        <v>0.733333333333333</v>
      </c>
      <c r="C30" s="199" t="n">
        <f aca="false">AVERAGE(C23:C25)</f>
        <v>7.63333333333333</v>
      </c>
      <c r="D30" s="200" t="n">
        <f aca="false">IF(B30*Multiplos!$B$18+Multiplos!$B$30&gt;0,(B30*Multiplos!$B$18+Multiplos!$B$30)/Multiplos!$B$23,"NM")</f>
        <v>61.6437014814815</v>
      </c>
      <c r="E30" s="200" t="n">
        <f aca="false">IF(C30*Multiplos!$B$21+Multiplos!$B$30&gt;0,(C30*Multiplos!$B$21+Multiplos!$B$30)/Multiplos!$B$23,"NM")</f>
        <v>40.7283951666667</v>
      </c>
    </row>
    <row r="31" customFormat="false" ht="14.25" hidden="false" customHeight="false" outlineLevel="0" collapsed="false">
      <c r="A31" s="130" t="s">
        <v>890</v>
      </c>
      <c r="B31" s="199" t="n">
        <f aca="false">MEDIAN(B23:B25)</f>
        <v>0.4</v>
      </c>
      <c r="C31" s="199" t="n">
        <f aca="false">MEDIAN(C23:C25)</f>
        <v>6.3</v>
      </c>
      <c r="D31" s="200" t="n">
        <f aca="false">IF(B31*Multiplos!$B$18+Multiplos!$B$30&gt;0,(B31*Multiplos!$B$18+Multiplos!$B$30)/Multiplos!$B$23,"NM")</f>
        <v>29.3699977777778</v>
      </c>
      <c r="E31" s="200" t="n">
        <f aca="false">IF(C31*Multiplos!$B$21+Multiplos!$B$30&gt;0,(C31*Multiplos!$B$21+Multiplos!$B$30)/Multiplos!$B$23,"NM")</f>
        <v>31.9796018333333</v>
      </c>
    </row>
    <row r="32" customFormat="false" ht="14.25" hidden="false" customHeight="false" outlineLevel="0" collapsed="false">
      <c r="A32" s="130" t="s">
        <v>891</v>
      </c>
      <c r="B32" s="199" t="n">
        <f aca="false">PERCENTILE(B23:B25,0.75)</f>
        <v>0.95</v>
      </c>
      <c r="C32" s="199" t="n">
        <f aca="false">PERCENTILE(C23:C25,0.75)</f>
        <v>8.85</v>
      </c>
      <c r="D32" s="200" t="n">
        <f aca="false">IF(B32*Multiplos!$B$18+Multiplos!$B$30&gt;0,(B32*Multiplos!$B$18+Multiplos!$B$30)/Multiplos!$B$23,"NM")</f>
        <v>82.6216088888889</v>
      </c>
      <c r="E32" s="200" t="n">
        <f aca="false">IF(C32*Multiplos!$B$21+Multiplos!$B$30&gt;0,(C32*Multiplos!$B$21+Multiplos!$B$30)/Multiplos!$B$23,"NM")</f>
        <v>48.7116690833333</v>
      </c>
    </row>
    <row r="33" customFormat="false" ht="14.25" hidden="false" customHeight="false" outlineLevel="0" collapsed="false">
      <c r="A33" s="130" t="s">
        <v>892</v>
      </c>
      <c r="B33" s="199" t="n">
        <f aca="false">MAX(B23:B25)</f>
        <v>1.5</v>
      </c>
      <c r="C33" s="199" t="n">
        <f aca="false">MAX(C23:C25)</f>
        <v>11.4</v>
      </c>
      <c r="D33" s="200" t="n">
        <f aca="false">IF(B33*Multiplos!$B$18+Multiplos!$B$30&gt;0,(B33*Multiplos!$B$18+Multiplos!$B$30)/Multiplos!$B$23,"NM")</f>
        <v>135.87322</v>
      </c>
      <c r="E33" s="200" t="n">
        <f aca="false">IF(C33*Multiplos!$B$21+Multiplos!$B$30&gt;0,(C33*Multiplos!$B$21+Multiplos!$B$30)/Multiplos!$B$23,"NM")</f>
        <v>65.4437363333333</v>
      </c>
    </row>
    <row r="34" customFormat="false" ht="14.25" hidden="false" customHeight="false" outlineLevel="0" collapsed="false">
      <c r="A34" s="36" t="s">
        <v>340</v>
      </c>
      <c r="B34" s="222" t="n">
        <f aca="false">COUNT(B23:B25)</f>
        <v>3</v>
      </c>
      <c r="C34" s="222" t="n">
        <f aca="false">COUNT(C23:C25)</f>
        <v>3</v>
      </c>
    </row>
    <row r="36" customFormat="false" ht="14.25" hidden="false" customHeight="false" outlineLevel="0" collapsed="false">
      <c r="A36" s="190" t="s">
        <v>893</v>
      </c>
      <c r="B36" s="190" t="s">
        <v>879</v>
      </c>
      <c r="C36" s="190" t="s">
        <v>880</v>
      </c>
      <c r="D36" s="191"/>
      <c r="E36" s="191"/>
      <c r="F36" s="191"/>
      <c r="G36" s="191"/>
    </row>
    <row r="37" customFormat="false" ht="14.25" hidden="false" customHeight="false" outlineLevel="0" collapsed="false">
      <c r="A37" s="130" t="s">
        <v>956</v>
      </c>
      <c r="B37" s="199" t="n">
        <f aca="false">B30</f>
        <v>0.733333333333333</v>
      </c>
      <c r="C37" s="199" t="n">
        <f aca="false">C30</f>
        <v>7.63333333333333</v>
      </c>
    </row>
    <row r="38" customFormat="false" ht="14.25" hidden="false" customHeight="false" outlineLevel="0" collapsed="false">
      <c r="A38" s="130" t="s">
        <v>957</v>
      </c>
      <c r="B38" s="186" t="n">
        <f aca="false">Multiplos!$B$18</f>
        <v>174278</v>
      </c>
      <c r="C38" s="186" t="n">
        <f aca="false">Multiplos!$B$21</f>
        <v>11810.871</v>
      </c>
    </row>
    <row r="39" customFormat="false" ht="14.25" hidden="false" customHeight="false" outlineLevel="0" collapsed="false">
      <c r="A39" s="130" t="s">
        <v>895</v>
      </c>
      <c r="B39" s="186" t="n">
        <f aca="false">B37*B38</f>
        <v>127803.866666667</v>
      </c>
      <c r="C39" s="186" t="n">
        <f aca="false">C37*C38</f>
        <v>90156.3153</v>
      </c>
    </row>
    <row r="40" customFormat="false" ht="14.25" hidden="false" customHeight="false" outlineLevel="0" collapsed="false">
      <c r="A40" s="130" t="s">
        <v>958</v>
      </c>
      <c r="B40" s="186" t="n">
        <f aca="false">Multiplos!$B$30</f>
        <v>-16845.204</v>
      </c>
      <c r="C40" s="186" t="n">
        <f aca="false">Multiplos!$B$30</f>
        <v>-16845.204</v>
      </c>
    </row>
    <row r="41" customFormat="false" ht="14.25" hidden="false" customHeight="false" outlineLevel="0" collapsed="false">
      <c r="A41" s="187" t="s">
        <v>897</v>
      </c>
      <c r="B41" s="186" t="n">
        <f aca="false">B39+B40</f>
        <v>110958.662666667</v>
      </c>
      <c r="C41" s="186" t="n">
        <f aca="false">C39+C40</f>
        <v>73311.1113</v>
      </c>
    </row>
    <row r="42" customFormat="false" ht="14.25" hidden="false" customHeight="false" outlineLevel="0" collapsed="false">
      <c r="A42" s="187" t="s">
        <v>898</v>
      </c>
      <c r="B42" s="200" t="n">
        <f aca="false">D30</f>
        <v>61.6437014814815</v>
      </c>
      <c r="C42" s="200" t="n">
        <f aca="false">E30</f>
        <v>40.7283951666667</v>
      </c>
    </row>
    <row r="44" customFormat="false" ht="14.25" hidden="false" customHeight="false" outlineLevel="0" collapsed="false">
      <c r="A44" s="187" t="s">
        <v>959</v>
      </c>
    </row>
    <row r="45" customFormat="false" ht="14.25" hidden="false" customHeight="false" outlineLevel="0" collapsed="false">
      <c r="A45" s="223" t="s">
        <v>867</v>
      </c>
      <c r="B45" s="190"/>
      <c r="C45" s="190" t="s">
        <v>870</v>
      </c>
      <c r="D45" s="190" t="s">
        <v>871</v>
      </c>
      <c r="E45" s="190" t="s">
        <v>960</v>
      </c>
    </row>
    <row r="46" customFormat="false" ht="14.25" hidden="false" customHeight="false" outlineLevel="0" collapsed="false">
      <c r="A46" s="224" t="s">
        <v>880</v>
      </c>
      <c r="B46" s="130"/>
      <c r="C46" s="187" t="n">
        <v>1</v>
      </c>
      <c r="D46" s="130" t="s">
        <v>873</v>
      </c>
      <c r="E46" s="130" t="s">
        <v>961</v>
      </c>
    </row>
    <row r="47" customFormat="false" ht="14.25" hidden="false" customHeight="false" outlineLevel="0" collapsed="false">
      <c r="A47" s="224" t="s">
        <v>879</v>
      </c>
      <c r="B47" s="130"/>
      <c r="C47" s="187" t="n">
        <v>0</v>
      </c>
      <c r="D47" s="130" t="s">
        <v>875</v>
      </c>
      <c r="E47" s="130" t="s">
        <v>962</v>
      </c>
    </row>
    <row r="49" customFormat="false" ht="14.25" hidden="false" customHeight="false" outlineLevel="0" collapsed="false">
      <c r="A49" s="187" t="s">
        <v>963</v>
      </c>
      <c r="B49" s="130"/>
      <c r="C49" s="130"/>
      <c r="D49" s="130"/>
      <c r="E49" s="206" t="n">
        <f aca="false">IF((C46+C47)=0,"NA",(IF(C46=1,E30,0)+IF(C47=1,D30,0))/(C46+C47))</f>
        <v>40.7283951666667</v>
      </c>
    </row>
    <row r="50" customFormat="false" ht="14.25" hidden="false" customHeight="false" outlineLevel="0" collapsed="false">
      <c r="A50" s="130" t="s">
        <v>964</v>
      </c>
      <c r="B50" s="130"/>
      <c r="C50" s="130"/>
      <c r="D50" s="130"/>
      <c r="E50" s="200" t="n">
        <f aca="false">E28</f>
        <v>24.7618473333333</v>
      </c>
      <c r="F50" s="225" t="n">
        <f aca="false">E33</f>
        <v>65.4437363333333</v>
      </c>
    </row>
    <row r="52" customFormat="false" ht="14.25" hidden="false" customHeight="false" outlineLevel="0" collapsed="false">
      <c r="A52" s="226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D20" activeCellId="0" sqref="D2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9.4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70"/>
    <col collapsed="false" customWidth="true" hidden="false" outlineLevel="0" max="7" min="7" style="0" width="16"/>
  </cols>
  <sheetData>
    <row r="1" customFormat="false" ht="14.25" hidden="false" customHeight="false" outlineLevel="0" collapsed="false">
      <c r="A1" s="227" t="s">
        <v>966</v>
      </c>
      <c r="B1" s="35"/>
      <c r="C1" s="35"/>
      <c r="D1" s="35"/>
      <c r="E1" s="35"/>
      <c r="F1" s="35"/>
      <c r="G1" s="35"/>
      <c r="H1" s="35"/>
      <c r="I1" s="35"/>
    </row>
    <row r="2" customFormat="false" ht="14.25" hidden="false" customHeight="false" outlineLevel="0" collapsed="false">
      <c r="A2" s="228"/>
      <c r="B2" s="35"/>
      <c r="C2" s="35"/>
      <c r="D2" s="35"/>
      <c r="E2" s="35"/>
      <c r="F2" s="35"/>
      <c r="G2" s="35"/>
      <c r="H2" s="35"/>
      <c r="I2" s="35"/>
    </row>
    <row r="3" customFormat="false" ht="27" hidden="false" customHeight="true" outlineLevel="0" collapsed="false">
      <c r="A3" s="229" t="s">
        <v>967</v>
      </c>
      <c r="B3" s="229" t="s">
        <v>311</v>
      </c>
      <c r="C3" s="229" t="s">
        <v>968</v>
      </c>
      <c r="D3" s="229" t="s">
        <v>969</v>
      </c>
      <c r="E3" s="229" t="s">
        <v>970</v>
      </c>
      <c r="F3" s="229" t="s">
        <v>971</v>
      </c>
      <c r="G3" s="229" t="s">
        <v>972</v>
      </c>
      <c r="H3" s="35"/>
      <c r="I3" s="35"/>
    </row>
    <row r="4" customFormat="false" ht="43.5" hidden="false" customHeight="true" outlineLevel="0" collapsed="false">
      <c r="A4" s="230" t="s">
        <v>973</v>
      </c>
      <c r="B4" s="231" t="n">
        <f aca="false">'Proyección Final Soriana'!B265</f>
        <v>38.3400783109781</v>
      </c>
      <c r="C4" s="232" t="n">
        <v>0.5</v>
      </c>
      <c r="D4" s="233" t="n">
        <f aca="false">1/3</f>
        <v>0.333333333333333</v>
      </c>
      <c r="E4" s="231" t="n">
        <f aca="false">IF(ISNUMBER(B4),B4*C4,0)</f>
        <v>19.1700391554891</v>
      </c>
      <c r="F4" s="234" t="s">
        <v>974</v>
      </c>
      <c r="G4" s="230" t="str">
        <f aca="false">IF(C4&gt;0,"Sí","No (referencia)")</f>
        <v>Sí</v>
      </c>
      <c r="H4" s="35"/>
      <c r="I4" s="35"/>
    </row>
    <row r="5" customFormat="false" ht="43.5" hidden="false" customHeight="true" outlineLevel="0" collapsed="false">
      <c r="A5" s="230" t="s">
        <v>975</v>
      </c>
      <c r="B5" s="231" t="n">
        <f aca="false">Multiplos!D73</f>
        <v>33.4928408544974</v>
      </c>
      <c r="C5" s="232" t="n">
        <v>0.5</v>
      </c>
      <c r="D5" s="233" t="n">
        <f aca="false">1/3</f>
        <v>0.333333333333333</v>
      </c>
      <c r="E5" s="231" t="n">
        <f aca="false">IF(ISNUMBER(B5),B5*C5,0)</f>
        <v>16.7464204272487</v>
      </c>
      <c r="F5" s="234" t="s">
        <v>976</v>
      </c>
      <c r="G5" s="230" t="str">
        <f aca="false">IF(C5&gt;0,"Sí","No (referencia)")</f>
        <v>Sí</v>
      </c>
      <c r="H5" s="35"/>
      <c r="I5" s="35"/>
    </row>
    <row r="6" customFormat="false" ht="43.5" hidden="false" customHeight="true" outlineLevel="0" collapsed="false">
      <c r="A6" s="230" t="s">
        <v>977</v>
      </c>
      <c r="B6" s="231" t="n">
        <f aca="false">'Transacciones SDC'!F75</f>
        <v>23.7448001083333</v>
      </c>
      <c r="C6" s="232" t="n">
        <v>0</v>
      </c>
      <c r="D6" s="233" t="n">
        <f aca="false">1/3</f>
        <v>0.333333333333333</v>
      </c>
      <c r="E6" s="231" t="n">
        <f aca="false">IF(ISNUMBER(B6),B6*C6,0)</f>
        <v>0</v>
      </c>
      <c r="F6" s="234" t="s">
        <v>978</v>
      </c>
      <c r="G6" s="230" t="str">
        <f aca="false">IF(C6&gt;0,"Sí","No (referencia)")</f>
        <v>No (referencia)</v>
      </c>
      <c r="H6" s="35"/>
      <c r="I6" s="35"/>
    </row>
    <row r="7" customFormat="false" ht="14.25" hidden="false" customHeight="false" outlineLevel="0" collapsed="false">
      <c r="A7" s="35" t="s">
        <v>979</v>
      </c>
      <c r="B7" s="35"/>
      <c r="C7" s="235" t="n">
        <f aca="false">SUM(C4:C6)</f>
        <v>1</v>
      </c>
      <c r="D7" s="236" t="n">
        <f aca="false">SUM(D4:D6)</f>
        <v>1</v>
      </c>
      <c r="E7" s="35"/>
      <c r="F7" s="35"/>
      <c r="G7" s="35"/>
      <c r="H7" s="35"/>
      <c r="I7" s="35"/>
    </row>
    <row r="8" customFormat="false" ht="14.25" hidden="false" customHeight="false" outlineLevel="0" collapsed="false">
      <c r="A8" s="35"/>
      <c r="B8" s="35"/>
      <c r="C8" s="35"/>
      <c r="D8" s="35"/>
      <c r="E8" s="35"/>
      <c r="F8" s="35"/>
      <c r="G8" s="35"/>
      <c r="H8" s="35"/>
      <c r="I8" s="35"/>
    </row>
    <row r="9" customFormat="false" ht="14.25" hidden="false" customHeight="false" outlineLevel="0" collapsed="false">
      <c r="A9" s="230" t="s">
        <v>980</v>
      </c>
      <c r="B9" s="237" t="n">
        <f aca="false">IF(ABS(C7-1)&gt;0.000000001,"Los pesos deben sumar 100%",IF(SUMPRODUCT((C4:C6&gt;0)*(1-ISNUMBER(B4:B6)))&gt;0,"NA: método con peso sin precio",SUMPRODUCT(B4:B6,C4:C6)))</f>
        <v>35.9164595827377</v>
      </c>
      <c r="C9" s="238"/>
      <c r="D9" s="238"/>
      <c r="E9" s="238"/>
      <c r="F9" s="239"/>
      <c r="G9" s="35"/>
      <c r="H9" s="35"/>
      <c r="I9" s="35"/>
    </row>
    <row r="10" customFormat="false" ht="14.25" hidden="false" customHeight="false" outlineLevel="0" collapsed="false">
      <c r="A10" s="238" t="s">
        <v>981</v>
      </c>
      <c r="B10" s="231" t="n">
        <f aca="false">Valuación!B42</f>
        <v>33.48</v>
      </c>
      <c r="C10" s="238"/>
      <c r="D10" s="238"/>
      <c r="E10" s="238"/>
      <c r="F10" s="35"/>
      <c r="G10" s="35"/>
      <c r="H10" s="35"/>
      <c r="I10" s="35"/>
    </row>
    <row r="11" customFormat="false" ht="14.25" hidden="false" customHeight="false" outlineLevel="0" collapsed="false">
      <c r="A11" s="238" t="s">
        <v>982</v>
      </c>
      <c r="B11" s="231" t="n">
        <f aca="false">B9-B10</f>
        <v>2.43645958273775</v>
      </c>
      <c r="C11" s="238"/>
      <c r="D11" s="238"/>
      <c r="E11" s="238"/>
      <c r="F11" s="35"/>
      <c r="G11" s="35"/>
      <c r="H11" s="35"/>
      <c r="I11" s="35"/>
    </row>
    <row r="12" customFormat="false" ht="14.25" hidden="false" customHeight="false" outlineLevel="0" collapsed="false">
      <c r="A12" s="238" t="s">
        <v>983</v>
      </c>
      <c r="B12" s="240" t="n">
        <f aca="false">B9/B10-1</f>
        <v>0.0727735837137917</v>
      </c>
      <c r="C12" s="238"/>
      <c r="D12" s="238"/>
      <c r="E12" s="238"/>
      <c r="F12" s="35"/>
      <c r="G12" s="35"/>
      <c r="H12" s="35"/>
      <c r="I12" s="35"/>
    </row>
    <row r="13" customFormat="false" ht="14.25" hidden="false" customHeight="false" outlineLevel="0" collapsed="false">
      <c r="A13" s="35"/>
      <c r="B13" s="35"/>
      <c r="C13" s="35"/>
      <c r="D13" s="35"/>
      <c r="E13" s="35"/>
      <c r="F13" s="35"/>
      <c r="G13" s="35"/>
      <c r="H13" s="35"/>
      <c r="I13" s="35"/>
    </row>
    <row r="14" customFormat="false" ht="14.25" hidden="false" customHeight="false" outlineLevel="0" collapsed="false">
      <c r="A14" s="238" t="s">
        <v>984</v>
      </c>
      <c r="B14" s="231" t="n">
        <f aca="false">SUMPRODUCT(B4:B6,D4:D6)/D7</f>
        <v>31.8592397579363</v>
      </c>
      <c r="C14" s="35"/>
      <c r="D14" s="35"/>
      <c r="E14" s="35"/>
      <c r="F14" s="35" t="s">
        <v>985</v>
      </c>
      <c r="G14" s="35"/>
      <c r="H14" s="35"/>
      <c r="I14" s="35"/>
    </row>
    <row r="15" customFormat="false" ht="14.25" hidden="false" customHeight="false" outlineLevel="0" collapsed="false">
      <c r="A15" s="35"/>
      <c r="B15" s="35"/>
      <c r="C15" s="35"/>
      <c r="D15" s="35"/>
      <c r="E15" s="35"/>
      <c r="F15" s="35"/>
      <c r="G15" s="35"/>
      <c r="H15" s="35"/>
      <c r="I15" s="35"/>
    </row>
    <row r="16" customFormat="false" ht="14.25" hidden="false" customHeight="false" outlineLevel="0" collapsed="false">
      <c r="A16" s="230" t="s">
        <v>986</v>
      </c>
      <c r="B16" s="238"/>
      <c r="C16" s="238"/>
      <c r="D16" s="238"/>
      <c r="E16" s="35"/>
      <c r="F16" s="35"/>
      <c r="G16" s="35"/>
    </row>
    <row r="17" customFormat="false" ht="14.25" hidden="false" customHeight="false" outlineLevel="0" collapsed="false">
      <c r="A17" s="229" t="s">
        <v>967</v>
      </c>
      <c r="B17" s="229" t="s">
        <v>987</v>
      </c>
      <c r="C17" s="229" t="s">
        <v>988</v>
      </c>
      <c r="D17" s="229" t="s">
        <v>989</v>
      </c>
      <c r="E17" s="35"/>
      <c r="F17" s="35"/>
      <c r="G17" s="35"/>
    </row>
    <row r="18" customFormat="false" ht="14.25" hidden="false" customHeight="false" outlineLevel="0" collapsed="false">
      <c r="A18" s="238" t="s">
        <v>990</v>
      </c>
      <c r="B18" s="231" t="n">
        <f aca="false">MIN(Validación!E9:G9)</f>
        <v>37.9348536027754</v>
      </c>
      <c r="C18" s="231" t="n">
        <f aca="false">B4</f>
        <v>38.3400783109781</v>
      </c>
      <c r="D18" s="231" t="n">
        <f aca="false">MAX(Validación!E9:G9)</f>
        <v>39.1434242577885</v>
      </c>
      <c r="E18" s="35"/>
      <c r="F18" s="35"/>
      <c r="G18" s="35"/>
    </row>
    <row r="19" customFormat="false" ht="14.25" hidden="false" customHeight="false" outlineLevel="0" collapsed="false">
      <c r="A19" s="238" t="s">
        <v>975</v>
      </c>
      <c r="B19" s="231" t="n">
        <f aca="false">Multiplos!D74</f>
        <v>27.031161037037</v>
      </c>
      <c r="C19" s="231" t="n">
        <f aca="false">B5</f>
        <v>33.4928408544974</v>
      </c>
      <c r="D19" s="231" t="n">
        <f aca="false">Multiplos!D75</f>
        <v>40.0699866203704</v>
      </c>
      <c r="E19" s="35"/>
      <c r="F19" s="35"/>
      <c r="G19" s="35"/>
    </row>
    <row r="20" customFormat="false" ht="14.25" hidden="false" customHeight="false" outlineLevel="0" collapsed="false">
      <c r="A20" s="238" t="s">
        <v>991</v>
      </c>
      <c r="B20" s="241" t="n">
        <f aca="false">'Transacciones SDC'!F51</f>
        <v>20.4147906458333</v>
      </c>
      <c r="C20" s="241" t="n">
        <f aca="false">B6</f>
        <v>23.7448001083333</v>
      </c>
      <c r="D20" s="241" t="n">
        <f aca="false">'Transacciones SDC'!F54</f>
        <v>49.1873847208333</v>
      </c>
      <c r="E20" s="35"/>
      <c r="F20" s="35"/>
      <c r="G20" s="35"/>
    </row>
    <row r="21" customFormat="false" ht="14.25" hidden="false" customHeight="false" outlineLevel="0" collapsed="false">
      <c r="A21" s="35" t="s">
        <v>992</v>
      </c>
      <c r="B21" s="242" t="n">
        <f aca="false">Transacciones!E28</f>
        <v>24.7618473333333</v>
      </c>
      <c r="C21" s="242" t="n">
        <f aca="false">Transacciones!E49</f>
        <v>40.7283951666667</v>
      </c>
      <c r="D21" s="242" t="n">
        <f aca="false">Transacciones!E33</f>
        <v>65.4437363333333</v>
      </c>
      <c r="E21" s="35"/>
      <c r="F21" s="35"/>
      <c r="G21" s="35"/>
      <c r="H21" s="35"/>
      <c r="I21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2" topLeftCell="D23" activePane="bottomRight" state="frozen"/>
      <selection pane="topLeft" activeCell="A1" activeCellId="0" sqref="A1"/>
      <selection pane="topRight" activeCell="D1" activeCellId="0" sqref="D1"/>
      <selection pane="bottomLeft" activeCell="A23" activeCellId="0" sqref="A2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1" min="10" style="0" width="16"/>
    <col collapsed="false" customWidth="true" hidden="false" outlineLevel="0" max="13" min="12" style="0" width="15"/>
    <col collapsed="false" customWidth="true" hidden="false" outlineLevel="0" max="23" min="23" style="0" width="13"/>
    <col collapsed="false" customWidth="true" hidden="false" outlineLevel="0" max="26" min="26" style="0" width="26"/>
    <col collapsed="false" customWidth="true" hidden="false" outlineLevel="0" max="27" min="27" style="0" width="13"/>
    <col collapsed="false" customWidth="true" hidden="false" outlineLevel="0" max="29" min="29" style="0" width="70"/>
  </cols>
  <sheetData>
    <row r="1" customFormat="false" ht="17.35" hidden="false" customHeight="false" outlineLevel="0" collapsed="false">
      <c r="A1" s="243" t="s">
        <v>993</v>
      </c>
    </row>
    <row r="2" customFormat="false" ht="15" hidden="false" customHeight="false" outlineLevel="0" collapsed="false">
      <c r="A2" s="244" t="s">
        <v>994</v>
      </c>
    </row>
    <row r="3" customFormat="false" ht="15" hidden="false" customHeight="false" outlineLevel="0" collapsed="false">
      <c r="A3" s="244" t="s">
        <v>995</v>
      </c>
    </row>
    <row r="5" customFormat="false" ht="15" hidden="false" customHeight="false" outlineLevel="0" collapsed="false">
      <c r="A5" s="245" t="s">
        <v>996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</row>
    <row r="6" customFormat="false" ht="15" hidden="false" customHeight="false" outlineLevel="0" collapsed="false">
      <c r="A6" s="0" t="s">
        <v>997</v>
      </c>
      <c r="C6" s="147" t="n">
        <f aca="false">'Proyección Final Soriana'!B252</f>
        <v>46296</v>
      </c>
    </row>
    <row r="7" customFormat="false" ht="15" hidden="false" customHeight="false" outlineLevel="0" collapsed="false">
      <c r="A7" s="0" t="s">
        <v>908</v>
      </c>
      <c r="C7" s="246" t="n">
        <f aca="false">Transacciones!C5</f>
        <v>3</v>
      </c>
    </row>
    <row r="8" customFormat="false" ht="15" hidden="false" customHeight="false" outlineLevel="0" collapsed="false">
      <c r="A8" s="0" t="s">
        <v>909</v>
      </c>
      <c r="C8" s="147" t="n">
        <f aca="false">Transacciones!C6</f>
        <v>45200</v>
      </c>
    </row>
    <row r="9" customFormat="false" ht="15" hidden="false" customHeight="false" outlineLevel="0" collapsed="false">
      <c r="A9" s="0" t="s">
        <v>998</v>
      </c>
      <c r="C9" s="246" t="n">
        <f aca="false">Transacciones!C8</f>
        <v>2</v>
      </c>
    </row>
    <row r="10" customFormat="false" ht="15" hidden="false" customHeight="false" outlineLevel="0" collapsed="false">
      <c r="A10" s="0" t="s">
        <v>999</v>
      </c>
      <c r="C10" s="247" t="n">
        <v>18.48</v>
      </c>
    </row>
    <row r="11" customFormat="false" ht="15" hidden="false" customHeight="false" outlineLevel="0" collapsed="false">
      <c r="A11" s="0" t="s">
        <v>1000</v>
      </c>
      <c r="C11" s="248" t="s">
        <v>1001</v>
      </c>
    </row>
    <row r="13" customFormat="false" ht="28.35" hidden="false" customHeight="false" outlineLevel="0" collapsed="false">
      <c r="A13" s="249" t="s">
        <v>1002</v>
      </c>
      <c r="B13" s="249"/>
      <c r="C13" s="249" t="s">
        <v>1003</v>
      </c>
      <c r="D13" s="249"/>
      <c r="E13" s="249"/>
      <c r="F13" s="249"/>
      <c r="G13" s="249"/>
      <c r="H13" s="249" t="s">
        <v>1004</v>
      </c>
    </row>
    <row r="14" customFormat="false" ht="15" hidden="false" customHeight="false" outlineLevel="0" collapsed="false">
      <c r="A14" s="119" t="s">
        <v>1005</v>
      </c>
      <c r="C14" s="36" t="s">
        <v>1006</v>
      </c>
      <c r="H14" s="36" t="s">
        <v>1007</v>
      </c>
    </row>
    <row r="15" customFormat="false" ht="15" hidden="false" customHeight="false" outlineLevel="0" collapsed="false">
      <c r="A15" s="119" t="s">
        <v>1008</v>
      </c>
      <c r="C15" s="36" t="s">
        <v>1009</v>
      </c>
      <c r="H15" s="36" t="s">
        <v>1010</v>
      </c>
    </row>
    <row r="16" customFormat="false" ht="15" hidden="false" customHeight="false" outlineLevel="0" collapsed="false">
      <c r="A16" s="119" t="s">
        <v>1011</v>
      </c>
      <c r="C16" s="36" t="s">
        <v>1012</v>
      </c>
      <c r="H16" s="36" t="s">
        <v>1013</v>
      </c>
    </row>
    <row r="17" customFormat="false" ht="15" hidden="false" customHeight="false" outlineLevel="0" collapsed="false">
      <c r="A17" s="119" t="s">
        <v>1014</v>
      </c>
      <c r="C17" s="36" t="s">
        <v>1015</v>
      </c>
      <c r="H17" s="36" t="s">
        <v>1016</v>
      </c>
    </row>
    <row r="18" customFormat="false" ht="15" hidden="false" customHeight="false" outlineLevel="0" collapsed="false">
      <c r="A18" s="119" t="s">
        <v>1017</v>
      </c>
      <c r="C18" s="36" t="s">
        <v>1018</v>
      </c>
      <c r="H18" s="36" t="s">
        <v>1019</v>
      </c>
    </row>
    <row r="19" customFormat="false" ht="15" hidden="false" customHeight="false" outlineLevel="0" collapsed="false">
      <c r="A19" s="119" t="s">
        <v>1020</v>
      </c>
      <c r="C19" s="36" t="s">
        <v>1021</v>
      </c>
      <c r="H19" s="36" t="s">
        <v>1022</v>
      </c>
    </row>
    <row r="21" customFormat="false" ht="15" hidden="false" customHeight="false" outlineLevel="0" collapsed="false">
      <c r="A21" s="245" t="s">
        <v>1023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</row>
    <row r="22" customFormat="false" ht="60" hidden="false" customHeight="true" outlineLevel="0" collapsed="false">
      <c r="A22" s="249" t="s">
        <v>1024</v>
      </c>
      <c r="B22" s="249" t="s">
        <v>1025</v>
      </c>
      <c r="C22" s="249" t="s">
        <v>1026</v>
      </c>
      <c r="D22" s="249" t="s">
        <v>1027</v>
      </c>
      <c r="E22" s="249" t="s">
        <v>1028</v>
      </c>
      <c r="F22" s="249" t="s">
        <v>1029</v>
      </c>
      <c r="G22" s="249" t="s">
        <v>1030</v>
      </c>
      <c r="H22" s="249" t="s">
        <v>1031</v>
      </c>
      <c r="I22" s="249" t="s">
        <v>1032</v>
      </c>
      <c r="J22" s="249" t="s">
        <v>1033</v>
      </c>
      <c r="K22" s="249" t="s">
        <v>1034</v>
      </c>
      <c r="L22" s="249" t="s">
        <v>1035</v>
      </c>
      <c r="M22" s="249" t="s">
        <v>1036</v>
      </c>
      <c r="N22" s="249" t="s">
        <v>1037</v>
      </c>
      <c r="O22" s="249" t="s">
        <v>1038</v>
      </c>
      <c r="P22" s="249" t="s">
        <v>1039</v>
      </c>
      <c r="Q22" s="249" t="s">
        <v>1040</v>
      </c>
      <c r="R22" s="249" t="s">
        <v>1041</v>
      </c>
      <c r="S22" s="249" t="s">
        <v>1042</v>
      </c>
      <c r="T22" s="249" t="s">
        <v>1043</v>
      </c>
      <c r="U22" s="249" t="s">
        <v>922</v>
      </c>
      <c r="V22" s="249" t="s">
        <v>1044</v>
      </c>
      <c r="W22" s="249" t="s">
        <v>1045</v>
      </c>
      <c r="X22" s="249" t="s">
        <v>1046</v>
      </c>
      <c r="Y22" s="249" t="s">
        <v>1047</v>
      </c>
      <c r="Z22" s="249" t="s">
        <v>1048</v>
      </c>
      <c r="AA22" s="249" t="s">
        <v>1020</v>
      </c>
      <c r="AB22" s="249" t="s">
        <v>805</v>
      </c>
      <c r="AC22" s="249" t="s">
        <v>1049</v>
      </c>
      <c r="AD22" s="249" t="s">
        <v>1050</v>
      </c>
      <c r="AE22" s="249" t="s">
        <v>1051</v>
      </c>
      <c r="AF22" s="249" t="s">
        <v>1052</v>
      </c>
      <c r="AG22" s="249" t="s">
        <v>1053</v>
      </c>
      <c r="AH22" s="249" t="s">
        <v>1054</v>
      </c>
      <c r="AI22" s="249" t="s">
        <v>1055</v>
      </c>
      <c r="AJ22" s="249" t="s">
        <v>1056</v>
      </c>
      <c r="AK22" s="249" t="s">
        <v>1057</v>
      </c>
      <c r="AL22" s="249" t="s">
        <v>1058</v>
      </c>
      <c r="AM22" s="249" t="s">
        <v>1059</v>
      </c>
      <c r="AN22" s="249" t="s">
        <v>1060</v>
      </c>
    </row>
    <row r="23" customFormat="false" ht="15" hidden="false" customHeight="false" outlineLevel="0" collapsed="false">
      <c r="A23" s="248" t="n">
        <v>4144889040</v>
      </c>
      <c r="B23" s="250" t="n">
        <v>45215</v>
      </c>
      <c r="C23" s="248" t="s">
        <v>1061</v>
      </c>
      <c r="D23" s="248" t="s">
        <v>931</v>
      </c>
      <c r="E23" s="248" t="s">
        <v>1062</v>
      </c>
      <c r="F23" s="248" t="s">
        <v>1063</v>
      </c>
      <c r="G23" s="248" t="s">
        <v>1064</v>
      </c>
      <c r="H23" s="248" t="s">
        <v>1065</v>
      </c>
      <c r="I23" s="248" t="s">
        <v>1066</v>
      </c>
      <c r="J23" s="251" t="n">
        <v>1019.99</v>
      </c>
      <c r="K23" s="251" t="n">
        <v>1744.4696579188</v>
      </c>
      <c r="L23" s="252" t="n">
        <f aca="false">IF(ISNUMBER(J23),J23*$C$10,"NA")</f>
        <v>18849.4152</v>
      </c>
      <c r="M23" s="252" t="n">
        <f aca="false">IF(ISNUMBER(K23),K23*$C$10,"NA")</f>
        <v>32237.7992783394</v>
      </c>
      <c r="N23" s="253" t="n">
        <v>4.98</v>
      </c>
      <c r="O23" s="248" t="s">
        <v>876</v>
      </c>
      <c r="P23" s="253" t="n">
        <v>0.34</v>
      </c>
      <c r="Q23" s="251" t="n">
        <v>41.93</v>
      </c>
      <c r="R23" s="251" t="n">
        <v>39.35</v>
      </c>
      <c r="S23" s="251" t="n">
        <v>5375.07</v>
      </c>
      <c r="T23" s="36" t="n">
        <f aca="false">COUNT(N23:P23)</f>
        <v>2</v>
      </c>
      <c r="U23" s="0" t="str">
        <f aca="false">IF(AND(B23&gt;=$C$8,B23&lt;=$C$6),"Sí","No")</f>
        <v>Sí</v>
      </c>
      <c r="V23" s="0" t="str">
        <f aca="false">IF(T23&gt;=$C$9,"Sí","No")</f>
        <v>Sí</v>
      </c>
      <c r="W23" s="254" t="s">
        <v>932</v>
      </c>
      <c r="X23" s="0" t="str">
        <f aca="false">IF(UPPER(TRIM(C23))=UPPER(TRIM(G23)),"Sí","No")</f>
        <v>No</v>
      </c>
      <c r="Y23" s="0" t="str">
        <f aca="false">IF(AND(U23="Sí",V23="Sí"),"Sí","No")</f>
        <v>Sí</v>
      </c>
      <c r="Z23" s="254" t="s">
        <v>1067</v>
      </c>
      <c r="AA23" s="254" t="s">
        <v>1068</v>
      </c>
      <c r="AB23" s="119" t="n">
        <f aca="false">IF(AND(U23="Sí",V23="Sí",W23="Sí",X23="No",AA23="Elegible"),1,0)</f>
        <v>1</v>
      </c>
      <c r="AC23" s="254" t="s">
        <v>1069</v>
      </c>
      <c r="AE23" s="255" t="n">
        <f aca="false">IF(AND(AB23=1,ISNUMBER(N23)),N23,"")</f>
        <v>4.98</v>
      </c>
      <c r="AF23" s="255" t="n">
        <f aca="false">IF(AND(AB23=1,ISNUMBER(P23)),P23,"")</f>
        <v>0.34</v>
      </c>
      <c r="AG23" s="255" t="str">
        <f aca="false">IF(AND(AB23=1,ISNUMBER(O23)),O23,"")</f>
        <v/>
      </c>
      <c r="AH23" s="255" t="n">
        <f aca="false">IF(ISNUMBER(AE23),IF(AND(AE23&lt;=C$58,AE23&gt;=C$57),AE23,""),"")</f>
        <v>4.98</v>
      </c>
      <c r="AI23" s="255" t="n">
        <f aca="false">IF(ISNUMBER(AF23),IF(AND(AF23&lt;=D$58,AF23&gt;=D$57),AF23,""),"")</f>
        <v>0.34</v>
      </c>
      <c r="AJ23" s="255" t="str">
        <f aca="false">IF(ISNUMBER(AG23),IF(AND(AG23&lt;=E$58,AG23&gt;=E$57),AG23,""),"")</f>
        <v/>
      </c>
      <c r="AK23" s="255" t="n">
        <f aca="false">AE23</f>
        <v>4.98</v>
      </c>
      <c r="AL23" s="255" t="n">
        <f aca="false">AE23</f>
        <v>4.98</v>
      </c>
      <c r="AM23" s="255" t="n">
        <f aca="false">AE23</f>
        <v>4.98</v>
      </c>
      <c r="AN23" s="255" t="n">
        <f aca="false">AE23</f>
        <v>4.98</v>
      </c>
    </row>
    <row r="24" customFormat="false" ht="15" hidden="false" customHeight="false" outlineLevel="0" collapsed="false">
      <c r="A24" s="248" t="n">
        <v>4150545040</v>
      </c>
      <c r="B24" s="250" t="n">
        <v>45229</v>
      </c>
      <c r="C24" s="248" t="s">
        <v>1070</v>
      </c>
      <c r="D24" s="248" t="s">
        <v>1071</v>
      </c>
      <c r="E24" s="248" t="s">
        <v>1072</v>
      </c>
      <c r="F24" s="248" t="s">
        <v>1073</v>
      </c>
      <c r="G24" s="248" t="s">
        <v>1074</v>
      </c>
      <c r="H24" s="248" t="s">
        <v>1075</v>
      </c>
      <c r="I24" s="248" t="s">
        <v>1066</v>
      </c>
      <c r="J24" s="251" t="n">
        <v>1703.42</v>
      </c>
      <c r="K24" s="251" t="n">
        <v>1711.68773934065</v>
      </c>
      <c r="L24" s="252" t="n">
        <f aca="false">IF(ISNUMBER(J24),J24*$C$10,"NA")</f>
        <v>31479.2016</v>
      </c>
      <c r="M24" s="252" t="n">
        <f aca="false">IF(ISNUMBER(K24),K24*$C$10,"NA")</f>
        <v>31631.9894230152</v>
      </c>
      <c r="N24" s="253" t="n">
        <v>21.31</v>
      </c>
      <c r="O24" s="248" t="s">
        <v>876</v>
      </c>
      <c r="P24" s="253" t="n">
        <v>0.69</v>
      </c>
      <c r="Q24" s="248" t="s">
        <v>876</v>
      </c>
      <c r="R24" s="248" t="s">
        <v>876</v>
      </c>
      <c r="S24" s="251" t="n">
        <v>2526.08</v>
      </c>
      <c r="T24" s="36" t="n">
        <f aca="false">COUNT(N24:P24)</f>
        <v>2</v>
      </c>
      <c r="U24" s="0" t="str">
        <f aca="false">IF(AND(B24&gt;=$C$8,B24&lt;=$C$6),"Sí","No")</f>
        <v>Sí</v>
      </c>
      <c r="V24" s="0" t="str">
        <f aca="false">IF(T24&gt;=$C$9,"Sí","No")</f>
        <v>Sí</v>
      </c>
      <c r="W24" s="254" t="s">
        <v>932</v>
      </c>
      <c r="X24" s="0" t="str">
        <f aca="false">IF(UPPER(TRIM(C24))=UPPER(TRIM(G24)),"Sí","No")</f>
        <v>No</v>
      </c>
      <c r="Y24" s="0" t="str">
        <f aca="false">IF(AND(U24="Sí",V24="Sí"),"Sí","No")</f>
        <v>Sí</v>
      </c>
      <c r="Z24" s="254" t="s">
        <v>1076</v>
      </c>
      <c r="AA24" s="254" t="s">
        <v>1068</v>
      </c>
      <c r="AB24" s="119" t="n">
        <f aca="false">IF(AND(U24="Sí",V24="Sí",W24="Sí",X24="No",AA24="Elegible"),1,0)</f>
        <v>1</v>
      </c>
      <c r="AC24" s="254" t="s">
        <v>1077</v>
      </c>
      <c r="AE24" s="255" t="n">
        <f aca="false">IF(AND(AB24=1,ISNUMBER(N24)),N24,"")</f>
        <v>21.31</v>
      </c>
      <c r="AF24" s="255" t="n">
        <f aca="false">IF(AND(AB24=1,ISNUMBER(P24)),P24,"")</f>
        <v>0.69</v>
      </c>
      <c r="AG24" s="255" t="str">
        <f aca="false">IF(AND(AB24=1,ISNUMBER(O24)),O24,"")</f>
        <v/>
      </c>
      <c r="AH24" s="255" t="str">
        <f aca="false">IF(ISNUMBER(AE24),IF(AND(AE24&lt;=C$58,AE24&gt;=C$57),AE24,""),"")</f>
        <v/>
      </c>
      <c r="AI24" s="255" t="n">
        <f aca="false">IF(ISNUMBER(AF24),IF(AND(AF24&lt;=D$58,AF24&gt;=D$57),AF24,""),"")</f>
        <v>0.69</v>
      </c>
      <c r="AJ24" s="255" t="str">
        <f aca="false">IF(ISNUMBER(AG24),IF(AND(AG24&lt;=E$58,AG24&gt;=E$57),AG24,""),"")</f>
        <v/>
      </c>
      <c r="AK24" s="255" t="n">
        <f aca="false">AE24</f>
        <v>21.31</v>
      </c>
      <c r="AL24" s="255" t="n">
        <f aca="false">AE24</f>
        <v>21.31</v>
      </c>
      <c r="AM24" s="255" t="n">
        <f aca="false">AE24</f>
        <v>21.31</v>
      </c>
      <c r="AN24" s="255" t="n">
        <f aca="false">AE24</f>
        <v>21.31</v>
      </c>
    </row>
    <row r="25" customFormat="false" ht="15" hidden="false" customHeight="false" outlineLevel="0" collapsed="false">
      <c r="A25" s="248" t="n">
        <v>4191742040</v>
      </c>
      <c r="B25" s="250" t="n">
        <v>45328</v>
      </c>
      <c r="C25" s="248" t="s">
        <v>1078</v>
      </c>
      <c r="D25" s="248" t="s">
        <v>1079</v>
      </c>
      <c r="E25" s="248" t="s">
        <v>1072</v>
      </c>
      <c r="F25" s="248" t="s">
        <v>1063</v>
      </c>
      <c r="G25" s="248" t="s">
        <v>1080</v>
      </c>
      <c r="H25" s="248" t="s">
        <v>1079</v>
      </c>
      <c r="I25" s="248" t="s">
        <v>1066</v>
      </c>
      <c r="J25" s="251" t="n">
        <v>3339.55</v>
      </c>
      <c r="K25" s="251" t="n">
        <v>11027.0528552116</v>
      </c>
      <c r="L25" s="252" t="n">
        <f aca="false">IF(ISNUMBER(J25),J25*$C$10,"NA")</f>
        <v>61714.884</v>
      </c>
      <c r="M25" s="252" t="n">
        <f aca="false">IF(ISNUMBER(K25),K25*$C$10,"NA")</f>
        <v>203779.93676431</v>
      </c>
      <c r="N25" s="253" t="n">
        <v>3.24</v>
      </c>
      <c r="O25" s="253" t="n">
        <v>13.72</v>
      </c>
      <c r="P25" s="253" t="n">
        <v>0.9</v>
      </c>
      <c r="Q25" s="248" t="s">
        <v>876</v>
      </c>
      <c r="R25" s="248" t="s">
        <v>876</v>
      </c>
      <c r="S25" s="251" t="n">
        <v>12244.6</v>
      </c>
      <c r="T25" s="36" t="n">
        <f aca="false">COUNT(N25:P25)</f>
        <v>3</v>
      </c>
      <c r="U25" s="0" t="str">
        <f aca="false">IF(AND(B25&gt;=$C$8,B25&lt;=$C$6),"Sí","No")</f>
        <v>Sí</v>
      </c>
      <c r="V25" s="0" t="str">
        <f aca="false">IF(T25&gt;=$C$9,"Sí","No")</f>
        <v>Sí</v>
      </c>
      <c r="W25" s="254" t="s">
        <v>932</v>
      </c>
      <c r="X25" s="0" t="str">
        <f aca="false">IF(UPPER(TRIM(C25))=UPPER(TRIM(G25)),"Sí","No")</f>
        <v>No</v>
      </c>
      <c r="Y25" s="0" t="str">
        <f aca="false">IF(AND(U25="Sí",V25="Sí"),"Sí","No")</f>
        <v>Sí</v>
      </c>
      <c r="Z25" s="254" t="s">
        <v>1081</v>
      </c>
      <c r="AA25" s="254" t="s">
        <v>1068</v>
      </c>
      <c r="AB25" s="119" t="n">
        <f aca="false">IF(AND(U25="Sí",V25="Sí",W25="Sí",X25="No",AA25="Elegible"),1,0)</f>
        <v>1</v>
      </c>
      <c r="AC25" s="254" t="s">
        <v>1082</v>
      </c>
      <c r="AE25" s="255" t="n">
        <f aca="false">IF(AND(AB25=1,ISNUMBER(N25)),N25,"")</f>
        <v>3.24</v>
      </c>
      <c r="AF25" s="255" t="n">
        <f aca="false">IF(AND(AB25=1,ISNUMBER(P25)),P25,"")</f>
        <v>0.9</v>
      </c>
      <c r="AG25" s="255" t="n">
        <f aca="false">IF(AND(AB25=1,ISNUMBER(O25)),O25,"")</f>
        <v>13.72</v>
      </c>
      <c r="AH25" s="255" t="n">
        <f aca="false">IF(ISNUMBER(AE25),IF(AND(AE25&lt;=C$58,AE25&gt;=C$57),AE25,""),"")</f>
        <v>3.24</v>
      </c>
      <c r="AI25" s="255" t="n">
        <f aca="false">IF(ISNUMBER(AF25),IF(AND(AF25&lt;=D$58,AF25&gt;=D$57),AF25,""),"")</f>
        <v>0.9</v>
      </c>
      <c r="AJ25" s="255" t="n">
        <f aca="false">IF(ISNUMBER(AG25),IF(AND(AG25&lt;=E$58,AG25&gt;=E$57),AG25,""),"")</f>
        <v>13.72</v>
      </c>
      <c r="AK25" s="255" t="n">
        <f aca="false">AE25</f>
        <v>3.24</v>
      </c>
      <c r="AL25" s="255" t="n">
        <f aca="false">AE25</f>
        <v>3.24</v>
      </c>
      <c r="AM25" s="255" t="str">
        <f aca="false">""</f>
        <v/>
      </c>
      <c r="AN25" s="255" t="n">
        <f aca="false">AE25</f>
        <v>3.24</v>
      </c>
    </row>
    <row r="26" customFormat="false" ht="15" hidden="false" customHeight="false" outlineLevel="0" collapsed="false">
      <c r="A26" s="248" t="n">
        <v>4234985040</v>
      </c>
      <c r="B26" s="250" t="n">
        <v>45427</v>
      </c>
      <c r="C26" s="248" t="s">
        <v>1083</v>
      </c>
      <c r="D26" s="248" t="s">
        <v>1079</v>
      </c>
      <c r="E26" s="248" t="s">
        <v>1072</v>
      </c>
      <c r="F26" s="248" t="s">
        <v>1063</v>
      </c>
      <c r="G26" s="248" t="s">
        <v>1084</v>
      </c>
      <c r="H26" s="248" t="s">
        <v>1079</v>
      </c>
      <c r="I26" s="248" t="s">
        <v>1066</v>
      </c>
      <c r="J26" s="251" t="n">
        <v>234.33</v>
      </c>
      <c r="K26" s="251" t="n">
        <v>700.281215044876</v>
      </c>
      <c r="L26" s="252" t="n">
        <f aca="false">IF(ISNUMBER(J26),J26*$C$10,"NA")</f>
        <v>4330.4184</v>
      </c>
      <c r="M26" s="252" t="n">
        <f aca="false">IF(ISNUMBER(K26),K26*$C$10,"NA")</f>
        <v>12941.1968540293</v>
      </c>
      <c r="N26" s="253" t="n">
        <v>7.64</v>
      </c>
      <c r="O26" s="253" t="n">
        <v>18.52</v>
      </c>
      <c r="P26" s="253" t="n">
        <v>0.28</v>
      </c>
      <c r="Q26" s="251" t="n">
        <v>-3.23</v>
      </c>
      <c r="R26" s="251" t="n">
        <v>-6.59</v>
      </c>
      <c r="S26" s="251" t="n">
        <v>2544.58</v>
      </c>
      <c r="T26" s="36" t="n">
        <f aca="false">COUNT(N26:P26)</f>
        <v>3</v>
      </c>
      <c r="U26" s="0" t="str">
        <f aca="false">IF(AND(B26&gt;=$C$8,B26&lt;=$C$6),"Sí","No")</f>
        <v>Sí</v>
      </c>
      <c r="V26" s="0" t="str">
        <f aca="false">IF(T26&gt;=$C$9,"Sí","No")</f>
        <v>Sí</v>
      </c>
      <c r="W26" s="254" t="s">
        <v>932</v>
      </c>
      <c r="X26" s="0" t="str">
        <f aca="false">IF(UPPER(TRIM(C26))=UPPER(TRIM(G26)),"Sí","No")</f>
        <v>No</v>
      </c>
      <c r="Y26" s="0" t="str">
        <f aca="false">IF(AND(U26="Sí",V26="Sí"),"Sí","No")</f>
        <v>Sí</v>
      </c>
      <c r="Z26" s="254" t="s">
        <v>1067</v>
      </c>
      <c r="AA26" s="254" t="s">
        <v>1068</v>
      </c>
      <c r="AB26" s="119" t="n">
        <f aca="false">IF(AND(U26="Sí",V26="Sí",W26="Sí",X26="No",AA26="Elegible"),1,0)</f>
        <v>1</v>
      </c>
      <c r="AC26" s="254" t="s">
        <v>1085</v>
      </c>
      <c r="AE26" s="255" t="n">
        <f aca="false">IF(AND(AB26=1,ISNUMBER(N26)),N26,"")</f>
        <v>7.64</v>
      </c>
      <c r="AF26" s="255" t="n">
        <f aca="false">IF(AND(AB26=1,ISNUMBER(P26)),P26,"")</f>
        <v>0.28</v>
      </c>
      <c r="AG26" s="255" t="n">
        <f aca="false">IF(AND(AB26=1,ISNUMBER(O26)),O26,"")</f>
        <v>18.52</v>
      </c>
      <c r="AH26" s="255" t="n">
        <f aca="false">IF(ISNUMBER(AE26),IF(AND(AE26&lt;=C$58,AE26&gt;=C$57),AE26,""),"")</f>
        <v>7.64</v>
      </c>
      <c r="AI26" s="255" t="n">
        <f aca="false">IF(ISNUMBER(AF26),IF(AND(AF26&lt;=D$58,AF26&gt;=D$57),AF26,""),"")</f>
        <v>0.28</v>
      </c>
      <c r="AJ26" s="255" t="n">
        <f aca="false">IF(ISNUMBER(AG26),IF(AND(AG26&lt;=E$58,AG26&gt;=E$57),AG26,""),"")</f>
        <v>18.52</v>
      </c>
      <c r="AK26" s="255" t="n">
        <f aca="false">AE26</f>
        <v>7.64</v>
      </c>
      <c r="AL26" s="255" t="n">
        <f aca="false">AE26</f>
        <v>7.64</v>
      </c>
      <c r="AM26" s="255" t="n">
        <f aca="false">AE26</f>
        <v>7.64</v>
      </c>
      <c r="AN26" s="255" t="n">
        <f aca="false">AE26</f>
        <v>7.64</v>
      </c>
    </row>
    <row r="27" customFormat="false" ht="15" hidden="false" customHeight="false" outlineLevel="0" collapsed="false">
      <c r="A27" s="248" t="n">
        <v>4291087040</v>
      </c>
      <c r="B27" s="250" t="n">
        <v>45558</v>
      </c>
      <c r="C27" s="248" t="s">
        <v>1086</v>
      </c>
      <c r="D27" s="248" t="s">
        <v>1087</v>
      </c>
      <c r="E27" s="248" t="s">
        <v>1072</v>
      </c>
      <c r="F27" s="248" t="s">
        <v>1063</v>
      </c>
      <c r="G27" s="248" t="s">
        <v>1088</v>
      </c>
      <c r="H27" s="248" t="s">
        <v>1087</v>
      </c>
      <c r="I27" s="248" t="s">
        <v>1066</v>
      </c>
      <c r="J27" s="251" t="n">
        <v>889.32</v>
      </c>
      <c r="K27" s="251" t="n">
        <v>5614.07966947722</v>
      </c>
      <c r="L27" s="252" t="n">
        <f aca="false">IF(ISNUMBER(J27),J27*$C$10,"NA")</f>
        <v>16434.6336</v>
      </c>
      <c r="M27" s="252" t="n">
        <f aca="false">IF(ISNUMBER(K27),K27*$C$10,"NA")</f>
        <v>103748.192291939</v>
      </c>
      <c r="N27" s="253" t="n">
        <v>12.77</v>
      </c>
      <c r="O27" s="248" t="s">
        <v>876</v>
      </c>
      <c r="P27" s="253" t="n">
        <v>0.53</v>
      </c>
      <c r="Q27" s="251" t="n">
        <v>3.07</v>
      </c>
      <c r="R27" s="251" t="n">
        <v>5.86</v>
      </c>
      <c r="S27" s="251" t="n">
        <v>10235.95</v>
      </c>
      <c r="T27" s="36" t="n">
        <f aca="false">COUNT(N27:P27)</f>
        <v>2</v>
      </c>
      <c r="U27" s="0" t="str">
        <f aca="false">IF(AND(B27&gt;=$C$8,B27&lt;=$C$6),"Sí","No")</f>
        <v>Sí</v>
      </c>
      <c r="V27" s="0" t="str">
        <f aca="false">IF(T27&gt;=$C$9,"Sí","No")</f>
        <v>Sí</v>
      </c>
      <c r="W27" s="254" t="s">
        <v>932</v>
      </c>
      <c r="X27" s="0" t="str">
        <f aca="false">IF(UPPER(TRIM(C27))=UPPER(TRIM(G27)),"Sí","No")</f>
        <v>No</v>
      </c>
      <c r="Y27" s="0" t="str">
        <f aca="false">IF(AND(U27="Sí",V27="Sí"),"Sí","No")</f>
        <v>Sí</v>
      </c>
      <c r="Z27" s="254" t="s">
        <v>1089</v>
      </c>
      <c r="AA27" s="254" t="s">
        <v>1068</v>
      </c>
      <c r="AB27" s="119" t="n">
        <f aca="false">IF(AND(U27="Sí",V27="Sí",W27="Sí",X27="No",AA27="Elegible"),1,0)</f>
        <v>1</v>
      </c>
      <c r="AC27" s="254" t="s">
        <v>1090</v>
      </c>
      <c r="AE27" s="255" t="n">
        <f aca="false">IF(AND(AB27=1,ISNUMBER(N27)),N27,"")</f>
        <v>12.77</v>
      </c>
      <c r="AF27" s="255" t="n">
        <f aca="false">IF(AND(AB27=1,ISNUMBER(P27)),P27,"")</f>
        <v>0.53</v>
      </c>
      <c r="AG27" s="255" t="str">
        <f aca="false">IF(AND(AB27=1,ISNUMBER(O27)),O27,"")</f>
        <v/>
      </c>
      <c r="AH27" s="255" t="n">
        <f aca="false">IF(ISNUMBER(AE27),IF(AND(AE27&lt;=C$58,AE27&gt;=C$57),AE27,""),"")</f>
        <v>12.77</v>
      </c>
      <c r="AI27" s="255" t="n">
        <f aca="false">IF(ISNUMBER(AF27),IF(AND(AF27&lt;=D$58,AF27&gt;=D$57),AF27,""),"")</f>
        <v>0.53</v>
      </c>
      <c r="AJ27" s="255" t="str">
        <f aca="false">IF(ISNUMBER(AG27),IF(AND(AG27&lt;=E$58,AG27&gt;=E$57),AG27,""),"")</f>
        <v/>
      </c>
      <c r="AK27" s="255" t="n">
        <f aca="false">AE27</f>
        <v>12.77</v>
      </c>
      <c r="AL27" s="255" t="n">
        <f aca="false">AE27</f>
        <v>12.77</v>
      </c>
      <c r="AM27" s="255" t="str">
        <f aca="false">""</f>
        <v/>
      </c>
      <c r="AN27" s="255" t="n">
        <f aca="false">AE27</f>
        <v>12.77</v>
      </c>
    </row>
    <row r="28" customFormat="false" ht="15" hidden="false" customHeight="false" outlineLevel="0" collapsed="false">
      <c r="A28" s="248" t="n">
        <v>4338758040</v>
      </c>
      <c r="B28" s="250" t="n">
        <v>45658</v>
      </c>
      <c r="C28" s="248" t="s">
        <v>1091</v>
      </c>
      <c r="D28" s="248" t="s">
        <v>1092</v>
      </c>
      <c r="E28" s="248" t="s">
        <v>1072</v>
      </c>
      <c r="F28" s="248" t="s">
        <v>1063</v>
      </c>
      <c r="G28" s="248" t="s">
        <v>1093</v>
      </c>
      <c r="H28" s="248" t="s">
        <v>1092</v>
      </c>
      <c r="I28" s="248" t="s">
        <v>1066</v>
      </c>
      <c r="J28" s="251" t="n">
        <v>1333.8</v>
      </c>
      <c r="K28" s="251" t="n">
        <v>824.101012589789</v>
      </c>
      <c r="L28" s="252" t="n">
        <f aca="false">IF(ISNUMBER(J28),J28*$C$10,"NA")</f>
        <v>24648.624</v>
      </c>
      <c r="M28" s="252" t="n">
        <f aca="false">IF(ISNUMBER(K28),K28*$C$10,"NA")</f>
        <v>15229.3867126593</v>
      </c>
      <c r="N28" s="253" t="n">
        <v>2.2</v>
      </c>
      <c r="O28" s="248" t="s">
        <v>876</v>
      </c>
      <c r="P28" s="253" t="n">
        <v>0.08</v>
      </c>
      <c r="Q28" s="251" t="n">
        <v>-44.35</v>
      </c>
      <c r="R28" s="251" t="n">
        <v>-43.9</v>
      </c>
      <c r="S28" s="251" t="n">
        <v>10128.92</v>
      </c>
      <c r="T28" s="36" t="n">
        <f aca="false">COUNT(N28:P28)</f>
        <v>2</v>
      </c>
      <c r="U28" s="0" t="str">
        <f aca="false">IF(AND(B28&gt;=$C$8,B28&lt;=$C$6),"Sí","No")</f>
        <v>Sí</v>
      </c>
      <c r="V28" s="0" t="str">
        <f aca="false">IF(T28&gt;=$C$9,"Sí","No")</f>
        <v>Sí</v>
      </c>
      <c r="W28" s="254" t="s">
        <v>932</v>
      </c>
      <c r="X28" s="0" t="str">
        <f aca="false">IF(UPPER(TRIM(C28))=UPPER(TRIM(G28)),"Sí","No")</f>
        <v>No</v>
      </c>
      <c r="Y28" s="0" t="str">
        <f aca="false">IF(AND(U28="Sí",V28="Sí"),"Sí","No")</f>
        <v>Sí</v>
      </c>
      <c r="Z28" s="254" t="s">
        <v>1094</v>
      </c>
      <c r="AA28" s="254" t="s">
        <v>1068</v>
      </c>
      <c r="AB28" s="119" t="n">
        <f aca="false">IF(AND(U28="Sí",V28="Sí",W28="Sí",X28="No",AA28="Elegible"),1,0)</f>
        <v>1</v>
      </c>
      <c r="AC28" s="254" t="s">
        <v>1095</v>
      </c>
      <c r="AE28" s="255" t="n">
        <f aca="false">IF(AND(AB28=1,ISNUMBER(N28)),N28,"")</f>
        <v>2.2</v>
      </c>
      <c r="AF28" s="255" t="n">
        <f aca="false">IF(AND(AB28=1,ISNUMBER(P28)),P28,"")</f>
        <v>0.08</v>
      </c>
      <c r="AG28" s="255" t="str">
        <f aca="false">IF(AND(AB28=1,ISNUMBER(O28)),O28,"")</f>
        <v/>
      </c>
      <c r="AH28" s="255" t="n">
        <f aca="false">IF(ISNUMBER(AE28),IF(AND(AE28&lt;=C$58,AE28&gt;=C$57),AE28,""),"")</f>
        <v>2.2</v>
      </c>
      <c r="AI28" s="255" t="n">
        <f aca="false">IF(ISNUMBER(AF28),IF(AND(AF28&lt;=D$58,AF28&gt;=D$57),AF28,""),"")</f>
        <v>0.08</v>
      </c>
      <c r="AJ28" s="255" t="str">
        <f aca="false">IF(ISNUMBER(AG28),IF(AND(AG28&lt;=E$58,AG28&gt;=E$57),AG28,""),"")</f>
        <v/>
      </c>
      <c r="AK28" s="255" t="n">
        <f aca="false">AE28</f>
        <v>2.2</v>
      </c>
      <c r="AL28" s="255" t="str">
        <f aca="false">""</f>
        <v/>
      </c>
      <c r="AM28" s="255" t="n">
        <f aca="false">AE28</f>
        <v>2.2</v>
      </c>
      <c r="AN28" s="255" t="n">
        <f aca="false">AE28</f>
        <v>2.2</v>
      </c>
    </row>
    <row r="29" customFormat="false" ht="15" hidden="false" customHeight="false" outlineLevel="0" collapsed="false">
      <c r="A29" s="248" t="n">
        <v>4353024040</v>
      </c>
      <c r="B29" s="250" t="n">
        <v>45693</v>
      </c>
      <c r="C29" s="248" t="s">
        <v>1096</v>
      </c>
      <c r="D29" s="248" t="s">
        <v>1097</v>
      </c>
      <c r="E29" s="248" t="s">
        <v>1072</v>
      </c>
      <c r="F29" s="248" t="s">
        <v>1063</v>
      </c>
      <c r="G29" s="248" t="s">
        <v>1098</v>
      </c>
      <c r="H29" s="248" t="s">
        <v>1097</v>
      </c>
      <c r="I29" s="248" t="s">
        <v>1066</v>
      </c>
      <c r="J29" s="251" t="n">
        <v>294.05</v>
      </c>
      <c r="K29" s="251" t="n">
        <v>5048.57632795548</v>
      </c>
      <c r="L29" s="252" t="n">
        <f aca="false">IF(ISNUMBER(J29),J29*$C$10,"NA")</f>
        <v>5434.044</v>
      </c>
      <c r="M29" s="252" t="n">
        <f aca="false">IF(ISNUMBER(K29),K29*$C$10,"NA")</f>
        <v>93297.6905406173</v>
      </c>
      <c r="N29" s="253" t="n">
        <v>5.11</v>
      </c>
      <c r="O29" s="248" t="s">
        <v>876</v>
      </c>
      <c r="P29" s="253" t="n">
        <v>0.16</v>
      </c>
      <c r="Q29" s="251" t="n">
        <v>38.8</v>
      </c>
      <c r="R29" s="251" t="n">
        <v>26.45</v>
      </c>
      <c r="S29" s="251" t="n">
        <v>32597.58</v>
      </c>
      <c r="T29" s="36" t="n">
        <f aca="false">COUNT(N29:P29)</f>
        <v>2</v>
      </c>
      <c r="U29" s="0" t="str">
        <f aca="false">IF(AND(B29&gt;=$C$8,B29&lt;=$C$6),"Sí","No")</f>
        <v>Sí</v>
      </c>
      <c r="V29" s="0" t="str">
        <f aca="false">IF(T29&gt;=$C$9,"Sí","No")</f>
        <v>Sí</v>
      </c>
      <c r="W29" s="254" t="s">
        <v>932</v>
      </c>
      <c r="X29" s="0" t="str">
        <f aca="false">IF(UPPER(TRIM(C29))=UPPER(TRIM(G29)),"Sí","No")</f>
        <v>No</v>
      </c>
      <c r="Y29" s="0" t="str">
        <f aca="false">IF(AND(U29="Sí",V29="Sí"),"Sí","No")</f>
        <v>Sí</v>
      </c>
      <c r="Z29" s="254" t="s">
        <v>1099</v>
      </c>
      <c r="AA29" s="254" t="s">
        <v>1068</v>
      </c>
      <c r="AB29" s="119" t="n">
        <f aca="false">IF(AND(U29="Sí",V29="Sí",W29="Sí",X29="No",AA29="Elegible"),1,0)</f>
        <v>1</v>
      </c>
      <c r="AC29" s="254" t="s">
        <v>1100</v>
      </c>
      <c r="AE29" s="255" t="n">
        <f aca="false">IF(AND(AB29=1,ISNUMBER(N29)),N29,"")</f>
        <v>5.11</v>
      </c>
      <c r="AF29" s="255" t="n">
        <f aca="false">IF(AND(AB29=1,ISNUMBER(P29)),P29,"")</f>
        <v>0.16</v>
      </c>
      <c r="AG29" s="255" t="str">
        <f aca="false">IF(AND(AB29=1,ISNUMBER(O29)),O29,"")</f>
        <v/>
      </c>
      <c r="AH29" s="255" t="n">
        <f aca="false">IF(ISNUMBER(AE29),IF(AND(AE29&lt;=C$58,AE29&gt;=C$57),AE29,""),"")</f>
        <v>5.11</v>
      </c>
      <c r="AI29" s="255" t="n">
        <f aca="false">IF(ISNUMBER(AF29),IF(AND(AF29&lt;=D$58,AF29&gt;=D$57),AF29,""),"")</f>
        <v>0.16</v>
      </c>
      <c r="AJ29" s="255" t="str">
        <f aca="false">IF(ISNUMBER(AG29),IF(AND(AG29&lt;=E$58,AG29&gt;=E$57),AG29,""),"")</f>
        <v/>
      </c>
      <c r="AK29" s="255" t="n">
        <f aca="false">AE29</f>
        <v>5.11</v>
      </c>
      <c r="AL29" s="255" t="n">
        <f aca="false">AE29</f>
        <v>5.11</v>
      </c>
      <c r="AM29" s="255" t="n">
        <f aca="false">AE29</f>
        <v>5.11</v>
      </c>
      <c r="AN29" s="255" t="n">
        <f aca="false">AE29</f>
        <v>5.11</v>
      </c>
    </row>
    <row r="30" customFormat="false" ht="15" hidden="false" customHeight="false" outlineLevel="0" collapsed="false">
      <c r="A30" s="248" t="n">
        <v>4340542040</v>
      </c>
      <c r="B30" s="250" t="n">
        <v>45721</v>
      </c>
      <c r="C30" s="248" t="s">
        <v>1101</v>
      </c>
      <c r="D30" s="248" t="s">
        <v>1079</v>
      </c>
      <c r="E30" s="248" t="s">
        <v>1072</v>
      </c>
      <c r="F30" s="248" t="s">
        <v>1073</v>
      </c>
      <c r="G30" s="248" t="s">
        <v>1102</v>
      </c>
      <c r="H30" s="248" t="s">
        <v>1079</v>
      </c>
      <c r="I30" s="248" t="s">
        <v>1066</v>
      </c>
      <c r="J30" s="251" t="n">
        <v>2536.72</v>
      </c>
      <c r="K30" s="251" t="n">
        <v>2552.39118753358</v>
      </c>
      <c r="L30" s="252" t="n">
        <f aca="false">IF(ISNUMBER(J30),J30*$C$10,"NA")</f>
        <v>46878.5856</v>
      </c>
      <c r="M30" s="252" t="n">
        <f aca="false">IF(ISNUMBER(K30),K30*$C$10,"NA")</f>
        <v>47168.1891456206</v>
      </c>
      <c r="N30" s="248" t="s">
        <v>876</v>
      </c>
      <c r="O30" s="253" t="n">
        <v>3.88</v>
      </c>
      <c r="P30" s="253" t="n">
        <v>0.69</v>
      </c>
      <c r="Q30" s="248" t="s">
        <v>876</v>
      </c>
      <c r="R30" s="248" t="s">
        <v>876</v>
      </c>
      <c r="S30" s="251" t="n">
        <v>3508.95</v>
      </c>
      <c r="T30" s="36" t="n">
        <f aca="false">COUNT(N30:P30)</f>
        <v>2</v>
      </c>
      <c r="U30" s="0" t="str">
        <f aca="false">IF(AND(B30&gt;=$C$8,B30&lt;=$C$6),"Sí","No")</f>
        <v>Sí</v>
      </c>
      <c r="V30" s="0" t="str">
        <f aca="false">IF(T30&gt;=$C$9,"Sí","No")</f>
        <v>Sí</v>
      </c>
      <c r="W30" s="254" t="s">
        <v>932</v>
      </c>
      <c r="X30" s="0" t="str">
        <f aca="false">IF(UPPER(TRIM(C30))=UPPER(TRIM(G30)),"Sí","No")</f>
        <v>No</v>
      </c>
      <c r="Y30" s="0" t="str">
        <f aca="false">IF(AND(U30="Sí",V30="Sí"),"Sí","No")</f>
        <v>Sí</v>
      </c>
      <c r="Z30" s="254" t="s">
        <v>1103</v>
      </c>
      <c r="AA30" s="254" t="s">
        <v>1068</v>
      </c>
      <c r="AB30" s="119" t="n">
        <f aca="false">IF(AND(U30="Sí",V30="Sí",W30="Sí",X30="No",AA30="Elegible"),1,0)</f>
        <v>1</v>
      </c>
      <c r="AC30" s="254" t="s">
        <v>1104</v>
      </c>
      <c r="AE30" s="255" t="str">
        <f aca="false">IF(AND(AB30=1,ISNUMBER(N30)),N30,"")</f>
        <v/>
      </c>
      <c r="AF30" s="255" t="n">
        <f aca="false">IF(AND(AB30=1,ISNUMBER(P30)),P30,"")</f>
        <v>0.69</v>
      </c>
      <c r="AG30" s="255" t="n">
        <f aca="false">IF(AND(AB30=1,ISNUMBER(O30)),O30,"")</f>
        <v>3.88</v>
      </c>
      <c r="AH30" s="255" t="str">
        <f aca="false">IF(ISNUMBER(AE30),IF(AND(AE30&lt;=C$58,AE30&gt;=C$57),AE30,""),"")</f>
        <v/>
      </c>
      <c r="AI30" s="255" t="n">
        <f aca="false">IF(ISNUMBER(AF30),IF(AND(AF30&lt;=D$58,AF30&gt;=D$57),AF30,""),"")</f>
        <v>0.69</v>
      </c>
      <c r="AJ30" s="255" t="str">
        <f aca="false">IF(ISNUMBER(AG30),IF(AND(AG30&lt;=E$58,AG30&gt;=E$57),AG30,""),"")</f>
        <v/>
      </c>
      <c r="AK30" s="255" t="str">
        <f aca="false">AE30</f>
        <v/>
      </c>
      <c r="AL30" s="255" t="str">
        <f aca="false">AE30</f>
        <v/>
      </c>
      <c r="AM30" s="255" t="str">
        <f aca="false">AE30</f>
        <v/>
      </c>
      <c r="AN30" s="255" t="str">
        <f aca="false">AE30</f>
        <v/>
      </c>
    </row>
    <row r="31" customFormat="false" ht="15" hidden="false" customHeight="false" outlineLevel="0" collapsed="false">
      <c r="A31" s="248" t="n">
        <v>4172416040</v>
      </c>
      <c r="B31" s="250" t="n">
        <v>45281</v>
      </c>
      <c r="C31" s="248" t="s">
        <v>1105</v>
      </c>
      <c r="D31" s="248" t="s">
        <v>1087</v>
      </c>
      <c r="E31" s="248" t="s">
        <v>1072</v>
      </c>
      <c r="F31" s="248" t="s">
        <v>1063</v>
      </c>
      <c r="G31" s="248" t="s">
        <v>1106</v>
      </c>
      <c r="H31" s="248" t="s">
        <v>1087</v>
      </c>
      <c r="I31" s="248" t="s">
        <v>1066</v>
      </c>
      <c r="J31" s="251" t="n">
        <v>182.33</v>
      </c>
      <c r="K31" s="251" t="n">
        <v>957.342430058419</v>
      </c>
      <c r="L31" s="252" t="n">
        <f aca="false">IF(ISNUMBER(J31),J31*$C$10,"NA")</f>
        <v>3369.4584</v>
      </c>
      <c r="M31" s="252" t="n">
        <f aca="false">IF(ISNUMBER(K31),K31*$C$10,"NA")</f>
        <v>17691.6881074796</v>
      </c>
      <c r="N31" s="253" t="n">
        <v>4.97</v>
      </c>
      <c r="O31" s="253" t="n">
        <v>13.41</v>
      </c>
      <c r="P31" s="253" t="n">
        <v>0.67</v>
      </c>
      <c r="Q31" s="248" t="s">
        <v>876</v>
      </c>
      <c r="R31" s="251" t="n">
        <v>7.79</v>
      </c>
      <c r="S31" s="251" t="n">
        <v>1419.49</v>
      </c>
      <c r="T31" s="36" t="n">
        <f aca="false">COUNT(N31:P31)</f>
        <v>3</v>
      </c>
      <c r="U31" s="0" t="str">
        <f aca="false">IF(AND(B31&gt;=$C$8,B31&lt;=$C$6),"Sí","No")</f>
        <v>Sí</v>
      </c>
      <c r="V31" s="0" t="str">
        <f aca="false">IF(T31&gt;=$C$9,"Sí","No")</f>
        <v>Sí</v>
      </c>
      <c r="W31" s="254" t="s">
        <v>932</v>
      </c>
      <c r="X31" s="0" t="str">
        <f aca="false">IF(UPPER(TRIM(C31))=UPPER(TRIM(G31)),"Sí","No")</f>
        <v>No</v>
      </c>
      <c r="Y31" s="0" t="str">
        <f aca="false">IF(AND(U31="Sí",V31="Sí"),"Sí","No")</f>
        <v>Sí</v>
      </c>
      <c r="Z31" s="254" t="s">
        <v>1107</v>
      </c>
      <c r="AA31" s="254" t="s">
        <v>1068</v>
      </c>
      <c r="AB31" s="119" t="n">
        <f aca="false">IF(AND(U31="Sí",V31="Sí",W31="Sí",X31="No",AA31="Elegible"),1,0)</f>
        <v>1</v>
      </c>
      <c r="AC31" s="254" t="s">
        <v>1108</v>
      </c>
      <c r="AD31" s="36" t="s">
        <v>1109</v>
      </c>
      <c r="AE31" s="255" t="n">
        <f aca="false">IF(AND(AB31=1,ISNUMBER(N31)),N31,"")</f>
        <v>4.97</v>
      </c>
      <c r="AF31" s="255" t="n">
        <f aca="false">IF(AND(AB31=1,ISNUMBER(P31)),P31,"")</f>
        <v>0.67</v>
      </c>
      <c r="AG31" s="255" t="n">
        <f aca="false">IF(AND(AB31=1,ISNUMBER(O31)),O31,"")</f>
        <v>13.41</v>
      </c>
      <c r="AH31" s="255" t="n">
        <f aca="false">IF(ISNUMBER(AE31),IF(AND(AE31&lt;=C$58,AE31&gt;=C$57),AE31,""),"")</f>
        <v>4.97</v>
      </c>
      <c r="AI31" s="255" t="n">
        <f aca="false">IF(ISNUMBER(AF31),IF(AND(AF31&lt;=D$58,AF31&gt;=D$57),AF31,""),"")</f>
        <v>0.67</v>
      </c>
      <c r="AJ31" s="255" t="n">
        <f aca="false">IF(ISNUMBER(AG31),IF(AND(AG31&lt;=E$58,AG31&gt;=E$57),AG31,""),"")</f>
        <v>13.41</v>
      </c>
      <c r="AK31" s="255" t="n">
        <f aca="false">AE31</f>
        <v>4.97</v>
      </c>
      <c r="AL31" s="255" t="n">
        <f aca="false">AE31</f>
        <v>4.97</v>
      </c>
      <c r="AM31" s="255" t="n">
        <f aca="false">AE31</f>
        <v>4.97</v>
      </c>
      <c r="AN31" s="255" t="str">
        <f aca="false">""</f>
        <v/>
      </c>
    </row>
    <row r="32" customFormat="false" ht="15" hidden="false" customHeight="false" outlineLevel="0" collapsed="false">
      <c r="A32" s="248" t="n">
        <v>4163818040</v>
      </c>
      <c r="B32" s="250" t="n">
        <v>45260</v>
      </c>
      <c r="C32" s="248" t="s">
        <v>1110</v>
      </c>
      <c r="D32" s="248" t="s">
        <v>1079</v>
      </c>
      <c r="E32" s="248" t="s">
        <v>1072</v>
      </c>
      <c r="F32" s="248" t="s">
        <v>1063</v>
      </c>
      <c r="G32" s="248" t="s">
        <v>1110</v>
      </c>
      <c r="H32" s="248" t="s">
        <v>1079</v>
      </c>
      <c r="I32" s="248" t="s">
        <v>1066</v>
      </c>
      <c r="J32" s="251" t="n">
        <v>747.08</v>
      </c>
      <c r="K32" s="251" t="n">
        <v>23898.2636401176</v>
      </c>
      <c r="L32" s="252" t="n">
        <f aca="false">IF(ISNUMBER(J32),J32*$C$10,"NA")</f>
        <v>13806.0384</v>
      </c>
      <c r="M32" s="252" t="n">
        <f aca="false">IF(ISNUMBER(K32),K32*$C$10,"NA")</f>
        <v>441639.912069373</v>
      </c>
      <c r="N32" s="253" t="n">
        <v>3.36</v>
      </c>
      <c r="O32" s="253" t="n">
        <v>11.07</v>
      </c>
      <c r="P32" s="253" t="n">
        <v>0.31</v>
      </c>
      <c r="Q32" s="248" t="s">
        <v>876</v>
      </c>
      <c r="R32" s="248" t="s">
        <v>876</v>
      </c>
      <c r="S32" s="251" t="n">
        <v>76488.55</v>
      </c>
      <c r="T32" s="36" t="n">
        <f aca="false">COUNT(N32:P32)</f>
        <v>3</v>
      </c>
      <c r="U32" s="0" t="str">
        <f aca="false">IF(AND(B32&gt;=$C$8,B32&lt;=$C$6),"Sí","No")</f>
        <v>Sí</v>
      </c>
      <c r="V32" s="0" t="str">
        <f aca="false">IF(T32&gt;=$C$9,"Sí","No")</f>
        <v>Sí</v>
      </c>
      <c r="W32" s="254" t="s">
        <v>932</v>
      </c>
      <c r="X32" s="0" t="str">
        <f aca="false">IF(UPPER(TRIM(C32))=UPPER(TRIM(G32)),"Sí","No")</f>
        <v>Sí</v>
      </c>
      <c r="Y32" s="0" t="str">
        <f aca="false">IF(AND(U32="Sí",V32="Sí"),"Sí","No")</f>
        <v>Sí</v>
      </c>
      <c r="Z32" s="254" t="s">
        <v>1111</v>
      </c>
      <c r="AA32" s="254" t="s">
        <v>1112</v>
      </c>
      <c r="AB32" s="119" t="n">
        <f aca="false">IF(AND(U32="Sí",V32="Sí",W32="Sí",X32="No",AA32="Elegible"),1,0)</f>
        <v>0</v>
      </c>
      <c r="AC32" s="254" t="s">
        <v>1113</v>
      </c>
      <c r="AE32" s="255" t="str">
        <f aca="false">IF(AND(AB32=1,ISNUMBER(N32)),N32,"")</f>
        <v/>
      </c>
      <c r="AF32" s="255" t="str">
        <f aca="false">IF(AND(AB32=1,ISNUMBER(P32)),P32,"")</f>
        <v/>
      </c>
      <c r="AG32" s="255" t="str">
        <f aca="false">IF(AND(AB32=1,ISNUMBER(O32)),O32,"")</f>
        <v/>
      </c>
      <c r="AH32" s="255" t="str">
        <f aca="false">IF(ISNUMBER(AE32),IF(AND(AE32&lt;=C$58,AE32&gt;=C$57),AE32,""),"")</f>
        <v/>
      </c>
      <c r="AI32" s="255" t="str">
        <f aca="false">IF(ISNUMBER(AF32),IF(AND(AF32&lt;=D$58,AF32&gt;=D$57),AF32,""),"")</f>
        <v/>
      </c>
      <c r="AJ32" s="255" t="str">
        <f aca="false">IF(ISNUMBER(AG32),IF(AND(AG32&lt;=E$58,AG32&gt;=E$57),AG32,""),"")</f>
        <v/>
      </c>
      <c r="AK32" s="255" t="str">
        <f aca="false">AE32</f>
        <v/>
      </c>
      <c r="AL32" s="255" t="str">
        <f aca="false">AE32</f>
        <v/>
      </c>
      <c r="AM32" s="255" t="str">
        <f aca="false">AE32</f>
        <v/>
      </c>
      <c r="AN32" s="255" t="str">
        <f aca="false">AE32</f>
        <v/>
      </c>
    </row>
    <row r="33" customFormat="false" ht="15" hidden="false" customHeight="false" outlineLevel="0" collapsed="false">
      <c r="A33" s="248" t="n">
        <v>4220226040</v>
      </c>
      <c r="B33" s="250" t="n">
        <v>45377</v>
      </c>
      <c r="C33" s="248" t="s">
        <v>1114</v>
      </c>
      <c r="D33" s="248" t="s">
        <v>1115</v>
      </c>
      <c r="E33" s="248" t="s">
        <v>1072</v>
      </c>
      <c r="F33" s="248" t="s">
        <v>1063</v>
      </c>
      <c r="G33" s="248" t="s">
        <v>1114</v>
      </c>
      <c r="H33" s="248" t="s">
        <v>1115</v>
      </c>
      <c r="I33" s="248" t="s">
        <v>1066</v>
      </c>
      <c r="J33" s="251" t="n">
        <v>395.51</v>
      </c>
      <c r="K33" s="251" t="n">
        <v>25430.5705943316</v>
      </c>
      <c r="L33" s="252" t="n">
        <f aca="false">IF(ISNUMBER(J33),J33*$C$10,"NA")</f>
        <v>7309.0248</v>
      </c>
      <c r="M33" s="252" t="n">
        <f aca="false">IF(ISNUMBER(K33),K33*$C$10,"NA")</f>
        <v>469956.944583248</v>
      </c>
      <c r="N33" s="253" t="n">
        <v>5.16</v>
      </c>
      <c r="O33" s="253" t="n">
        <v>11.59</v>
      </c>
      <c r="P33" s="253" t="n">
        <v>0.28</v>
      </c>
      <c r="Q33" s="248" t="s">
        <v>876</v>
      </c>
      <c r="R33" s="248" t="s">
        <v>876</v>
      </c>
      <c r="S33" s="251" t="n">
        <v>93703.99</v>
      </c>
      <c r="T33" s="36" t="n">
        <f aca="false">COUNT(N33:P33)</f>
        <v>3</v>
      </c>
      <c r="U33" s="0" t="str">
        <f aca="false">IF(AND(B33&gt;=$C$8,B33&lt;=$C$6),"Sí","No")</f>
        <v>Sí</v>
      </c>
      <c r="V33" s="0" t="str">
        <f aca="false">IF(T33&gt;=$C$9,"Sí","No")</f>
        <v>Sí</v>
      </c>
      <c r="W33" s="254" t="s">
        <v>932</v>
      </c>
      <c r="X33" s="0" t="str">
        <f aca="false">IF(UPPER(TRIM(C33))=UPPER(TRIM(G33)),"Sí","No")</f>
        <v>Sí</v>
      </c>
      <c r="Y33" s="0" t="str">
        <f aca="false">IF(AND(U33="Sí",V33="Sí"),"Sí","No")</f>
        <v>Sí</v>
      </c>
      <c r="Z33" s="254" t="s">
        <v>1111</v>
      </c>
      <c r="AA33" s="254" t="s">
        <v>1112</v>
      </c>
      <c r="AB33" s="119" t="n">
        <f aca="false">IF(AND(U33="Sí",V33="Sí",W33="Sí",X33="No",AA33="Elegible"),1,0)</f>
        <v>0</v>
      </c>
      <c r="AC33" s="254" t="s">
        <v>1113</v>
      </c>
      <c r="AE33" s="255" t="str">
        <f aca="false">IF(AND(AB33=1,ISNUMBER(N33)),N33,"")</f>
        <v/>
      </c>
      <c r="AF33" s="255" t="str">
        <f aca="false">IF(AND(AB33=1,ISNUMBER(P33)),P33,"")</f>
        <v/>
      </c>
      <c r="AG33" s="255" t="str">
        <f aca="false">IF(AND(AB33=1,ISNUMBER(O33)),O33,"")</f>
        <v/>
      </c>
      <c r="AH33" s="255" t="str">
        <f aca="false">IF(ISNUMBER(AE33),IF(AND(AE33&lt;=C$58,AE33&gt;=C$57),AE33,""),"")</f>
        <v/>
      </c>
      <c r="AI33" s="255" t="str">
        <f aca="false">IF(ISNUMBER(AF33),IF(AND(AF33&lt;=D$58,AF33&gt;=D$57),AF33,""),"")</f>
        <v/>
      </c>
      <c r="AJ33" s="255" t="str">
        <f aca="false">IF(ISNUMBER(AG33),IF(AND(AG33&lt;=E$58,AG33&gt;=E$57),AG33,""),"")</f>
        <v/>
      </c>
      <c r="AK33" s="255" t="str">
        <f aca="false">AE33</f>
        <v/>
      </c>
      <c r="AL33" s="255" t="str">
        <f aca="false">AE33</f>
        <v/>
      </c>
      <c r="AM33" s="255" t="str">
        <f aca="false">AE33</f>
        <v/>
      </c>
      <c r="AN33" s="255" t="str">
        <f aca="false">AE33</f>
        <v/>
      </c>
    </row>
    <row r="34" customFormat="false" ht="15" hidden="false" customHeight="false" outlineLevel="0" collapsed="false">
      <c r="A34" s="248" t="n">
        <v>4382315040</v>
      </c>
      <c r="B34" s="250" t="n">
        <v>45756</v>
      </c>
      <c r="C34" s="248" t="s">
        <v>1110</v>
      </c>
      <c r="D34" s="248" t="s">
        <v>1079</v>
      </c>
      <c r="E34" s="248" t="s">
        <v>1072</v>
      </c>
      <c r="F34" s="248" t="s">
        <v>1063</v>
      </c>
      <c r="G34" s="248" t="s">
        <v>1110</v>
      </c>
      <c r="H34" s="248" t="s">
        <v>1079</v>
      </c>
      <c r="I34" s="248" t="s">
        <v>1066</v>
      </c>
      <c r="J34" s="251" t="n">
        <v>4101.72</v>
      </c>
      <c r="K34" s="251" t="n">
        <v>57481.8306496952</v>
      </c>
      <c r="L34" s="252" t="n">
        <f aca="false">IF(ISNUMBER(J34),J34*$C$10,"NA")</f>
        <v>75799.7856</v>
      </c>
      <c r="M34" s="252" t="n">
        <f aca="false">IF(ISNUMBER(K34),K34*$C$10,"NA")</f>
        <v>1062264.23040637</v>
      </c>
      <c r="N34" s="253" t="n">
        <v>8.74</v>
      </c>
      <c r="O34" s="253" t="n">
        <v>17.36</v>
      </c>
      <c r="P34" s="253" t="n">
        <v>0.78</v>
      </c>
      <c r="Q34" s="248" t="s">
        <v>876</v>
      </c>
      <c r="R34" s="248" t="s">
        <v>876</v>
      </c>
      <c r="S34" s="251" t="n">
        <v>70151.19</v>
      </c>
      <c r="T34" s="36" t="n">
        <f aca="false">COUNT(N34:P34)</f>
        <v>3</v>
      </c>
      <c r="U34" s="0" t="str">
        <f aca="false">IF(AND(B34&gt;=$C$8,B34&lt;=$C$6),"Sí","No")</f>
        <v>Sí</v>
      </c>
      <c r="V34" s="0" t="str">
        <f aca="false">IF(T34&gt;=$C$9,"Sí","No")</f>
        <v>Sí</v>
      </c>
      <c r="W34" s="254" t="s">
        <v>932</v>
      </c>
      <c r="X34" s="0" t="str">
        <f aca="false">IF(UPPER(TRIM(C34))=UPPER(TRIM(G34)),"Sí","No")</f>
        <v>Sí</v>
      </c>
      <c r="Y34" s="0" t="str">
        <f aca="false">IF(AND(U34="Sí",V34="Sí"),"Sí","No")</f>
        <v>Sí</v>
      </c>
      <c r="Z34" s="254" t="s">
        <v>1111</v>
      </c>
      <c r="AA34" s="254" t="s">
        <v>1112</v>
      </c>
      <c r="AB34" s="119" t="n">
        <f aca="false">IF(AND(U34="Sí",V34="Sí",W34="Sí",X34="No",AA34="Elegible"),1,0)</f>
        <v>0</v>
      </c>
      <c r="AC34" s="254" t="s">
        <v>1113</v>
      </c>
      <c r="AE34" s="255" t="str">
        <f aca="false">IF(AND(AB34=1,ISNUMBER(N34)),N34,"")</f>
        <v/>
      </c>
      <c r="AF34" s="255" t="str">
        <f aca="false">IF(AND(AB34=1,ISNUMBER(P34)),P34,"")</f>
        <v/>
      </c>
      <c r="AG34" s="255" t="str">
        <f aca="false">IF(AND(AB34=1,ISNUMBER(O34)),O34,"")</f>
        <v/>
      </c>
      <c r="AH34" s="255" t="str">
        <f aca="false">IF(ISNUMBER(AE34),IF(AND(AE34&lt;=C$58,AE34&gt;=C$57),AE34,""),"")</f>
        <v/>
      </c>
      <c r="AI34" s="255" t="str">
        <f aca="false">IF(ISNUMBER(AF34),IF(AND(AF34&lt;=D$58,AF34&gt;=D$57),AF34,""),"")</f>
        <v/>
      </c>
      <c r="AJ34" s="255" t="str">
        <f aca="false">IF(ISNUMBER(AG34),IF(AND(AG34&lt;=E$58,AG34&gt;=E$57),AG34,""),"")</f>
        <v/>
      </c>
      <c r="AK34" s="255" t="str">
        <f aca="false">AE34</f>
        <v/>
      </c>
      <c r="AL34" s="255" t="str">
        <f aca="false">AE34</f>
        <v/>
      </c>
      <c r="AM34" s="255" t="str">
        <f aca="false">AE34</f>
        <v/>
      </c>
      <c r="AN34" s="255" t="str">
        <f aca="false">AE34</f>
        <v/>
      </c>
    </row>
    <row r="35" customFormat="false" ht="15" hidden="false" customHeight="false" outlineLevel="0" collapsed="false">
      <c r="A35" s="248" t="n">
        <v>4488172040</v>
      </c>
      <c r="B35" s="250" t="n">
        <v>45968</v>
      </c>
      <c r="C35" s="248" t="s">
        <v>1116</v>
      </c>
      <c r="D35" s="248" t="s">
        <v>1117</v>
      </c>
      <c r="E35" s="248" t="s">
        <v>1072</v>
      </c>
      <c r="F35" s="248" t="s">
        <v>1063</v>
      </c>
      <c r="G35" s="248" t="s">
        <v>1116</v>
      </c>
      <c r="H35" s="248" t="s">
        <v>1117</v>
      </c>
      <c r="I35" s="248" t="s">
        <v>1066</v>
      </c>
      <c r="J35" s="251" t="n">
        <v>120.85</v>
      </c>
      <c r="K35" s="251" t="n">
        <v>13917.2561899704</v>
      </c>
      <c r="L35" s="252" t="n">
        <f aca="false">IF(ISNUMBER(J35),J35*$C$10,"NA")</f>
        <v>2233.308</v>
      </c>
      <c r="M35" s="252" t="n">
        <f aca="false">IF(ISNUMBER(K35),K35*$C$10,"NA")</f>
        <v>257190.894390653</v>
      </c>
      <c r="N35" s="253" t="n">
        <v>4.71</v>
      </c>
      <c r="O35" s="253" t="n">
        <v>17.52</v>
      </c>
      <c r="P35" s="253" t="n">
        <v>0.32</v>
      </c>
      <c r="Q35" s="248" t="s">
        <v>876</v>
      </c>
      <c r="R35" s="248" t="s">
        <v>876</v>
      </c>
      <c r="S35" s="251" t="n">
        <v>41267.77</v>
      </c>
      <c r="T35" s="36" t="n">
        <f aca="false">COUNT(N35:P35)</f>
        <v>3</v>
      </c>
      <c r="U35" s="0" t="str">
        <f aca="false">IF(AND(B35&gt;=$C$8,B35&lt;=$C$6),"Sí","No")</f>
        <v>Sí</v>
      </c>
      <c r="V35" s="0" t="str">
        <f aca="false">IF(T35&gt;=$C$9,"Sí","No")</f>
        <v>Sí</v>
      </c>
      <c r="W35" s="254" t="s">
        <v>932</v>
      </c>
      <c r="X35" s="0" t="str">
        <f aca="false">IF(UPPER(TRIM(C35))=UPPER(TRIM(G35)),"Sí","No")</f>
        <v>Sí</v>
      </c>
      <c r="Y35" s="0" t="str">
        <f aca="false">IF(AND(U35="Sí",V35="Sí"),"Sí","No")</f>
        <v>Sí</v>
      </c>
      <c r="Z35" s="254" t="s">
        <v>1111</v>
      </c>
      <c r="AA35" s="254" t="s">
        <v>1112</v>
      </c>
      <c r="AB35" s="119" t="n">
        <f aca="false">IF(AND(U35="Sí",V35="Sí",W35="Sí",X35="No",AA35="Elegible"),1,0)</f>
        <v>0</v>
      </c>
      <c r="AC35" s="254" t="s">
        <v>1113</v>
      </c>
      <c r="AE35" s="255" t="str">
        <f aca="false">IF(AND(AB35=1,ISNUMBER(N35)),N35,"")</f>
        <v/>
      </c>
      <c r="AF35" s="255" t="str">
        <f aca="false">IF(AND(AB35=1,ISNUMBER(P35)),P35,"")</f>
        <v/>
      </c>
      <c r="AG35" s="255" t="str">
        <f aca="false">IF(AND(AB35=1,ISNUMBER(O35)),O35,"")</f>
        <v/>
      </c>
      <c r="AH35" s="255" t="str">
        <f aca="false">IF(ISNUMBER(AE35),IF(AND(AE35&lt;=C$58,AE35&gt;=C$57),AE35,""),"")</f>
        <v/>
      </c>
      <c r="AI35" s="255" t="str">
        <f aca="false">IF(ISNUMBER(AF35),IF(AND(AF35&lt;=D$58,AF35&gt;=D$57),AF35,""),"")</f>
        <v/>
      </c>
      <c r="AJ35" s="255" t="str">
        <f aca="false">IF(ISNUMBER(AG35),IF(AND(AG35&lt;=E$58,AG35&gt;=E$57),AG35,""),"")</f>
        <v/>
      </c>
      <c r="AK35" s="255" t="str">
        <f aca="false">AE35</f>
        <v/>
      </c>
      <c r="AL35" s="255" t="str">
        <f aca="false">AE35</f>
        <v/>
      </c>
      <c r="AM35" s="255" t="str">
        <f aca="false">AE35</f>
        <v/>
      </c>
      <c r="AN35" s="255" t="str">
        <f aca="false">AE35</f>
        <v/>
      </c>
    </row>
    <row r="36" customFormat="false" ht="15" hidden="false" customHeight="false" outlineLevel="0" collapsed="false">
      <c r="A36" s="248" t="n">
        <v>4343070040</v>
      </c>
      <c r="B36" s="250" t="n">
        <v>45671</v>
      </c>
      <c r="C36" s="248" t="s">
        <v>1118</v>
      </c>
      <c r="D36" s="248" t="s">
        <v>1079</v>
      </c>
      <c r="E36" s="248" t="s">
        <v>1072</v>
      </c>
      <c r="F36" s="248" t="s">
        <v>1063</v>
      </c>
      <c r="G36" s="248" t="s">
        <v>1118</v>
      </c>
      <c r="H36" s="248" t="s">
        <v>1079</v>
      </c>
      <c r="I36" s="248" t="s">
        <v>1066</v>
      </c>
      <c r="J36" s="251" t="n">
        <v>2412.71</v>
      </c>
      <c r="K36" s="251" t="n">
        <v>2864.30135395037</v>
      </c>
      <c r="L36" s="252" t="n">
        <f aca="false">IF(ISNUMBER(J36),J36*$C$10,"NA")</f>
        <v>44586.8808</v>
      </c>
      <c r="M36" s="252" t="n">
        <f aca="false">IF(ISNUMBER(K36),K36*$C$10,"NA")</f>
        <v>52932.2890210028</v>
      </c>
      <c r="N36" s="253" t="n">
        <v>10.68</v>
      </c>
      <c r="O36" s="253" t="n">
        <v>20.83</v>
      </c>
      <c r="P36" s="253" t="n">
        <v>0.73</v>
      </c>
      <c r="Q36" s="248" t="s">
        <v>876</v>
      </c>
      <c r="R36" s="251" t="n">
        <v>-1.64</v>
      </c>
      <c r="S36" s="251" t="n">
        <v>4094.82</v>
      </c>
      <c r="T36" s="36" t="n">
        <f aca="false">COUNT(N36:P36)</f>
        <v>3</v>
      </c>
      <c r="U36" s="0" t="str">
        <f aca="false">IF(AND(B36&gt;=$C$8,B36&lt;=$C$6),"Sí","No")</f>
        <v>Sí</v>
      </c>
      <c r="V36" s="0" t="str">
        <f aca="false">IF(T36&gt;=$C$9,"Sí","No")</f>
        <v>Sí</v>
      </c>
      <c r="W36" s="254" t="s">
        <v>932</v>
      </c>
      <c r="X36" s="0" t="str">
        <f aca="false">IF(UPPER(TRIM(C36))=UPPER(TRIM(G36)),"Sí","No")</f>
        <v>Sí</v>
      </c>
      <c r="Y36" s="0" t="str">
        <f aca="false">IF(AND(U36="Sí",V36="Sí"),"Sí","No")</f>
        <v>Sí</v>
      </c>
      <c r="Z36" s="254" t="s">
        <v>1111</v>
      </c>
      <c r="AA36" s="254" t="s">
        <v>1112</v>
      </c>
      <c r="AB36" s="119" t="n">
        <f aca="false">IF(AND(U36="Sí",V36="Sí",W36="Sí",X36="No",AA36="Elegible"),1,0)</f>
        <v>0</v>
      </c>
      <c r="AC36" s="254" t="s">
        <v>1119</v>
      </c>
      <c r="AD36" s="36" t="s">
        <v>1120</v>
      </c>
      <c r="AE36" s="255" t="str">
        <f aca="false">IF(AND(AB36=1,ISNUMBER(N36)),N36,"")</f>
        <v/>
      </c>
      <c r="AF36" s="255" t="str">
        <f aca="false">IF(AND(AB36=1,ISNUMBER(P36)),P36,"")</f>
        <v/>
      </c>
      <c r="AG36" s="255" t="str">
        <f aca="false">IF(AND(AB36=1,ISNUMBER(O36)),O36,"")</f>
        <v/>
      </c>
      <c r="AH36" s="255" t="str">
        <f aca="false">IF(ISNUMBER(AE36),IF(AND(AE36&lt;=C$58,AE36&gt;=C$57),AE36,""),"")</f>
        <v/>
      </c>
      <c r="AI36" s="255" t="str">
        <f aca="false">IF(ISNUMBER(AF36),IF(AND(AF36&lt;=D$58,AF36&gt;=D$57),AF36,""),"")</f>
        <v/>
      </c>
      <c r="AJ36" s="255" t="str">
        <f aca="false">IF(ISNUMBER(AG36),IF(AND(AG36&lt;=E$58,AG36&gt;=E$57),AG36,""),"")</f>
        <v/>
      </c>
      <c r="AK36" s="255" t="str">
        <f aca="false">AE36</f>
        <v/>
      </c>
      <c r="AL36" s="255" t="str">
        <f aca="false">AE36</f>
        <v/>
      </c>
      <c r="AM36" s="255" t="str">
        <f aca="false">AE36</f>
        <v/>
      </c>
      <c r="AN36" s="255" t="str">
        <f aca="false">AE36</f>
        <v/>
      </c>
    </row>
    <row r="37" customFormat="false" ht="15" hidden="false" customHeight="false" outlineLevel="0" collapsed="false">
      <c r="A37" s="248" t="n">
        <v>4143788040</v>
      </c>
      <c r="B37" s="250" t="n">
        <v>45209</v>
      </c>
      <c r="C37" s="248" t="s">
        <v>1121</v>
      </c>
      <c r="D37" s="248" t="s">
        <v>1122</v>
      </c>
      <c r="E37" s="248" t="s">
        <v>1072</v>
      </c>
      <c r="F37" s="248" t="s">
        <v>1063</v>
      </c>
      <c r="G37" s="248" t="s">
        <v>1121</v>
      </c>
      <c r="H37" s="248" t="s">
        <v>1122</v>
      </c>
      <c r="I37" s="248" t="s">
        <v>1066</v>
      </c>
      <c r="J37" s="251" t="n">
        <v>180.44</v>
      </c>
      <c r="K37" s="251" t="n">
        <v>7977.49404833716</v>
      </c>
      <c r="L37" s="252" t="n">
        <f aca="false">IF(ISNUMBER(J37),J37*$C$10,"NA")</f>
        <v>3334.5312</v>
      </c>
      <c r="M37" s="252" t="n">
        <f aca="false">IF(ISNUMBER(K37),K37*$C$10,"NA")</f>
        <v>147424.090013271</v>
      </c>
      <c r="N37" s="253" t="n">
        <v>3.63</v>
      </c>
      <c r="O37" s="253" t="n">
        <v>6.67</v>
      </c>
      <c r="P37" s="253" t="n">
        <v>0.32</v>
      </c>
      <c r="Q37" s="251" t="n">
        <v>-59.55</v>
      </c>
      <c r="R37" s="251" t="n">
        <v>-61.42</v>
      </c>
      <c r="S37" s="251" t="n">
        <v>28121.76</v>
      </c>
      <c r="T37" s="36" t="n">
        <f aca="false">COUNT(N37:P37)</f>
        <v>3</v>
      </c>
      <c r="U37" s="0" t="str">
        <f aca="false">IF(AND(B37&gt;=$C$8,B37&lt;=$C$6),"Sí","No")</f>
        <v>Sí</v>
      </c>
      <c r="V37" s="0" t="str">
        <f aca="false">IF(T37&gt;=$C$9,"Sí","No")</f>
        <v>Sí</v>
      </c>
      <c r="W37" s="254" t="s">
        <v>932</v>
      </c>
      <c r="X37" s="0" t="str">
        <f aca="false">IF(UPPER(TRIM(C37))=UPPER(TRIM(G37)),"Sí","No")</f>
        <v>Sí</v>
      </c>
      <c r="Y37" s="0" t="str">
        <f aca="false">IF(AND(U37="Sí",V37="Sí"),"Sí","No")</f>
        <v>Sí</v>
      </c>
      <c r="Z37" s="254" t="s">
        <v>1111</v>
      </c>
      <c r="AA37" s="254" t="s">
        <v>1112</v>
      </c>
      <c r="AB37" s="119" t="n">
        <f aca="false">IF(AND(U37="Sí",V37="Sí",W37="Sí",X37="No",AA37="Elegible"),1,0)</f>
        <v>0</v>
      </c>
      <c r="AC37" s="254" t="s">
        <v>1123</v>
      </c>
      <c r="AE37" s="255" t="str">
        <f aca="false">IF(AND(AB37=1,ISNUMBER(N37)),N37,"")</f>
        <v/>
      </c>
      <c r="AF37" s="255" t="str">
        <f aca="false">IF(AND(AB37=1,ISNUMBER(P37)),P37,"")</f>
        <v/>
      </c>
      <c r="AG37" s="255" t="str">
        <f aca="false">IF(AND(AB37=1,ISNUMBER(O37)),O37,"")</f>
        <v/>
      </c>
      <c r="AH37" s="255" t="str">
        <f aca="false">IF(ISNUMBER(AE37),IF(AND(AE37&lt;=C$58,AE37&gt;=C$57),AE37,""),"")</f>
        <v/>
      </c>
      <c r="AI37" s="255" t="str">
        <f aca="false">IF(ISNUMBER(AF37),IF(AND(AF37&lt;=D$58,AF37&gt;=D$57),AF37,""),"")</f>
        <v/>
      </c>
      <c r="AJ37" s="255" t="str">
        <f aca="false">IF(ISNUMBER(AG37),IF(AND(AG37&lt;=E$58,AG37&gt;=E$57),AG37,""),"")</f>
        <v/>
      </c>
      <c r="AK37" s="255" t="str">
        <f aca="false">AE37</f>
        <v/>
      </c>
      <c r="AL37" s="255" t="str">
        <f aca="false">AE37</f>
        <v/>
      </c>
      <c r="AM37" s="255" t="str">
        <f aca="false">AE37</f>
        <v/>
      </c>
      <c r="AN37" s="255" t="str">
        <f aca="false">AE37</f>
        <v/>
      </c>
    </row>
    <row r="38" customFormat="false" ht="15" hidden="false" customHeight="false" outlineLevel="0" collapsed="false">
      <c r="A38" s="248" t="n">
        <v>4391691040</v>
      </c>
      <c r="B38" s="250" t="n">
        <v>45777</v>
      </c>
      <c r="C38" s="248" t="s">
        <v>1124</v>
      </c>
      <c r="D38" s="248" t="s">
        <v>1122</v>
      </c>
      <c r="E38" s="248" t="s">
        <v>1072</v>
      </c>
      <c r="F38" s="248" t="s">
        <v>1125</v>
      </c>
      <c r="G38" s="248" t="s">
        <v>1126</v>
      </c>
      <c r="H38" s="248" t="s">
        <v>1122</v>
      </c>
      <c r="I38" s="248" t="s">
        <v>1066</v>
      </c>
      <c r="J38" s="251" t="n">
        <v>361.67</v>
      </c>
      <c r="K38" s="251" t="n">
        <v>478.100359459312</v>
      </c>
      <c r="L38" s="252" t="n">
        <f aca="false">IF(ISNUMBER(J38),J38*$C$10,"NA")</f>
        <v>6683.6616</v>
      </c>
      <c r="M38" s="252" t="n">
        <f aca="false">IF(ISNUMBER(K38),K38*$C$10,"NA")</f>
        <v>8835.29464280809</v>
      </c>
      <c r="N38" s="248" t="s">
        <v>876</v>
      </c>
      <c r="O38" s="253" t="n">
        <v>44.78</v>
      </c>
      <c r="P38" s="253" t="n">
        <v>0.45</v>
      </c>
      <c r="Q38" s="248" t="s">
        <v>876</v>
      </c>
      <c r="R38" s="248" t="s">
        <v>876</v>
      </c>
      <c r="S38" s="251" t="n">
        <v>966.99</v>
      </c>
      <c r="T38" s="36" t="n">
        <f aca="false">COUNT(N38:P38)</f>
        <v>2</v>
      </c>
      <c r="U38" s="0" t="str">
        <f aca="false">IF(AND(B38&gt;=$C$8,B38&lt;=$C$6),"Sí","No")</f>
        <v>Sí</v>
      </c>
      <c r="V38" s="0" t="str">
        <f aca="false">IF(T38&gt;=$C$9,"Sí","No")</f>
        <v>Sí</v>
      </c>
      <c r="W38" s="254" t="s">
        <v>932</v>
      </c>
      <c r="X38" s="0" t="str">
        <f aca="false">IF(UPPER(TRIM(C38))=UPPER(TRIM(G38)),"Sí","No")</f>
        <v>No</v>
      </c>
      <c r="Y38" s="0" t="str">
        <f aca="false">IF(AND(U38="Sí",V38="Sí"),"Sí","No")</f>
        <v>Sí</v>
      </c>
      <c r="Z38" s="254" t="s">
        <v>1127</v>
      </c>
      <c r="AA38" s="254" t="s">
        <v>1112</v>
      </c>
      <c r="AB38" s="119" t="n">
        <f aca="false">IF(AND(U38="Sí",V38="Sí",W38="Sí",X38="No",AA38="Elegible"),1,0)</f>
        <v>0</v>
      </c>
      <c r="AC38" s="254" t="s">
        <v>1128</v>
      </c>
      <c r="AE38" s="255" t="str">
        <f aca="false">IF(AND(AB38=1,ISNUMBER(N38)),N38,"")</f>
        <v/>
      </c>
      <c r="AF38" s="255" t="str">
        <f aca="false">IF(AND(AB38=1,ISNUMBER(P38)),P38,"")</f>
        <v/>
      </c>
      <c r="AG38" s="255" t="str">
        <f aca="false">IF(AND(AB38=1,ISNUMBER(O38)),O38,"")</f>
        <v/>
      </c>
      <c r="AH38" s="255" t="str">
        <f aca="false">IF(ISNUMBER(AE38),IF(AND(AE38&lt;=C$58,AE38&gt;=C$57),AE38,""),"")</f>
        <v/>
      </c>
      <c r="AI38" s="255" t="str">
        <f aca="false">IF(ISNUMBER(AF38),IF(AND(AF38&lt;=D$58,AF38&gt;=D$57),AF38,""),"")</f>
        <v/>
      </c>
      <c r="AJ38" s="255" t="str">
        <f aca="false">IF(ISNUMBER(AG38),IF(AND(AG38&lt;=E$58,AG38&gt;=E$57),AG38,""),"")</f>
        <v/>
      </c>
      <c r="AK38" s="255" t="str">
        <f aca="false">AE38</f>
        <v/>
      </c>
      <c r="AL38" s="255" t="str">
        <f aca="false">AE38</f>
        <v/>
      </c>
      <c r="AM38" s="255" t="str">
        <f aca="false">AE38</f>
        <v/>
      </c>
      <c r="AN38" s="255" t="str">
        <f aca="false">AE38</f>
        <v/>
      </c>
    </row>
    <row r="39" customFormat="false" ht="15" hidden="false" customHeight="false" outlineLevel="0" collapsed="false">
      <c r="A39" s="248" t="n">
        <v>4228856040</v>
      </c>
      <c r="B39" s="250" t="n">
        <v>45391</v>
      </c>
      <c r="C39" s="248" t="s">
        <v>1129</v>
      </c>
      <c r="D39" s="248" t="s">
        <v>1087</v>
      </c>
      <c r="E39" s="248" t="s">
        <v>1072</v>
      </c>
      <c r="F39" s="248" t="s">
        <v>1063</v>
      </c>
      <c r="G39" s="248" t="s">
        <v>1130</v>
      </c>
      <c r="H39" s="248" t="s">
        <v>1087</v>
      </c>
      <c r="I39" s="248" t="s">
        <v>1066</v>
      </c>
      <c r="J39" s="251" t="n">
        <v>345.7</v>
      </c>
      <c r="K39" s="251" t="n">
        <v>2318.25964976686</v>
      </c>
      <c r="L39" s="252" t="n">
        <f aca="false">IF(ISNUMBER(J39),J39*$C$10,"NA")</f>
        <v>6388.536</v>
      </c>
      <c r="M39" s="252" t="n">
        <f aca="false">IF(ISNUMBER(K39),K39*$C$10,"NA")</f>
        <v>42841.4383276916</v>
      </c>
      <c r="N39" s="253" t="n">
        <v>45.98</v>
      </c>
      <c r="O39" s="248" t="s">
        <v>876</v>
      </c>
      <c r="P39" s="253" t="n">
        <v>5.64</v>
      </c>
      <c r="Q39" s="248" t="s">
        <v>876</v>
      </c>
      <c r="R39" s="248" t="s">
        <v>876</v>
      </c>
      <c r="S39" s="251" t="n">
        <v>411.61</v>
      </c>
      <c r="T39" s="36" t="n">
        <f aca="false">COUNT(N39:P39)</f>
        <v>2</v>
      </c>
      <c r="U39" s="0" t="str">
        <f aca="false">IF(AND(B39&gt;=$C$8,B39&lt;=$C$6),"Sí","No")</f>
        <v>Sí</v>
      </c>
      <c r="V39" s="0" t="str">
        <f aca="false">IF(T39&gt;=$C$9,"Sí","No")</f>
        <v>Sí</v>
      </c>
      <c r="W39" s="254" t="s">
        <v>932</v>
      </c>
      <c r="X39" s="0" t="str">
        <f aca="false">IF(UPPER(TRIM(C39))=UPPER(TRIM(G39)),"Sí","No")</f>
        <v>No</v>
      </c>
      <c r="Y39" s="0" t="str">
        <f aca="false">IF(AND(U39="Sí",V39="Sí"),"Sí","No")</f>
        <v>Sí</v>
      </c>
      <c r="Z39" s="254" t="s">
        <v>1131</v>
      </c>
      <c r="AA39" s="254" t="s">
        <v>1112</v>
      </c>
      <c r="AB39" s="119" t="n">
        <f aca="false">IF(AND(U39="Sí",V39="Sí",W39="Sí",X39="No",AA39="Elegible"),1,0)</f>
        <v>0</v>
      </c>
      <c r="AC39" s="254" t="s">
        <v>1132</v>
      </c>
      <c r="AD39" s="36" t="s">
        <v>1120</v>
      </c>
      <c r="AE39" s="255" t="str">
        <f aca="false">IF(AND(AB39=1,ISNUMBER(N39)),N39,"")</f>
        <v/>
      </c>
      <c r="AF39" s="255" t="str">
        <f aca="false">IF(AND(AB39=1,ISNUMBER(P39)),P39,"")</f>
        <v/>
      </c>
      <c r="AG39" s="255" t="str">
        <f aca="false">IF(AND(AB39=1,ISNUMBER(O39)),O39,"")</f>
        <v/>
      </c>
      <c r="AH39" s="255" t="str">
        <f aca="false">IF(ISNUMBER(AE39),IF(AND(AE39&lt;=C$58,AE39&gt;=C$57),AE39,""),"")</f>
        <v/>
      </c>
      <c r="AI39" s="255" t="str">
        <f aca="false">IF(ISNUMBER(AF39),IF(AND(AF39&lt;=D$58,AF39&gt;=D$57),AF39,""),"")</f>
        <v/>
      </c>
      <c r="AJ39" s="255" t="str">
        <f aca="false">IF(ISNUMBER(AG39),IF(AND(AG39&lt;=E$58,AG39&gt;=E$57),AG39,""),"")</f>
        <v/>
      </c>
      <c r="AK39" s="255" t="str">
        <f aca="false">AE39</f>
        <v/>
      </c>
      <c r="AL39" s="255" t="str">
        <f aca="false">AE39</f>
        <v/>
      </c>
      <c r="AM39" s="255" t="str">
        <f aca="false">AE39</f>
        <v/>
      </c>
      <c r="AN39" s="255" t="str">
        <f aca="false">AE39</f>
        <v/>
      </c>
    </row>
    <row r="40" customFormat="false" ht="15" hidden="false" customHeight="false" outlineLevel="0" collapsed="false">
      <c r="A40" s="248" t="n">
        <v>4292215040</v>
      </c>
      <c r="B40" s="250" t="n">
        <v>45539</v>
      </c>
      <c r="C40" s="248" t="s">
        <v>1133</v>
      </c>
      <c r="D40" s="248" t="s">
        <v>1134</v>
      </c>
      <c r="E40" s="248" t="s">
        <v>1072</v>
      </c>
      <c r="F40" s="248" t="s">
        <v>1073</v>
      </c>
      <c r="G40" s="248" t="s">
        <v>1135</v>
      </c>
      <c r="H40" s="248" t="s">
        <v>1134</v>
      </c>
      <c r="I40" s="248" t="s">
        <v>1066</v>
      </c>
      <c r="J40" s="251" t="n">
        <v>200</v>
      </c>
      <c r="K40" s="251" t="n">
        <v>2951.11460542751</v>
      </c>
      <c r="L40" s="252" t="n">
        <f aca="false">IF(ISNUMBER(J40),J40*$C$10,"NA")</f>
        <v>3696</v>
      </c>
      <c r="M40" s="252" t="n">
        <f aca="false">IF(ISNUMBER(K40),K40*$C$10,"NA")</f>
        <v>54536.5979083004</v>
      </c>
      <c r="N40" s="253" t="n">
        <v>323.13</v>
      </c>
      <c r="O40" s="248" t="s">
        <v>876</v>
      </c>
      <c r="P40" s="253" t="n">
        <v>2.45</v>
      </c>
      <c r="Q40" s="248" t="s">
        <v>876</v>
      </c>
      <c r="R40" s="248" t="s">
        <v>876</v>
      </c>
      <c r="S40" s="251" t="n">
        <v>1235</v>
      </c>
      <c r="T40" s="36" t="n">
        <f aca="false">COUNT(N40:P40)</f>
        <v>2</v>
      </c>
      <c r="U40" s="0" t="str">
        <f aca="false">IF(AND(B40&gt;=$C$8,B40&lt;=$C$6),"Sí","No")</f>
        <v>Sí</v>
      </c>
      <c r="V40" s="0" t="str">
        <f aca="false">IF(T40&gt;=$C$9,"Sí","No")</f>
        <v>Sí</v>
      </c>
      <c r="W40" s="254" t="s">
        <v>932</v>
      </c>
      <c r="X40" s="0" t="str">
        <f aca="false">IF(UPPER(TRIM(C40))=UPPER(TRIM(G40)),"Sí","No")</f>
        <v>No</v>
      </c>
      <c r="Y40" s="0" t="str">
        <f aca="false">IF(AND(U40="Sí",V40="Sí"),"Sí","No")</f>
        <v>Sí</v>
      </c>
      <c r="Z40" s="254" t="s">
        <v>1136</v>
      </c>
      <c r="AA40" s="254" t="s">
        <v>1112</v>
      </c>
      <c r="AB40" s="119" t="n">
        <f aca="false">IF(AND(U40="Sí",V40="Sí",W40="Sí",X40="No",AA40="Elegible"),1,0)</f>
        <v>0</v>
      </c>
      <c r="AC40" s="254" t="s">
        <v>1137</v>
      </c>
      <c r="AD40" s="36" t="s">
        <v>1120</v>
      </c>
      <c r="AE40" s="255" t="str">
        <f aca="false">IF(AND(AB40=1,ISNUMBER(N40)),N40,"")</f>
        <v/>
      </c>
      <c r="AF40" s="255" t="str">
        <f aca="false">IF(AND(AB40=1,ISNUMBER(P40)),P40,"")</f>
        <v/>
      </c>
      <c r="AG40" s="255" t="str">
        <f aca="false">IF(AND(AB40=1,ISNUMBER(O40)),O40,"")</f>
        <v/>
      </c>
      <c r="AH40" s="255" t="str">
        <f aca="false">IF(ISNUMBER(AE40),IF(AND(AE40&lt;=C$58,AE40&gt;=C$57),AE40,""),"")</f>
        <v/>
      </c>
      <c r="AI40" s="255" t="str">
        <f aca="false">IF(ISNUMBER(AF40),IF(AND(AF40&lt;=D$58,AF40&gt;=D$57),AF40,""),"")</f>
        <v/>
      </c>
      <c r="AJ40" s="255" t="str">
        <f aca="false">IF(ISNUMBER(AG40),IF(AND(AG40&lt;=E$58,AG40&gt;=E$57),AG40,""),"")</f>
        <v/>
      </c>
      <c r="AK40" s="255" t="str">
        <f aca="false">AE40</f>
        <v/>
      </c>
      <c r="AL40" s="255" t="str">
        <f aca="false">AE40</f>
        <v/>
      </c>
      <c r="AM40" s="255" t="str">
        <f aca="false">AE40</f>
        <v/>
      </c>
      <c r="AN40" s="255" t="str">
        <f aca="false">AE40</f>
        <v/>
      </c>
    </row>
    <row r="41" customFormat="false" ht="15" hidden="false" customHeight="false" outlineLevel="0" collapsed="false">
      <c r="A41" s="248" t="n">
        <v>4467353040</v>
      </c>
      <c r="B41" s="250" t="n">
        <v>46007</v>
      </c>
      <c r="C41" s="248" t="s">
        <v>1138</v>
      </c>
      <c r="D41" s="248" t="s">
        <v>1115</v>
      </c>
      <c r="E41" s="248" t="s">
        <v>1072</v>
      </c>
      <c r="F41" s="248" t="s">
        <v>1073</v>
      </c>
      <c r="G41" s="248" t="s">
        <v>1139</v>
      </c>
      <c r="H41" s="248" t="s">
        <v>1140</v>
      </c>
      <c r="I41" s="248" t="s">
        <v>1066</v>
      </c>
      <c r="J41" s="251" t="n">
        <v>1727.54</v>
      </c>
      <c r="K41" s="251" t="n">
        <v>2464.14635578787</v>
      </c>
      <c r="L41" s="252" t="n">
        <f aca="false">IF(ISNUMBER(J41),J41*$C$10,"NA")</f>
        <v>31924.9392</v>
      </c>
      <c r="M41" s="252" t="n">
        <f aca="false">IF(ISNUMBER(K41),K41*$C$10,"NA")</f>
        <v>45537.4246549598</v>
      </c>
      <c r="N41" s="248" t="s">
        <v>876</v>
      </c>
      <c r="O41" s="253" t="n">
        <v>33.81</v>
      </c>
      <c r="P41" s="253" t="n">
        <v>44.45</v>
      </c>
      <c r="Q41" s="248" t="s">
        <v>876</v>
      </c>
      <c r="R41" s="248" t="s">
        <v>876</v>
      </c>
      <c r="S41" s="251" t="n">
        <v>52.55</v>
      </c>
      <c r="T41" s="36" t="n">
        <f aca="false">COUNT(N41:P41)</f>
        <v>2</v>
      </c>
      <c r="U41" s="0" t="str">
        <f aca="false">IF(AND(B41&gt;=$C$8,B41&lt;=$C$6),"Sí","No")</f>
        <v>Sí</v>
      </c>
      <c r="V41" s="0" t="str">
        <f aca="false">IF(T41&gt;=$C$9,"Sí","No")</f>
        <v>Sí</v>
      </c>
      <c r="W41" s="254" t="s">
        <v>932</v>
      </c>
      <c r="X41" s="0" t="str">
        <f aca="false">IF(UPPER(TRIM(C41))=UPPER(TRIM(G41)),"Sí","No")</f>
        <v>No</v>
      </c>
      <c r="Y41" s="0" t="str">
        <f aca="false">IF(AND(U41="Sí",V41="Sí"),"Sí","No")</f>
        <v>Sí</v>
      </c>
      <c r="Z41" s="254" t="s">
        <v>1141</v>
      </c>
      <c r="AA41" s="254" t="s">
        <v>1112</v>
      </c>
      <c r="AB41" s="119" t="n">
        <f aca="false">IF(AND(U41="Sí",V41="Sí",W41="Sí",X41="No",AA41="Elegible"),1,0)</f>
        <v>0</v>
      </c>
      <c r="AC41" s="254" t="s">
        <v>1142</v>
      </c>
      <c r="AD41" s="36" t="s">
        <v>1120</v>
      </c>
      <c r="AE41" s="255" t="str">
        <f aca="false">IF(AND(AB41=1,ISNUMBER(N41)),N41,"")</f>
        <v/>
      </c>
      <c r="AF41" s="255" t="str">
        <f aca="false">IF(AND(AB41=1,ISNUMBER(P41)),P41,"")</f>
        <v/>
      </c>
      <c r="AG41" s="255" t="str">
        <f aca="false">IF(AND(AB41=1,ISNUMBER(O41)),O41,"")</f>
        <v/>
      </c>
      <c r="AH41" s="255" t="str">
        <f aca="false">IF(ISNUMBER(AE41),IF(AND(AE41&lt;=C$58,AE41&gt;=C$57),AE41,""),"")</f>
        <v/>
      </c>
      <c r="AI41" s="255" t="str">
        <f aca="false">IF(ISNUMBER(AF41),IF(AND(AF41&lt;=D$58,AF41&gt;=D$57),AF41,""),"")</f>
        <v/>
      </c>
      <c r="AJ41" s="255" t="str">
        <f aca="false">IF(ISNUMBER(AG41),IF(AND(AG41&lt;=E$58,AG41&gt;=E$57),AG41,""),"")</f>
        <v/>
      </c>
      <c r="AK41" s="255" t="str">
        <f aca="false">AE41</f>
        <v/>
      </c>
      <c r="AL41" s="255" t="str">
        <f aca="false">AE41</f>
        <v/>
      </c>
      <c r="AM41" s="255" t="str">
        <f aca="false">AE41</f>
        <v/>
      </c>
      <c r="AN41" s="255" t="str">
        <f aca="false">AE41</f>
        <v/>
      </c>
    </row>
    <row r="42" customFormat="false" ht="15" hidden="false" customHeight="false" outlineLevel="0" collapsed="false">
      <c r="A42" s="248" t="n">
        <v>4069894040</v>
      </c>
      <c r="B42" s="250" t="n">
        <v>45041</v>
      </c>
      <c r="C42" s="248" t="s">
        <v>1143</v>
      </c>
      <c r="D42" s="248" t="s">
        <v>1079</v>
      </c>
      <c r="E42" s="248" t="s">
        <v>1072</v>
      </c>
      <c r="F42" s="248" t="s">
        <v>1063</v>
      </c>
      <c r="G42" s="248" t="s">
        <v>1144</v>
      </c>
      <c r="H42" s="248" t="s">
        <v>1079</v>
      </c>
      <c r="I42" s="248" t="s">
        <v>1066</v>
      </c>
      <c r="J42" s="251" t="n">
        <v>170.08</v>
      </c>
      <c r="K42" s="251" t="n">
        <v>463.756508264154</v>
      </c>
      <c r="L42" s="252" t="n">
        <f aca="false">IF(ISNUMBER(J42),J42*$C$10,"NA")</f>
        <v>3143.0784</v>
      </c>
      <c r="M42" s="252" t="n">
        <f aca="false">IF(ISNUMBER(K42),K42*$C$10,"NA")</f>
        <v>8570.22027272157</v>
      </c>
      <c r="N42" s="253" t="n">
        <v>10.27</v>
      </c>
      <c r="O42" s="248" t="s">
        <v>876</v>
      </c>
      <c r="P42" s="253" t="n">
        <v>0.24</v>
      </c>
      <c r="Q42" s="251" t="n">
        <v>25.88</v>
      </c>
      <c r="R42" s="251" t="n">
        <v>27.27</v>
      </c>
      <c r="S42" s="251" t="n">
        <v>1704.63</v>
      </c>
      <c r="T42" s="36" t="n">
        <f aca="false">COUNT(N42:P42)</f>
        <v>2</v>
      </c>
      <c r="U42" s="0" t="str">
        <f aca="false">IF(AND(B42&gt;=$C$8,B42&lt;=$C$6),"Sí","No")</f>
        <v>No</v>
      </c>
      <c r="V42" s="0" t="str">
        <f aca="false">IF(T42&gt;=$C$9,"Sí","No")</f>
        <v>Sí</v>
      </c>
      <c r="W42" s="254" t="s">
        <v>932</v>
      </c>
      <c r="X42" s="0" t="str">
        <f aca="false">IF(UPPER(TRIM(C42))=UPPER(TRIM(G42)),"Sí","No")</f>
        <v>No</v>
      </c>
      <c r="Y42" s="0" t="str">
        <f aca="false">IF(AND(U42="Sí",V42="Sí"),"Sí","No")</f>
        <v>No</v>
      </c>
      <c r="Z42" s="254" t="s">
        <v>1145</v>
      </c>
      <c r="AA42" s="254" t="s">
        <v>1068</v>
      </c>
      <c r="AB42" s="119" t="n">
        <f aca="false">IF(AND(U42="Sí",V42="Sí",W42="Sí",X42="No",AA42="Elegible"),1,0)</f>
        <v>0</v>
      </c>
      <c r="AC42" s="254" t="s">
        <v>1146</v>
      </c>
      <c r="AE42" s="255" t="str">
        <f aca="false">IF(AND(AB42=1,ISNUMBER(N42)),N42,"")</f>
        <v/>
      </c>
      <c r="AF42" s="255" t="str">
        <f aca="false">IF(AND(AB42=1,ISNUMBER(P42)),P42,"")</f>
        <v/>
      </c>
      <c r="AG42" s="255" t="str">
        <f aca="false">IF(AND(AB42=1,ISNUMBER(O42)),O42,"")</f>
        <v/>
      </c>
      <c r="AH42" s="255" t="str">
        <f aca="false">IF(ISNUMBER(AE42),IF(AND(AE42&lt;=C$58,AE42&gt;=C$57),AE42,""),"")</f>
        <v/>
      </c>
      <c r="AI42" s="255" t="str">
        <f aca="false">IF(ISNUMBER(AF42),IF(AND(AF42&lt;=D$58,AF42&gt;=D$57),AF42,""),"")</f>
        <v/>
      </c>
      <c r="AJ42" s="255" t="str">
        <f aca="false">IF(ISNUMBER(AG42),IF(AND(AG42&lt;=E$58,AG42&gt;=E$57),AG42,""),"")</f>
        <v/>
      </c>
      <c r="AK42" s="255" t="str">
        <f aca="false">AE42</f>
        <v/>
      </c>
      <c r="AL42" s="255" t="str">
        <f aca="false">AE42</f>
        <v/>
      </c>
      <c r="AM42" s="255" t="str">
        <f aca="false">AE42</f>
        <v/>
      </c>
      <c r="AN42" s="255" t="str">
        <f aca="false">AE42</f>
        <v/>
      </c>
    </row>
    <row r="43" customFormat="false" ht="15" hidden="false" customHeight="false" outlineLevel="0" collapsed="false">
      <c r="A43" s="248" t="n">
        <v>4069904040</v>
      </c>
      <c r="B43" s="250" t="n">
        <v>45040</v>
      </c>
      <c r="C43" s="248" t="s">
        <v>1147</v>
      </c>
      <c r="D43" s="248" t="s">
        <v>1115</v>
      </c>
      <c r="E43" s="248" t="s">
        <v>1062</v>
      </c>
      <c r="F43" s="248" t="s">
        <v>1063</v>
      </c>
      <c r="G43" s="248" t="s">
        <v>1130</v>
      </c>
      <c r="H43" s="248" t="s">
        <v>1148</v>
      </c>
      <c r="I43" s="248" t="s">
        <v>1066</v>
      </c>
      <c r="J43" s="251" t="n">
        <v>1347.24</v>
      </c>
      <c r="K43" s="251" t="n">
        <v>12843.1336704335</v>
      </c>
      <c r="L43" s="252" t="n">
        <f aca="false">IF(ISNUMBER(J43),J43*$C$10,"NA")</f>
        <v>24896.9952</v>
      </c>
      <c r="M43" s="252" t="n">
        <f aca="false">IF(ISNUMBER(K43),K43*$C$10,"NA")</f>
        <v>237341.110229611</v>
      </c>
      <c r="N43" s="253" t="n">
        <v>6.38</v>
      </c>
      <c r="O43" s="248" t="s">
        <v>876</v>
      </c>
      <c r="P43" s="253" t="n">
        <v>0.4</v>
      </c>
      <c r="Q43" s="248" t="s">
        <v>876</v>
      </c>
      <c r="R43" s="248" t="s">
        <v>876</v>
      </c>
      <c r="S43" s="251" t="n">
        <v>31598.64</v>
      </c>
      <c r="T43" s="36" t="n">
        <f aca="false">COUNT(N43:P43)</f>
        <v>2</v>
      </c>
      <c r="U43" s="0" t="str">
        <f aca="false">IF(AND(B43&gt;=$C$8,B43&lt;=$C$6),"Sí","No")</f>
        <v>No</v>
      </c>
      <c r="V43" s="0" t="str">
        <f aca="false">IF(T43&gt;=$C$9,"Sí","No")</f>
        <v>Sí</v>
      </c>
      <c r="W43" s="254" t="s">
        <v>932</v>
      </c>
      <c r="X43" s="0" t="str">
        <f aca="false">IF(UPPER(TRIM(C43))=UPPER(TRIM(G43)),"Sí","No")</f>
        <v>No</v>
      </c>
      <c r="Y43" s="0" t="str">
        <f aca="false">IF(AND(U43="Sí",V43="Sí"),"Sí","No")</f>
        <v>No</v>
      </c>
      <c r="Z43" s="254" t="s">
        <v>1149</v>
      </c>
      <c r="AA43" s="254" t="s">
        <v>1068</v>
      </c>
      <c r="AB43" s="119" t="n">
        <f aca="false">IF(AND(U43="Sí",V43="Sí",W43="Sí",X43="No",AA43="Elegible"),1,0)</f>
        <v>0</v>
      </c>
      <c r="AC43" s="254" t="s">
        <v>1150</v>
      </c>
      <c r="AE43" s="255" t="str">
        <f aca="false">IF(AND(AB43=1,ISNUMBER(N43)),N43,"")</f>
        <v/>
      </c>
      <c r="AF43" s="255" t="str">
        <f aca="false">IF(AND(AB43=1,ISNUMBER(P43)),P43,"")</f>
        <v/>
      </c>
      <c r="AG43" s="255" t="str">
        <f aca="false">IF(AND(AB43=1,ISNUMBER(O43)),O43,"")</f>
        <v/>
      </c>
      <c r="AH43" s="255" t="str">
        <f aca="false">IF(ISNUMBER(AE43),IF(AND(AE43&lt;=C$58,AE43&gt;=C$57),AE43,""),"")</f>
        <v/>
      </c>
      <c r="AI43" s="255" t="str">
        <f aca="false">IF(ISNUMBER(AF43),IF(AND(AF43&lt;=D$58,AF43&gt;=D$57),AF43,""),"")</f>
        <v/>
      </c>
      <c r="AJ43" s="255" t="str">
        <f aca="false">IF(ISNUMBER(AG43),IF(AND(AG43&lt;=E$58,AG43&gt;=E$57),AG43,""),"")</f>
        <v/>
      </c>
      <c r="AK43" s="255" t="str">
        <f aca="false">AE43</f>
        <v/>
      </c>
      <c r="AL43" s="255" t="str">
        <f aca="false">AE43</f>
        <v/>
      </c>
      <c r="AM43" s="255" t="str">
        <f aca="false">AE43</f>
        <v/>
      </c>
      <c r="AN43" s="255" t="str">
        <f aca="false">AE43</f>
        <v/>
      </c>
    </row>
    <row r="44" customFormat="false" ht="15" hidden="false" customHeight="false" outlineLevel="0" collapsed="false">
      <c r="A44" s="248" t="n">
        <v>4115751040</v>
      </c>
      <c r="B44" s="250" t="n">
        <v>45141</v>
      </c>
      <c r="C44" s="248" t="s">
        <v>1151</v>
      </c>
      <c r="D44" s="248" t="s">
        <v>1152</v>
      </c>
      <c r="E44" s="248" t="s">
        <v>1072</v>
      </c>
      <c r="F44" s="248" t="s">
        <v>1073</v>
      </c>
      <c r="G44" s="248" t="s">
        <v>1153</v>
      </c>
      <c r="H44" s="248" t="s">
        <v>1152</v>
      </c>
      <c r="I44" s="248" t="s">
        <v>1066</v>
      </c>
      <c r="J44" s="251" t="n">
        <v>186.02</v>
      </c>
      <c r="K44" s="251" t="n">
        <v>186.161271258783</v>
      </c>
      <c r="L44" s="252" t="n">
        <f aca="false">IF(ISNUMBER(J44),J44*$C$10,"NA")</f>
        <v>3437.6496</v>
      </c>
      <c r="M44" s="252" t="n">
        <f aca="false">IF(ISNUMBER(K44),K44*$C$10,"NA")</f>
        <v>3440.26029286231</v>
      </c>
      <c r="N44" s="253" t="n">
        <v>46.78</v>
      </c>
      <c r="O44" s="248" t="s">
        <v>876</v>
      </c>
      <c r="P44" s="253" t="n">
        <v>0.29</v>
      </c>
      <c r="Q44" s="248" t="s">
        <v>876</v>
      </c>
      <c r="R44" s="248" t="s">
        <v>876</v>
      </c>
      <c r="S44" s="251" t="n">
        <v>625.09</v>
      </c>
      <c r="T44" s="36" t="n">
        <f aca="false">COUNT(N44:P44)</f>
        <v>2</v>
      </c>
      <c r="U44" s="0" t="str">
        <f aca="false">IF(AND(B44&gt;=$C$8,B44&lt;=$C$6),"Sí","No")</f>
        <v>No</v>
      </c>
      <c r="V44" s="0" t="str">
        <f aca="false">IF(T44&gt;=$C$9,"Sí","No")</f>
        <v>Sí</v>
      </c>
      <c r="W44" s="254" t="s">
        <v>932</v>
      </c>
      <c r="X44" s="0" t="str">
        <f aca="false">IF(UPPER(TRIM(C44))=UPPER(TRIM(G44)),"Sí","No")</f>
        <v>No</v>
      </c>
      <c r="Y44" s="0" t="str">
        <f aca="false">IF(AND(U44="Sí",V44="Sí"),"Sí","No")</f>
        <v>No</v>
      </c>
      <c r="Z44" s="254" t="s">
        <v>1145</v>
      </c>
      <c r="AA44" s="254" t="s">
        <v>1068</v>
      </c>
      <c r="AB44" s="119" t="n">
        <f aca="false">IF(AND(U44="Sí",V44="Sí",W44="Sí",X44="No",AA44="Elegible"),1,0)</f>
        <v>0</v>
      </c>
      <c r="AC44" s="254" t="s">
        <v>1154</v>
      </c>
      <c r="AE44" s="255" t="str">
        <f aca="false">IF(AND(AB44=1,ISNUMBER(N44)),N44,"")</f>
        <v/>
      </c>
      <c r="AF44" s="255" t="str">
        <f aca="false">IF(AND(AB44=1,ISNUMBER(P44)),P44,"")</f>
        <v/>
      </c>
      <c r="AG44" s="255" t="str">
        <f aca="false">IF(AND(AB44=1,ISNUMBER(O44)),O44,"")</f>
        <v/>
      </c>
      <c r="AH44" s="255" t="str">
        <f aca="false">IF(ISNUMBER(AE44),IF(AND(AE44&lt;=C$58,AE44&gt;=C$57),AE44,""),"")</f>
        <v/>
      </c>
      <c r="AI44" s="255" t="str">
        <f aca="false">IF(ISNUMBER(AF44),IF(AND(AF44&lt;=D$58,AF44&gt;=D$57),AF44,""),"")</f>
        <v/>
      </c>
      <c r="AJ44" s="255" t="str">
        <f aca="false">IF(ISNUMBER(AG44),IF(AND(AG44&lt;=E$58,AG44&gt;=E$57),AG44,""),"")</f>
        <v/>
      </c>
      <c r="AK44" s="255" t="str">
        <f aca="false">AE44</f>
        <v/>
      </c>
      <c r="AL44" s="255" t="str">
        <f aca="false">AE44</f>
        <v/>
      </c>
      <c r="AM44" s="255" t="str">
        <f aca="false">AE44</f>
        <v/>
      </c>
      <c r="AN44" s="255" t="str">
        <f aca="false">AE44</f>
        <v/>
      </c>
    </row>
    <row r="45" customFormat="false" ht="15" hidden="false" customHeight="false" outlineLevel="0" collapsed="false">
      <c r="A45" s="248" t="n">
        <v>4364904040</v>
      </c>
      <c r="B45" s="250" t="n">
        <v>45721</v>
      </c>
      <c r="C45" s="248" t="s">
        <v>1155</v>
      </c>
      <c r="D45" s="248" t="s">
        <v>1156</v>
      </c>
      <c r="E45" s="248" t="s">
        <v>1072</v>
      </c>
      <c r="F45" s="248" t="s">
        <v>1073</v>
      </c>
      <c r="G45" s="248" t="s">
        <v>1157</v>
      </c>
      <c r="H45" s="248" t="s">
        <v>1158</v>
      </c>
      <c r="I45" s="248" t="s">
        <v>1066</v>
      </c>
      <c r="J45" s="251" t="n">
        <v>1381.11</v>
      </c>
      <c r="K45" s="248" t="s">
        <v>876</v>
      </c>
      <c r="L45" s="252" t="n">
        <f aca="false">IF(ISNUMBER(J45),J45*$C$10,"NA")</f>
        <v>25522.9128</v>
      </c>
      <c r="M45" s="252" t="str">
        <f aca="false">IF(ISNUMBER(K45),K45*$C$10,"NA")</f>
        <v>NA</v>
      </c>
      <c r="N45" s="248" t="s">
        <v>876</v>
      </c>
      <c r="O45" s="253" t="n">
        <v>27.76</v>
      </c>
      <c r="P45" s="248" t="s">
        <v>876</v>
      </c>
      <c r="Q45" s="248" t="s">
        <v>876</v>
      </c>
      <c r="R45" s="248" t="s">
        <v>876</v>
      </c>
      <c r="S45" s="248" t="s">
        <v>876</v>
      </c>
      <c r="T45" s="36" t="n">
        <f aca="false">COUNT(N45:P45)</f>
        <v>1</v>
      </c>
      <c r="U45" s="0" t="str">
        <f aca="false">IF(AND(B45&gt;=$C$8,B45&lt;=$C$6),"Sí","No")</f>
        <v>Sí</v>
      </c>
      <c r="V45" s="0" t="str">
        <f aca="false">IF(T45&gt;=$C$9,"Sí","No")</f>
        <v>No</v>
      </c>
      <c r="W45" s="254" t="s">
        <v>932</v>
      </c>
      <c r="X45" s="0" t="str">
        <f aca="false">IF(UPPER(TRIM(C45))=UPPER(TRIM(G45)),"Sí","No")</f>
        <v>No</v>
      </c>
      <c r="Y45" s="0" t="str">
        <f aca="false">IF(AND(U45="Sí",V45="Sí"),"Sí","No")</f>
        <v>No</v>
      </c>
      <c r="Z45" s="254" t="s">
        <v>1145</v>
      </c>
      <c r="AA45" s="254" t="s">
        <v>1068</v>
      </c>
      <c r="AB45" s="119" t="n">
        <f aca="false">IF(AND(U45="Sí",V45="Sí",W45="Sí",X45="No",AA45="Elegible"),1,0)</f>
        <v>0</v>
      </c>
      <c r="AC45" s="254" t="s">
        <v>1159</v>
      </c>
      <c r="AE45" s="255" t="str">
        <f aca="false">IF(AND(AB45=1,ISNUMBER(N45)),N45,"")</f>
        <v/>
      </c>
      <c r="AF45" s="255" t="str">
        <f aca="false">IF(AND(AB45=1,ISNUMBER(P45)),P45,"")</f>
        <v/>
      </c>
      <c r="AG45" s="255" t="str">
        <f aca="false">IF(AND(AB45=1,ISNUMBER(O45)),O45,"")</f>
        <v/>
      </c>
      <c r="AH45" s="255" t="str">
        <f aca="false">IF(ISNUMBER(AE45),IF(AND(AE45&lt;=C$58,AE45&gt;=C$57),AE45,""),"")</f>
        <v/>
      </c>
      <c r="AI45" s="255" t="str">
        <f aca="false">IF(ISNUMBER(AF45),IF(AND(AF45&lt;=D$58,AF45&gt;=D$57),AF45,""),"")</f>
        <v/>
      </c>
      <c r="AJ45" s="255" t="str">
        <f aca="false">IF(ISNUMBER(AG45),IF(AND(AG45&lt;=E$58,AG45&gt;=E$57),AG45,""),"")</f>
        <v/>
      </c>
      <c r="AK45" s="255" t="str">
        <f aca="false">AE45</f>
        <v/>
      </c>
      <c r="AL45" s="255" t="str">
        <f aca="false">AE45</f>
        <v/>
      </c>
      <c r="AM45" s="255" t="str">
        <f aca="false">AE45</f>
        <v/>
      </c>
      <c r="AN45" s="255" t="str">
        <f aca="false">AE45</f>
        <v/>
      </c>
    </row>
    <row r="46" customFormat="false" ht="15" hidden="false" customHeight="false" outlineLevel="0" collapsed="false">
      <c r="A46" s="244" t="str">
        <f aca="false">COUNTIF($AB$23:$AB$45,1)&amp;" de "&amp;COUNTA($A$23:$A$45)&amp;" operaciones evaluadas cumplen todos los criterios"</f>
        <v>9 de 23 operaciones evaluadas cumplen todos los criterios</v>
      </c>
    </row>
    <row r="48" customFormat="false" ht="15" hidden="false" customHeight="false" outlineLevel="0" collapsed="false">
      <c r="A48" s="245" t="s">
        <v>1160</v>
      </c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</row>
    <row r="49" customFormat="false" ht="68.65" hidden="false" customHeight="false" outlineLevel="0" collapsed="false">
      <c r="A49" s="249" t="s">
        <v>953</v>
      </c>
      <c r="B49" s="249"/>
      <c r="C49" s="249" t="s">
        <v>1161</v>
      </c>
      <c r="D49" s="249" t="s">
        <v>1162</v>
      </c>
      <c r="E49" s="249" t="s">
        <v>1163</v>
      </c>
      <c r="F49" s="249" t="s">
        <v>1164</v>
      </c>
      <c r="G49" s="249" t="s">
        <v>1165</v>
      </c>
      <c r="H49" s="249" t="s">
        <v>1166</v>
      </c>
    </row>
    <row r="50" customFormat="false" ht="15" hidden="false" customHeight="false" outlineLevel="0" collapsed="false">
      <c r="A50" s="0" t="s">
        <v>888</v>
      </c>
      <c r="C50" s="255" t="n">
        <f aca="false">IF(COUNT($AE$23:$AE$45)&gt;0,MIN($AE$23:$AE$45),"NA")</f>
        <v>2.2</v>
      </c>
      <c r="D50" s="255" t="n">
        <f aca="false">IF(COUNT($AF$23:$AF$45)&gt;0,MIN($AF$23:$AF$45),"NA")</f>
        <v>0.08</v>
      </c>
      <c r="E50" s="255" t="n">
        <f aca="false">IF(COUNT($AG$23:$AG$45)&gt;0,MIN($AG$23:$AG$45),"NA")</f>
        <v>3.88</v>
      </c>
      <c r="F50" s="256" t="n">
        <f aca="false">IF(ISNUMBER(C50),IF(C50*Multiplos!$B$21+Multiplos!$B$30&gt;0,(C50*Multiplos!$B$21+Multiplos!$B$30)/Multiplos!$B$23,"NM"),"NA")</f>
        <v>5.07706233333333</v>
      </c>
      <c r="G50" s="120" t="n">
        <f aca="false">IFERROR(F50/'Valuación Combinada'!$B$10-1,"NM")</f>
        <v>-0.848355366387893</v>
      </c>
      <c r="H50" s="256" t="str">
        <f aca="false">IF(ISNUMBER(D50),IF(D50*Multiplos!$B$18+Multiplos!$B$30&gt;0,(D50*Multiplos!$B$18+Multiplos!$B$30)/Multiplos!$B$23,"NM"),"NA")</f>
        <v>NM</v>
      </c>
    </row>
    <row r="51" customFormat="false" ht="15" hidden="false" customHeight="false" outlineLevel="0" collapsed="false">
      <c r="A51" s="0" t="s">
        <v>889</v>
      </c>
      <c r="C51" s="255" t="n">
        <f aca="false">IF(COUNT($AE$23:$AE$45)&gt;0,PERCENTILE($AE$23:$AE$45,0.25),"NA")</f>
        <v>4.5375</v>
      </c>
      <c r="D51" s="255" t="n">
        <f aca="false">IF(COUNT($AF$23:$AF$45)&gt;0,PERCENTILE($AF$23:$AF$45,0.25),"NA")</f>
        <v>0.28</v>
      </c>
      <c r="E51" s="255" t="n">
        <f aca="false">IF(COUNT($AG$23:$AG$45)&gt;0,PERCENTILE($AG$23:$AG$45,0.25),"NA")</f>
        <v>11.0275</v>
      </c>
      <c r="F51" s="256" t="n">
        <f aca="false">IF(ISNUMBER(C51),IF(C51*Multiplos!$B$21+Multiplos!$B$30&gt;0,(C51*Multiplos!$B$21+Multiplos!$B$30)/Multiplos!$B$23,"NM"),"NA")</f>
        <v>20.4147906458333</v>
      </c>
      <c r="G51" s="120" t="n">
        <f aca="false">IFERROR(F51/'Valuación Combinada'!$B$10-1,"NM")</f>
        <v>-0.390239228021705</v>
      </c>
      <c r="H51" s="256" t="n">
        <f aca="false">IF(ISNUMBER(D51),IF(D51*Multiplos!$B$18+Multiplos!$B$30&gt;0,(D51*Multiplos!$B$18+Multiplos!$B$30)/Multiplos!$B$23,"NM"),"NA")</f>
        <v>17.7514644444444</v>
      </c>
    </row>
    <row r="52" customFormat="false" ht="15" hidden="false" customHeight="false" outlineLevel="0" collapsed="false">
      <c r="A52" s="0" t="s">
        <v>546</v>
      </c>
      <c r="C52" s="255" t="n">
        <f aca="false">IF(COUNT($AE$23:$AE$45)&gt;0,AVERAGE($AE$23:$AE$45),"NA")</f>
        <v>7.7775</v>
      </c>
      <c r="D52" s="255" t="n">
        <f aca="false">IF(COUNT($AF$23:$AF$45)&gt;0,AVERAGE($AF$23:$AF$45),"NA")</f>
        <v>0.482222222222222</v>
      </c>
      <c r="E52" s="255" t="n">
        <f aca="false">IF(COUNT($AG$23:$AG$45)&gt;0,AVERAGE($AG$23:$AG$45),"NA")</f>
        <v>12.3825</v>
      </c>
      <c r="F52" s="256" t="n">
        <f aca="false">IF(ISNUMBER(C52),IF(C52*Multiplos!$B$21+Multiplos!$B$30&gt;0,(C52*Multiplos!$B$21+Multiplos!$B$30)/Multiplos!$B$23,"NM"),"NA")</f>
        <v>41.6743584458333</v>
      </c>
      <c r="G52" s="120" t="n">
        <f aca="false">IFERROR(F52/'Valuación Combinada'!$B$10-1,"NM")</f>
        <v>0.244753836494425</v>
      </c>
      <c r="H52" s="256" t="n">
        <f aca="false">IF(ISNUMBER(D52),IF(D52*Multiplos!$B$18+Multiplos!$B$30&gt;0,(D52*Multiplos!$B$18+Multiplos!$B$30)/Multiplos!$B$23,"NM"),"NA")</f>
        <v>37.330844691358</v>
      </c>
    </row>
    <row r="53" customFormat="false" ht="15" hidden="false" customHeight="false" outlineLevel="0" collapsed="false">
      <c r="A53" s="0" t="s">
        <v>890</v>
      </c>
      <c r="C53" s="255" t="n">
        <f aca="false">IF(COUNT($AE$23:$AE$45)&gt;0,MEDIAN($AE$23:$AE$45),"NA")</f>
        <v>5.045</v>
      </c>
      <c r="D53" s="255" t="n">
        <f aca="false">IF(COUNT($AF$23:$AF$45)&gt;0,MEDIAN($AF$23:$AF$45),"NA")</f>
        <v>0.53</v>
      </c>
      <c r="E53" s="255" t="n">
        <f aca="false">IF(COUNT($AG$23:$AG$45)&gt;0,MEDIAN($AG$23:$AG$45),"NA")</f>
        <v>13.565</v>
      </c>
      <c r="F53" s="256" t="n">
        <f aca="false">IF(ISNUMBER(C53),IF(C53*Multiplos!$B$21+Multiplos!$B$30&gt;0,(C53*Multiplos!$B$21+Multiplos!$B$30)/Multiplos!$B$23,"NM"),"NA")</f>
        <v>23.7448001083333</v>
      </c>
      <c r="G53" s="120" t="n">
        <f aca="false">IFERROR(F53/'Valuación Combinada'!$B$10-1,"NM")</f>
        <v>-0.290776579798885</v>
      </c>
      <c r="H53" s="256" t="n">
        <f aca="false">IF(ISNUMBER(D53),IF(D53*Multiplos!$B$18+Multiplos!$B$30&gt;0,(D53*Multiplos!$B$18+Multiplos!$B$30)/Multiplos!$B$23,"NM"),"NA")</f>
        <v>41.9567422222222</v>
      </c>
    </row>
    <row r="54" customFormat="false" ht="15" hidden="false" customHeight="false" outlineLevel="0" collapsed="false">
      <c r="A54" s="0" t="s">
        <v>891</v>
      </c>
      <c r="C54" s="255" t="n">
        <f aca="false">IF(COUNT($AE$23:$AE$45)&gt;0,PERCENTILE($AE$23:$AE$45,0.75),"NA")</f>
        <v>8.9225</v>
      </c>
      <c r="D54" s="255" t="n">
        <f aca="false">IF(COUNT($AF$23:$AF$45)&gt;0,PERCENTILE($AF$23:$AF$45,0.75),"NA")</f>
        <v>0.69</v>
      </c>
      <c r="E54" s="255" t="n">
        <f aca="false">IF(COUNT($AG$23:$AG$45)&gt;0,PERCENTILE($AG$23:$AG$45,0.75),"NA")</f>
        <v>14.92</v>
      </c>
      <c r="F54" s="256" t="n">
        <f aca="false">IF(ISNUMBER(C54),IF(C54*Multiplos!$B$21+Multiplos!$B$30&gt;0,(C54*Multiplos!$B$21+Multiplos!$B$30)/Multiplos!$B$23,"NM"),"NA")</f>
        <v>49.1873847208333</v>
      </c>
      <c r="G54" s="120" t="n">
        <f aca="false">IFERROR(F54/'Valuación Combinada'!$B$10-1,"NM")</f>
        <v>0.469157249726205</v>
      </c>
      <c r="H54" s="256" t="n">
        <f aca="false">IF(ISNUMBER(D54),IF(D54*Multiplos!$B$18+Multiplos!$B$30&gt;0,(D54*Multiplos!$B$18+Multiplos!$B$30)/Multiplos!$B$23,"NM"),"NA")</f>
        <v>57.44812</v>
      </c>
    </row>
    <row r="55" customFormat="false" ht="15" hidden="false" customHeight="false" outlineLevel="0" collapsed="false">
      <c r="A55" s="0" t="s">
        <v>892</v>
      </c>
      <c r="C55" s="255" t="n">
        <f aca="false">IF(COUNT($AE$23:$AE$45)&gt;0,MAX($AE$23:$AE$45),"NA")</f>
        <v>21.31</v>
      </c>
      <c r="D55" s="255" t="n">
        <f aca="false">IF(COUNT($AF$23:$AF$45)&gt;0,MAX($AF$23:$AF$45),"NA")</f>
        <v>0.9</v>
      </c>
      <c r="E55" s="255" t="n">
        <f aca="false">IF(COUNT($AG$23:$AG$45)&gt;0,MAX($AG$23:$AG$45),"NA")</f>
        <v>18.52</v>
      </c>
      <c r="F55" s="256" t="n">
        <f aca="false">IF(ISNUMBER(C55),IF(C55*Multiplos!$B$21+Multiplos!$B$30&gt;0,(C55*Multiplos!$B$21+Multiplos!$B$30)/Multiplos!$B$23,"NM"),"NA")</f>
        <v>130.469142783333</v>
      </c>
      <c r="G55" s="120" t="n">
        <f aca="false">IFERROR(F55/'Valuación Combinada'!$B$10-1,"NM")</f>
        <v>2.89692780117483</v>
      </c>
      <c r="H55" s="256" t="n">
        <f aca="false">IF(ISNUMBER(D55),IF(D55*Multiplos!$B$18+Multiplos!$B$30&gt;0,(D55*Multiplos!$B$18+Multiplos!$B$30)/Multiplos!$B$23,"NM"),"NA")</f>
        <v>77.7805533333333</v>
      </c>
    </row>
    <row r="56" customFormat="false" ht="15" hidden="false" customHeight="false" outlineLevel="0" collapsed="false">
      <c r="A56" s="0" t="s">
        <v>1167</v>
      </c>
      <c r="C56" s="0" t="n">
        <f aca="false">COUNT($AE$23:$AE$45)</f>
        <v>8</v>
      </c>
      <c r="D56" s="0" t="n">
        <f aca="false">COUNT($AF$23:$AF$45)</f>
        <v>9</v>
      </c>
      <c r="E56" s="0" t="n">
        <f aca="false">COUNT($AG$23:$AG$45)</f>
        <v>4</v>
      </c>
    </row>
    <row r="57" customFormat="false" ht="15" hidden="false" customHeight="false" outlineLevel="0" collapsed="false">
      <c r="A57" s="0" t="s">
        <v>1168</v>
      </c>
      <c r="C57" s="255" t="n">
        <f aca="false">IF(ISNUMBER(C51),C51-1.5*(C54-C51),"NA")</f>
        <v>-2.04</v>
      </c>
      <c r="D57" s="255" t="n">
        <f aca="false">IF(ISNUMBER(D51),D51-1.5*(D54-D51),"NA")</f>
        <v>-0.335</v>
      </c>
      <c r="E57" s="255" t="n">
        <f aca="false">IF(ISNUMBER(E51),E51-1.5*(E54-E51),"NA")</f>
        <v>5.18875</v>
      </c>
    </row>
    <row r="58" customFormat="false" ht="15" hidden="false" customHeight="false" outlineLevel="0" collapsed="false">
      <c r="A58" s="0" t="s">
        <v>1169</v>
      </c>
      <c r="C58" s="255" t="n">
        <f aca="false">IF(ISNUMBER(C54),C54+1.5*(C54-C51),"NA")</f>
        <v>15.5</v>
      </c>
      <c r="D58" s="255" t="n">
        <f aca="false">IF(ISNUMBER(D54),D54+1.5*(D54-D51),"NA")</f>
        <v>1.305</v>
      </c>
      <c r="E58" s="255" t="n">
        <f aca="false">IF(ISNUMBER(E54),E54+1.5*(E54-E51),"NA")</f>
        <v>20.75875</v>
      </c>
    </row>
    <row r="59" customFormat="false" ht="15" hidden="false" customHeight="false" outlineLevel="0" collapsed="false">
      <c r="A59" s="0" t="s">
        <v>1170</v>
      </c>
      <c r="C59" s="0" t="n">
        <f aca="false">IF(ISNUMBER(C58),COUNTIF($AE$23:$AE$45,"&gt;"&amp;C58)+COUNTIF($AE$23:$AE$45,"&lt;"&amp;C57),0)</f>
        <v>1</v>
      </c>
      <c r="D59" s="0" t="n">
        <f aca="false">IF(ISNUMBER(D58),COUNTIF($AF$23:$AF$45,"&gt;"&amp;D58)+COUNTIF($AF$23:$AF$45,"&lt;"&amp;D57),0)</f>
        <v>0</v>
      </c>
      <c r="E59" s="0" t="n">
        <f aca="false">IF(ISNUMBER(E58),COUNTIF($AG$23:$AG$45,"&gt;"&amp;E58)+COUNTIF($AG$23:$AG$45,"&lt;"&amp;E57),0)</f>
        <v>1</v>
      </c>
    </row>
    <row r="60" customFormat="false" ht="15" hidden="false" customHeight="false" outlineLevel="0" collapsed="false">
      <c r="A60" s="0" t="s">
        <v>1171</v>
      </c>
      <c r="C60" s="255" t="n">
        <f aca="false">IF(ISNUMBER(C58),AVERAGEIFS($AE$23:$AE$45,$AE$23:$AE$45,"&lt;="&amp;C58,$AE$23:$AE$45,"&gt;="&amp;C57),"NA")</f>
        <v>5.84428571428571</v>
      </c>
      <c r="D60" s="255" t="n">
        <f aca="false">IF(ISNUMBER(D58),AVERAGEIFS($AF$23:$AF$45,$AF$23:$AF$45,"&lt;="&amp;D58,$AF$23:$AF$45,"&gt;="&amp;D57),"NA")</f>
        <v>0.482222222222222</v>
      </c>
      <c r="E60" s="255" t="n">
        <f aca="false">IF(ISNUMBER(E58),AVERAGEIFS($AG$23:$AG$45,$AG$23:$AG$45,"&lt;="&amp;E58,$AG$23:$AG$45,"&gt;="&amp;E57),"NA")</f>
        <v>15.2166666666667</v>
      </c>
      <c r="F60" s="256" t="n">
        <f aca="false">IF(ISNUMBER(C60),IF(C60*Multiplos!$B$21+Multiplos!$B$30&gt;0,(C60*Multiplos!$B$21+Multiplos!$B$30)/Multiplos!$B$23,"NM"),"NA")</f>
        <v>28.9893892547619</v>
      </c>
      <c r="G60" s="120" t="n">
        <f aca="false">IFERROR(F60/'Valuación Combinada'!$B$10-1,"NM")</f>
        <v>-0.13412815845992</v>
      </c>
      <c r="H60" s="256" t="n">
        <f aca="false">IF(ISNUMBER(D60),IF(D60*Multiplos!$B$18+Multiplos!$B$30&gt;0,(D60*Multiplos!$B$18+Multiplos!$B$30)/Multiplos!$B$23,"NM"),"NA")</f>
        <v>37.330844691358</v>
      </c>
    </row>
    <row r="61" customFormat="false" ht="15" hidden="false" customHeight="false" outlineLevel="0" collapsed="false">
      <c r="A61" s="0" t="s">
        <v>1172</v>
      </c>
      <c r="C61" s="255" t="n">
        <f aca="false">IF(COUNT($AH$23:$AH$45)&gt;0,MEDIAN($AH$23:$AH$45),"NA")</f>
        <v>4.98</v>
      </c>
      <c r="D61" s="255" t="n">
        <f aca="false">IF(COUNT($AI$23:$AI$45)&gt;0,MEDIAN($AI$23:$AI$45),"NA")</f>
        <v>0.53</v>
      </c>
      <c r="E61" s="255" t="n">
        <f aca="false">IF(COUNT($AJ$23:$AJ$45)&gt;0,MEDIAN($AJ$23:$AJ$45),"NA")</f>
        <v>13.72</v>
      </c>
      <c r="F61" s="256" t="n">
        <f aca="false">IF(ISNUMBER(C61),IF(C61*Multiplos!$B$21+Multiplos!$B$30&gt;0,(C61*Multiplos!$B$21+Multiplos!$B$30)/Multiplos!$B$23,"NM"),"NA")</f>
        <v>23.3182964333333</v>
      </c>
      <c r="G61" s="120" t="n">
        <f aca="false">IFERROR(F61/'Valuación Combinada'!$B$10-1,"NM")</f>
        <v>-0.303515638191955</v>
      </c>
    </row>
    <row r="62" customFormat="false" ht="15" hidden="false" customHeight="false" outlineLevel="0" collapsed="false">
      <c r="A62" s="244" t="s">
        <v>1173</v>
      </c>
    </row>
    <row r="63" customFormat="false" ht="15" hidden="false" customHeight="false" outlineLevel="0" collapsed="false">
      <c r="A63" s="244" t="s">
        <v>1174</v>
      </c>
    </row>
    <row r="65" customFormat="false" ht="15" hidden="false" customHeight="false" outlineLevel="0" collapsed="false">
      <c r="A65" s="245" t="s">
        <v>1175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</row>
    <row r="66" customFormat="false" ht="28.35" hidden="false" customHeight="false" outlineLevel="0" collapsed="false">
      <c r="A66" s="249" t="s">
        <v>1176</v>
      </c>
      <c r="B66" s="249"/>
      <c r="C66" s="249" t="s">
        <v>340</v>
      </c>
      <c r="D66" s="249" t="s">
        <v>1177</v>
      </c>
      <c r="E66" s="249" t="s">
        <v>1178</v>
      </c>
      <c r="F66" s="249" t="s">
        <v>1179</v>
      </c>
      <c r="G66" s="249" t="s">
        <v>1180</v>
      </c>
      <c r="H66" s="249" t="s">
        <v>1181</v>
      </c>
    </row>
    <row r="67" customFormat="false" ht="15" hidden="false" customHeight="false" outlineLevel="0" collapsed="false">
      <c r="A67" s="0" t="s">
        <v>1182</v>
      </c>
      <c r="C67" s="0" t="n">
        <f aca="false">COUNT($AK$23:$AK$45)</f>
        <v>8</v>
      </c>
      <c r="D67" s="255" t="n">
        <f aca="false">MEDIAN($AK$23:$AK$45)</f>
        <v>5.045</v>
      </c>
      <c r="E67" s="256" t="n">
        <f aca="false">IF(ISNUMBER(D67),IF(D67*Multiplos!$B$21+Multiplos!$B$30&gt;0,(D67*Multiplos!$B$21+Multiplos!$B$30)/Multiplos!$B$23,"NM"),"NA")</f>
        <v>23.7448001083333</v>
      </c>
      <c r="F67" s="255" t="n">
        <f aca="false">AVERAGEIFS($AK$23:$AK$45,$AK$23:$AK$45,"&lt;="&amp;(PERCENTILE($AK$23:$AK$45,0.75)+1.5*(PERCENTILE($AK$23:$AK$45,0.75)-PERCENTILE($AK$23:$AK$45,0.25))),$AK$23:$AK$45,"&gt;="&amp;(PERCENTILE($AK$23:$AK$45,0.25)-1.5*(PERCENTILE($AK$23:$AK$45,0.75)-PERCENTILE($AK$23:$AK$45,0.25))))</f>
        <v>5.84428571428571</v>
      </c>
      <c r="G67" s="256" t="n">
        <f aca="false">IF(ISNUMBER(F67),IF(F67*Multiplos!$B$21+Multiplos!$B$30&gt;0,(F67*Multiplos!$B$21+Multiplos!$B$30)/Multiplos!$B$23,"NM"),"NA")</f>
        <v>28.9893892547619</v>
      </c>
      <c r="H67" s="36" t="s">
        <v>587</v>
      </c>
    </row>
    <row r="68" customFormat="false" ht="15" hidden="false" customHeight="false" outlineLevel="0" collapsed="false">
      <c r="A68" s="0" t="s">
        <v>1183</v>
      </c>
      <c r="C68" s="0" t="n">
        <f aca="false">COUNT($AL$23:$AL$45)</f>
        <v>7</v>
      </c>
      <c r="D68" s="255" t="n">
        <f aca="false">MEDIAN($AL$23:$AL$45)</f>
        <v>5.11</v>
      </c>
      <c r="E68" s="256" t="n">
        <f aca="false">IF(ISNUMBER(D68),IF(D68*Multiplos!$B$21+Multiplos!$B$30&gt;0,(D68*Multiplos!$B$21+Multiplos!$B$30)/Multiplos!$B$23,"NM"),"NA")</f>
        <v>24.1713037833333</v>
      </c>
      <c r="F68" s="255" t="n">
        <f aca="false">AVERAGEIFS($AL$23:$AL$45,$AL$23:$AL$45,"&lt;="&amp;(PERCENTILE($AL$23:$AL$45,0.75)+1.5*(PERCENTILE($AL$23:$AL$45,0.75)-PERCENTILE($AL$23:$AL$45,0.25))),$AL$23:$AL$45,"&gt;="&amp;(PERCENTILE($AL$23:$AL$45,0.25)-1.5*(PERCENTILE($AL$23:$AL$45,0.75)-PERCENTILE($AL$23:$AL$45,0.25))))</f>
        <v>6.45166666666667</v>
      </c>
      <c r="G68" s="256" t="n">
        <f aca="false">IF(ISNUMBER(F68),IF(F68*Multiplos!$B$21+Multiplos!$B$30&gt;0,(F68*Multiplos!$B$21+Multiplos!$B$30)/Multiplos!$B$23,"NM"),"NA")</f>
        <v>32.974777075</v>
      </c>
      <c r="H68" s="36" t="s">
        <v>1091</v>
      </c>
    </row>
    <row r="69" customFormat="false" ht="15" hidden="false" customHeight="false" outlineLevel="0" collapsed="false">
      <c r="A69" s="0" t="s">
        <v>1184</v>
      </c>
      <c r="C69" s="0" t="n">
        <f aca="false">COUNT($AM$23:$AM$45)</f>
        <v>6</v>
      </c>
      <c r="D69" s="255" t="n">
        <f aca="false">MEDIAN($AM$23:$AM$45)</f>
        <v>5.045</v>
      </c>
      <c r="E69" s="256" t="n">
        <f aca="false">IF(ISNUMBER(D69),IF(D69*Multiplos!$B$21+Multiplos!$B$30&gt;0,(D69*Multiplos!$B$21+Multiplos!$B$30)/Multiplos!$B$23,"NM"),"NA")</f>
        <v>23.7448001083333</v>
      </c>
      <c r="F69" s="255" t="n">
        <f aca="false">AVERAGEIFS($AM$23:$AM$45,$AM$23:$AM$45,"&lt;="&amp;(PERCENTILE($AM$23:$AM$45,0.75)+1.5*(PERCENTILE($AM$23:$AM$45,0.75)-PERCENTILE($AM$23:$AM$45,0.25))),$AM$23:$AM$45,"&gt;="&amp;(PERCENTILE($AM$23:$AM$45,0.25)-1.5*(PERCENTILE($AM$23:$AM$45,0.75)-PERCENTILE($AM$23:$AM$45,0.25))))</f>
        <v>4.98</v>
      </c>
      <c r="G69" s="256" t="n">
        <f aca="false">IF(ISNUMBER(F69),IF(F69*Multiplos!$B$21+Multiplos!$B$30&gt;0,(F69*Multiplos!$B$21+Multiplos!$B$30)/Multiplos!$B$23,"NM"),"NA")</f>
        <v>23.3182964333333</v>
      </c>
      <c r="H69" s="36" t="s">
        <v>1185</v>
      </c>
    </row>
    <row r="70" customFormat="false" ht="15" hidden="false" customHeight="false" outlineLevel="0" collapsed="false">
      <c r="A70" s="0" t="s">
        <v>1186</v>
      </c>
      <c r="C70" s="0" t="n">
        <f aca="false">COUNT($AN$23:$AN$45)</f>
        <v>7</v>
      </c>
      <c r="D70" s="255" t="n">
        <f aca="false">MEDIAN($AN$23:$AN$45)</f>
        <v>5.11</v>
      </c>
      <c r="E70" s="256" t="n">
        <f aca="false">IF(ISNUMBER(D70),IF(D70*Multiplos!$B$21+Multiplos!$B$30&gt;0,(D70*Multiplos!$B$21+Multiplos!$B$30)/Multiplos!$B$23,"NM"),"NA")</f>
        <v>24.1713037833333</v>
      </c>
      <c r="F70" s="255" t="n">
        <f aca="false">AVERAGEIFS($AN$23:$AN$45,$AN$23:$AN$45,"&lt;="&amp;(PERCENTILE($AN$23:$AN$45,0.75)+1.5*(PERCENTILE($AN$23:$AN$45,0.75)-PERCENTILE($AN$23:$AN$45,0.25))),$AN$23:$AN$45,"&gt;="&amp;(PERCENTILE($AN$23:$AN$45,0.25)-1.5*(PERCENTILE($AN$23:$AN$45,0.75)-PERCENTILE($AN$23:$AN$45,0.25))))</f>
        <v>5.99</v>
      </c>
      <c r="G70" s="256" t="n">
        <f aca="false">IF(ISNUMBER(F70),IF(F70*Multiplos!$B$21+Multiplos!$B$30&gt;0,(F70*Multiplos!$B$21+Multiplos!$B$30)/Multiplos!$B$23,"NM"),"NA")</f>
        <v>29.9455073833333</v>
      </c>
      <c r="H70" s="36" t="s">
        <v>1105</v>
      </c>
    </row>
    <row r="71" customFormat="false" ht="15" hidden="false" customHeight="false" outlineLevel="0" collapsed="false">
      <c r="A71" s="0" t="s">
        <v>1187</v>
      </c>
      <c r="C71" s="0" t="n">
        <v>7</v>
      </c>
      <c r="D71" s="253" t="n">
        <v>5.11</v>
      </c>
      <c r="E71" s="256" t="n">
        <f aca="false">IF(ISNUMBER(D71),IF(D71*Multiplos!$B$21+Multiplos!$B$30&gt;0,(D71*Multiplos!$B$21+Multiplos!$B$30)/Multiplos!$B$23,"NM"),"NA")</f>
        <v>24.1713037833333</v>
      </c>
      <c r="F71" s="253" t="n">
        <v>5.99</v>
      </c>
      <c r="G71" s="256" t="n">
        <f aca="false">IF(ISNUMBER(F71),IF(F71*Multiplos!$B$21+Multiplos!$B$30&gt;0,(F71*Multiplos!$B$21+Multiplos!$B$30)/Multiplos!$B$23,"NM"),"NA")</f>
        <v>29.9455073833333</v>
      </c>
      <c r="H71" s="36" t="s">
        <v>1188</v>
      </c>
    </row>
    <row r="73" customFormat="false" ht="15" hidden="false" customHeight="false" outlineLevel="0" collapsed="false">
      <c r="A73" s="245" t="s">
        <v>1189</v>
      </c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</row>
    <row r="74" customFormat="false" ht="15" hidden="false" customHeight="false" outlineLevel="0" collapsed="false">
      <c r="A74" s="119" t="s">
        <v>1190</v>
      </c>
      <c r="F74" s="257" t="s">
        <v>1191</v>
      </c>
    </row>
    <row r="75" customFormat="false" ht="15" hidden="false" customHeight="false" outlineLevel="0" collapsed="false">
      <c r="A75" s="119" t="s">
        <v>1192</v>
      </c>
      <c r="F75" s="258" t="n">
        <f aca="false">F53</f>
        <v>23.7448001083333</v>
      </c>
    </row>
    <row r="76" customFormat="false" ht="15" hidden="false" customHeight="false" outlineLevel="0" collapsed="false">
      <c r="A76" s="119" t="s">
        <v>1193</v>
      </c>
      <c r="F76" s="258" t="n">
        <f aca="false">F51</f>
        <v>20.4147906458333</v>
      </c>
    </row>
    <row r="77" customFormat="false" ht="15" hidden="false" customHeight="false" outlineLevel="0" collapsed="false">
      <c r="A77" s="119" t="s">
        <v>1194</v>
      </c>
      <c r="F77" s="258" t="n">
        <f aca="false">F54</f>
        <v>49.1873847208333</v>
      </c>
    </row>
    <row r="78" customFormat="false" ht="15" hidden="false" customHeight="false" outlineLevel="0" collapsed="false">
      <c r="A78" s="119" t="s">
        <v>1195</v>
      </c>
      <c r="F78" s="258" t="n">
        <f aca="false">F60</f>
        <v>28.9893892547619</v>
      </c>
    </row>
    <row r="79" customFormat="false" ht="15" hidden="false" customHeight="false" outlineLevel="0" collapsed="false">
      <c r="A79" s="119" t="s">
        <v>1196</v>
      </c>
      <c r="F79" s="259" t="n">
        <f aca="false">'Valuación Combinada'!C6</f>
        <v>0</v>
      </c>
    </row>
    <row r="80" customFormat="false" ht="15" hidden="false" customHeight="false" outlineLevel="0" collapsed="false">
      <c r="A80" s="244" t="s">
        <v>1197</v>
      </c>
    </row>
    <row r="81" customFormat="false" ht="15" hidden="false" customHeight="false" outlineLevel="0" collapsed="false">
      <c r="A81" s="244" t="s">
        <v>1198</v>
      </c>
    </row>
    <row r="83" customFormat="false" ht="15" hidden="false" customHeight="false" outlineLevel="0" collapsed="false">
      <c r="A83" s="245" t="s">
        <v>1199</v>
      </c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</row>
    <row r="84" customFormat="false" ht="28.35" hidden="false" customHeight="false" outlineLevel="0" collapsed="false">
      <c r="A84" s="249" t="s">
        <v>1200</v>
      </c>
      <c r="B84" s="249"/>
      <c r="C84" s="249" t="s">
        <v>1201</v>
      </c>
      <c r="D84" s="249" t="s">
        <v>1165</v>
      </c>
      <c r="E84" s="249" t="s">
        <v>667</v>
      </c>
    </row>
    <row r="85" customFormat="false" ht="15" hidden="false" customHeight="false" outlineLevel="0" collapsed="false">
      <c r="A85" s="0" t="s">
        <v>1202</v>
      </c>
      <c r="C85" s="256" t="n">
        <f aca="false">'Valuación Combinada'!B4</f>
        <v>38.3400783109781</v>
      </c>
      <c r="D85" s="120" t="n">
        <f aca="false">C85/$C$93-1</f>
        <v>0.145163629360159</v>
      </c>
      <c r="E85" s="36" t="s">
        <v>1203</v>
      </c>
    </row>
    <row r="86" customFormat="false" ht="15" hidden="false" customHeight="false" outlineLevel="0" collapsed="false">
      <c r="A86" s="0" t="s">
        <v>975</v>
      </c>
      <c r="C86" s="256" t="n">
        <f aca="false">'Valuación Combinada'!B5</f>
        <v>33.4928408544974</v>
      </c>
      <c r="D86" s="120" t="n">
        <f aca="false">C86/$C$93-1</f>
        <v>0.000383538067423972</v>
      </c>
      <c r="E86" s="36" t="s">
        <v>1204</v>
      </c>
    </row>
    <row r="87" customFormat="false" ht="15" hidden="false" customHeight="false" outlineLevel="0" collapsed="false">
      <c r="A87" s="0" t="s">
        <v>1205</v>
      </c>
      <c r="C87" s="256" t="n">
        <f aca="false">Transacciones!E49</f>
        <v>40.7283951666667</v>
      </c>
      <c r="D87" s="120" t="n">
        <f aca="false">C87/$C$93-1</f>
        <v>0.21649925826364</v>
      </c>
      <c r="E87" s="36" t="s">
        <v>1206</v>
      </c>
    </row>
    <row r="88" customFormat="false" ht="15" hidden="false" customHeight="false" outlineLevel="0" collapsed="false">
      <c r="A88" s="0" t="s">
        <v>1207</v>
      </c>
      <c r="C88" s="256" t="n">
        <f aca="false">F53</f>
        <v>23.7448001083333</v>
      </c>
      <c r="D88" s="120" t="n">
        <f aca="false">C88/$C$93-1</f>
        <v>-0.290776579798885</v>
      </c>
      <c r="E88" s="36" t="s">
        <v>1208</v>
      </c>
    </row>
    <row r="89" customFormat="false" ht="15" hidden="false" customHeight="false" outlineLevel="0" collapsed="false">
      <c r="A89" s="0" t="s">
        <v>1209</v>
      </c>
      <c r="C89" s="256" t="n">
        <f aca="false">F60</f>
        <v>28.9893892547619</v>
      </c>
      <c r="D89" s="120" t="n">
        <f aca="false">C89/$C$93-1</f>
        <v>-0.13412815845992</v>
      </c>
      <c r="E89" s="36" t="s">
        <v>1210</v>
      </c>
    </row>
    <row r="90" customFormat="false" ht="15" hidden="false" customHeight="false" outlineLevel="0" collapsed="false">
      <c r="A90" s="0" t="s">
        <v>1211</v>
      </c>
      <c r="C90" s="256" t="n">
        <f aca="false">Comparativo!B18</f>
        <v>23.357</v>
      </c>
      <c r="D90" s="120" t="n">
        <f aca="false">C90/$C$93-1</f>
        <v>-0.302359617682198</v>
      </c>
      <c r="E90" s="0" t="str">
        <f aca="false">"Expertos: "&amp;Comparativo!B19&amp;" — sesgo vendedor."</f>
        <v>Expertos: Venta (0 C / 1 M / 6 V) — sesgo vendedor.</v>
      </c>
    </row>
    <row r="91" customFormat="false" ht="15" hidden="false" customHeight="false" outlineLevel="0" collapsed="false">
      <c r="A91" s="0" t="s">
        <v>1212</v>
      </c>
      <c r="C91" s="256" t="n">
        <f aca="false">'Valuación Combinada'!B9</f>
        <v>35.9164595827377</v>
      </c>
      <c r="D91" s="120" t="n">
        <f aca="false">C91/$C$93-1</f>
        <v>0.0727735837137917</v>
      </c>
      <c r="E91" s="36" t="s">
        <v>1213</v>
      </c>
    </row>
    <row r="92" customFormat="false" ht="15" hidden="false" customHeight="false" outlineLevel="0" collapsed="false">
      <c r="A92" s="0" t="s">
        <v>1214</v>
      </c>
      <c r="C92" s="256" t="n">
        <f aca="false">AVERAGE(C85,C86,C88)</f>
        <v>31.8592397579363</v>
      </c>
      <c r="D92" s="120" t="n">
        <f aca="false">C92/$C$93-1</f>
        <v>-0.0484098041237673</v>
      </c>
      <c r="E92" s="36" t="s">
        <v>1215</v>
      </c>
    </row>
    <row r="93" customFormat="false" ht="15" hidden="false" customHeight="false" outlineLevel="0" collapsed="false">
      <c r="A93" s="0" t="s">
        <v>1216</v>
      </c>
      <c r="C93" s="256" t="n">
        <f aca="false">'Valuación Combinada'!B10</f>
        <v>33.48</v>
      </c>
    </row>
    <row r="95" customFormat="false" ht="15" hidden="false" customHeight="false" outlineLevel="0" collapsed="false">
      <c r="A95" s="245" t="s">
        <v>1217</v>
      </c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</row>
    <row r="96" customFormat="false" ht="15" hidden="false" customHeight="false" outlineLevel="0" collapsed="false">
      <c r="A96" s="0" t="s">
        <v>1218</v>
      </c>
      <c r="C96" s="260" t="n">
        <v>0.1</v>
      </c>
    </row>
    <row r="97" customFormat="false" ht="15" hidden="false" customHeight="false" outlineLevel="0" collapsed="false">
      <c r="A97" s="0" t="s">
        <v>1219</v>
      </c>
      <c r="C97" s="260" t="n">
        <v>-0.1</v>
      </c>
    </row>
    <row r="98" customFormat="false" ht="15" hidden="false" customHeight="false" outlineLevel="0" collapsed="false">
      <c r="A98" s="0" t="s">
        <v>1220</v>
      </c>
      <c r="C98" s="261" t="n">
        <f aca="false">C91</f>
        <v>35.9164595827377</v>
      </c>
    </row>
    <row r="99" customFormat="false" ht="15" hidden="false" customHeight="false" outlineLevel="0" collapsed="false">
      <c r="A99" s="0" t="s">
        <v>1221</v>
      </c>
      <c r="C99" s="120" t="n">
        <f aca="false">C98/C93-1</f>
        <v>0.0727735837137917</v>
      </c>
    </row>
    <row r="100" customFormat="false" ht="15" hidden="false" customHeight="false" outlineLevel="0" collapsed="false">
      <c r="A100" s="0" t="s">
        <v>1222</v>
      </c>
      <c r="C100" s="262" t="str">
        <f aca="false">IF(C99&gt;C96,"COMPRAR",IF(C99&lt;C97,"VENDER","MANTENER"))</f>
        <v>MANTENER</v>
      </c>
    </row>
    <row r="101" customFormat="false" ht="15" hidden="false" customHeight="false" outlineLevel="0" collapsed="false">
      <c r="A101" s="0" t="s">
        <v>1223</v>
      </c>
      <c r="C101" s="0" t="str">
        <f aca="false">Comparativo!B19</f>
        <v>Venta (0 C / 1 M / 6 V)</v>
      </c>
    </row>
    <row r="102" customFormat="false" ht="15" hidden="false" customHeight="false" outlineLevel="0" collapsed="false">
      <c r="A102" s="0" t="s">
        <v>1224</v>
      </c>
      <c r="C102" s="256" t="n">
        <f aca="false">MIN(C85,C86,C89)</f>
        <v>28.9893892547619</v>
      </c>
    </row>
    <row r="103" customFormat="false" ht="15" hidden="false" customHeight="false" outlineLevel="0" collapsed="false">
      <c r="A103" s="0" t="s">
        <v>1225</v>
      </c>
      <c r="C103" s="256" t="n">
        <f aca="false">MAX(C85,C86,C89)</f>
        <v>38.3400783109781</v>
      </c>
    </row>
    <row r="104" customFormat="false" ht="15" hidden="false" customHeight="false" outlineLevel="0" collapsed="false">
      <c r="A104" s="0" t="s">
        <v>1226</v>
      </c>
      <c r="C104" s="256" t="n">
        <f aca="false">C90</f>
        <v>23.357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48"/>
    <col collapsed="false" customWidth="true" hidden="false" outlineLevel="0" max="12" min="12" style="0" width="52"/>
    <col collapsed="false" customWidth="true" hidden="false" outlineLevel="0" max="13" min="13" style="0" width="18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43" t="s">
        <v>1227</v>
      </c>
    </row>
    <row r="2" customFormat="false" ht="15" hidden="false" customHeight="false" outlineLevel="0" collapsed="false">
      <c r="A2" s="244" t="s">
        <v>1228</v>
      </c>
    </row>
    <row r="4" customFormat="false" ht="55.2" hidden="false" customHeight="false" outlineLevel="0" collapsed="false">
      <c r="A4" s="249" t="s">
        <v>1229</v>
      </c>
      <c r="B4" s="249" t="s">
        <v>722</v>
      </c>
      <c r="C4" s="249" t="s">
        <v>967</v>
      </c>
      <c r="D4" s="249" t="s">
        <v>1230</v>
      </c>
      <c r="E4" s="249" t="s">
        <v>311</v>
      </c>
      <c r="F4" s="249" t="s">
        <v>1231</v>
      </c>
      <c r="G4" s="249" t="s">
        <v>1232</v>
      </c>
      <c r="H4" s="249" t="s">
        <v>903</v>
      </c>
      <c r="I4" s="249" t="s">
        <v>206</v>
      </c>
      <c r="J4" s="249" t="s">
        <v>1233</v>
      </c>
      <c r="K4" s="249" t="s">
        <v>1234</v>
      </c>
      <c r="L4" s="249" t="s">
        <v>1235</v>
      </c>
      <c r="M4" s="249" t="s">
        <v>1236</v>
      </c>
      <c r="N4" s="249" t="s">
        <v>1237</v>
      </c>
    </row>
    <row r="5" customFormat="false" ht="15" hidden="false" customHeight="false" outlineLevel="0" collapsed="false">
      <c r="A5" s="0" t="s">
        <v>1238</v>
      </c>
      <c r="B5" s="0" t="s">
        <v>1239</v>
      </c>
      <c r="C5" s="0" t="s">
        <v>1240</v>
      </c>
      <c r="D5" s="0" t="s">
        <v>1241</v>
      </c>
      <c r="E5" s="263" t="n">
        <f aca="false">'Proyección Final Soriana'!B265</f>
        <v>38.3400783109781</v>
      </c>
      <c r="F5" s="263" t="n">
        <f aca="false">'Valuación Combinada'!B18</f>
        <v>37.9348536027754</v>
      </c>
      <c r="G5" s="263" t="n">
        <f aca="false">'Valuación Combinada'!D18</f>
        <v>39.1434242577885</v>
      </c>
      <c r="H5" s="263" t="n">
        <f aca="false">'Valuación Combinada'!B10</f>
        <v>33.48</v>
      </c>
      <c r="I5" s="36" t="s">
        <v>1242</v>
      </c>
      <c r="J5" s="120" t="n">
        <f aca="false">IF(AND(ISNUMBER(E5),ISNUMBER(H5)),E5/H5-1,"NA")</f>
        <v>0.145163629360159</v>
      </c>
      <c r="K5" s="36" t="s">
        <v>1243</v>
      </c>
      <c r="L5" s="36" t="s">
        <v>1244</v>
      </c>
      <c r="M5" s="36" t="s">
        <v>1245</v>
      </c>
      <c r="N5" s="36" t="s">
        <v>587</v>
      </c>
    </row>
    <row r="6" customFormat="false" ht="15" hidden="false" customHeight="false" outlineLevel="0" collapsed="false">
      <c r="A6" s="0" t="s">
        <v>1246</v>
      </c>
      <c r="B6" s="0" t="s">
        <v>1239</v>
      </c>
      <c r="C6" s="0" t="s">
        <v>1247</v>
      </c>
      <c r="D6" s="0" t="s">
        <v>1248</v>
      </c>
      <c r="E6" s="263" t="n">
        <f aca="false">'Valuación Combinada'!B5</f>
        <v>33.4928408544974</v>
      </c>
      <c r="F6" s="263" t="n">
        <f aca="false">'Valuación Combinada'!B19</f>
        <v>27.031161037037</v>
      </c>
      <c r="G6" s="263" t="n">
        <f aca="false">'Valuación Combinada'!D19</f>
        <v>40.0699866203704</v>
      </c>
      <c r="H6" s="263" t="n">
        <f aca="false">'Valuación Combinada'!B10</f>
        <v>33.48</v>
      </c>
      <c r="I6" s="36" t="s">
        <v>1242</v>
      </c>
      <c r="J6" s="120" t="n">
        <f aca="false">IF(AND(ISNUMBER(E6),ISNUMBER(H6)),E6/H6-1,"NA")</f>
        <v>0.000383538067423972</v>
      </c>
      <c r="K6" s="36" t="s">
        <v>1249</v>
      </c>
      <c r="L6" s="36" t="s">
        <v>1250</v>
      </c>
      <c r="M6" s="36" t="s">
        <v>1245</v>
      </c>
      <c r="N6" s="36" t="s">
        <v>587</v>
      </c>
    </row>
    <row r="7" customFormat="false" ht="15" hidden="false" customHeight="false" outlineLevel="0" collapsed="false">
      <c r="A7" s="0" t="s">
        <v>1251</v>
      </c>
      <c r="B7" s="0" t="s">
        <v>1239</v>
      </c>
      <c r="C7" s="0" t="s">
        <v>1252</v>
      </c>
      <c r="D7" s="0" t="s">
        <v>1253</v>
      </c>
      <c r="E7" s="263" t="n">
        <f aca="false">'Valuación Combinada'!B6</f>
        <v>23.7448001083333</v>
      </c>
      <c r="F7" s="263" t="n">
        <f aca="false">'Valuación Combinada'!B20</f>
        <v>20.4147906458333</v>
      </c>
      <c r="G7" s="263" t="n">
        <f aca="false">'Valuación Combinada'!D20</f>
        <v>49.1873847208333</v>
      </c>
      <c r="H7" s="263" t="n">
        <f aca="false">'Valuación Combinada'!B10</f>
        <v>33.48</v>
      </c>
      <c r="I7" s="36" t="s">
        <v>1242</v>
      </c>
      <c r="J7" s="120" t="n">
        <f aca="false">IF(AND(ISNUMBER(E7),ISNUMBER(H7)),E7/H7-1,"NA")</f>
        <v>-0.290776579798885</v>
      </c>
      <c r="K7" s="36" t="s">
        <v>1254</v>
      </c>
      <c r="L7" s="36" t="s">
        <v>1255</v>
      </c>
      <c r="M7" s="36" t="s">
        <v>1256</v>
      </c>
      <c r="N7" s="36" t="s">
        <v>587</v>
      </c>
    </row>
    <row r="8" customFormat="false" ht="15" hidden="false" customHeight="false" outlineLevel="0" collapsed="false">
      <c r="A8" s="0" t="s">
        <v>1257</v>
      </c>
      <c r="B8" s="0" t="s">
        <v>1239</v>
      </c>
      <c r="C8" s="0" t="s">
        <v>1258</v>
      </c>
      <c r="D8" s="0" t="s">
        <v>587</v>
      </c>
      <c r="E8" s="263" t="n">
        <f aca="false">Transacciones!E49</f>
        <v>40.7283951666667</v>
      </c>
      <c r="F8" s="263" t="n">
        <f aca="false">Transacciones!E28</f>
        <v>24.7618473333333</v>
      </c>
      <c r="G8" s="263" t="n">
        <f aca="false">Transacciones!E33</f>
        <v>65.4437363333333</v>
      </c>
      <c r="H8" s="263" t="n">
        <f aca="false">'Valuación Combinada'!B10</f>
        <v>33.48</v>
      </c>
      <c r="I8" s="36" t="s">
        <v>1242</v>
      </c>
      <c r="J8" s="120" t="n">
        <f aca="false">IF(AND(ISNUMBER(E8),ISNUMBER(H8)),E8/H8-1,"NA")</f>
        <v>0.21649925826364</v>
      </c>
      <c r="K8" s="36" t="s">
        <v>1259</v>
      </c>
      <c r="L8" s="36" t="s">
        <v>1260</v>
      </c>
      <c r="M8" s="36" t="s">
        <v>1261</v>
      </c>
      <c r="N8" s="36" t="s">
        <v>587</v>
      </c>
    </row>
    <row r="9" customFormat="false" ht="15" hidden="false" customHeight="false" outlineLevel="0" collapsed="false">
      <c r="A9" s="0" t="s">
        <v>1262</v>
      </c>
      <c r="B9" s="0" t="s">
        <v>1239</v>
      </c>
      <c r="C9" s="0" t="s">
        <v>1263</v>
      </c>
      <c r="D9" s="0" t="s">
        <v>1241</v>
      </c>
      <c r="E9" s="263" t="n">
        <f aca="false">'Valuación Combinada'!B9</f>
        <v>35.9164595827377</v>
      </c>
      <c r="H9" s="263" t="n">
        <f aca="false">'Valuación Combinada'!B10</f>
        <v>33.48</v>
      </c>
      <c r="I9" s="36" t="s">
        <v>1242</v>
      </c>
      <c r="J9" s="120" t="n">
        <f aca="false">IF(AND(ISNUMBER(E9),ISNUMBER(H9)),E9/H9-1,"NA")</f>
        <v>0.0727735837137917</v>
      </c>
      <c r="K9" s="36" t="s">
        <v>1264</v>
      </c>
      <c r="L9" s="36" t="s">
        <v>587</v>
      </c>
      <c r="M9" s="36" t="s">
        <v>1265</v>
      </c>
      <c r="N9" s="36" t="s">
        <v>587</v>
      </c>
    </row>
    <row r="10" customFormat="false" ht="15" hidden="false" customHeight="false" outlineLevel="0" collapsed="false">
      <c r="A10" s="0" t="s">
        <v>1266</v>
      </c>
      <c r="B10" s="0" t="s">
        <v>1267</v>
      </c>
      <c r="C10" s="0" t="s">
        <v>990</v>
      </c>
      <c r="D10" s="0" t="s">
        <v>1268</v>
      </c>
      <c r="E10" s="264" t="n">
        <v>39.21</v>
      </c>
      <c r="F10" s="264" t="n">
        <v>32.12</v>
      </c>
      <c r="G10" s="264" t="n">
        <v>47.74</v>
      </c>
      <c r="H10" s="264" t="n">
        <v>33.1</v>
      </c>
      <c r="I10" s="36" t="s">
        <v>1268</v>
      </c>
      <c r="J10" s="120" t="n">
        <f aca="false">IF(AND(ISNUMBER(E10),ISNUMBER(H10)),E10/H10-1,"NA")</f>
        <v>0.184592145015106</v>
      </c>
      <c r="K10" s="36" t="s">
        <v>1269</v>
      </c>
      <c r="L10" s="36" t="s">
        <v>1270</v>
      </c>
      <c r="M10" s="36" t="s">
        <v>1271</v>
      </c>
      <c r="N10" s="36" t="s">
        <v>1272</v>
      </c>
    </row>
    <row r="11" customFormat="false" ht="15" hidden="false" customHeight="false" outlineLevel="0" collapsed="false">
      <c r="A11" s="0" t="s">
        <v>1273</v>
      </c>
      <c r="B11" s="0" t="s">
        <v>1274</v>
      </c>
      <c r="C11" s="0" t="s">
        <v>1275</v>
      </c>
      <c r="D11" s="0" t="s">
        <v>1268</v>
      </c>
      <c r="E11" s="264" t="n">
        <v>36.35</v>
      </c>
      <c r="H11" s="264" t="n">
        <v>33.1</v>
      </c>
      <c r="I11" s="36" t="s">
        <v>1268</v>
      </c>
      <c r="J11" s="120" t="n">
        <f aca="false">IF(AND(ISNUMBER(E11),ISNUMBER(H11)),E11/H11-1,"NA")</f>
        <v>0.0981873111782476</v>
      </c>
      <c r="K11" s="36" t="s">
        <v>1264</v>
      </c>
      <c r="L11" s="36" t="s">
        <v>1276</v>
      </c>
      <c r="M11" s="36" t="s">
        <v>1277</v>
      </c>
      <c r="N11" s="36" t="s">
        <v>1278</v>
      </c>
    </row>
    <row r="12" customFormat="false" ht="15" hidden="false" customHeight="false" outlineLevel="0" collapsed="false">
      <c r="A12" s="0" t="s">
        <v>1279</v>
      </c>
      <c r="B12" s="0" t="s">
        <v>1280</v>
      </c>
      <c r="C12" s="0" t="s">
        <v>990</v>
      </c>
      <c r="D12" s="0" t="s">
        <v>1241</v>
      </c>
      <c r="E12" s="264" t="n">
        <v>31.16</v>
      </c>
      <c r="F12" s="264" t="n">
        <v>25.91</v>
      </c>
      <c r="G12" s="264" t="n">
        <v>37.56</v>
      </c>
      <c r="H12" s="264" t="n">
        <v>33.48</v>
      </c>
      <c r="I12" s="36" t="s">
        <v>1242</v>
      </c>
      <c r="J12" s="120" t="n">
        <f aca="false">IF(AND(ISNUMBER(E12),ISNUMBER(H12)),E12/H12-1,"NA")</f>
        <v>-0.069295101553166</v>
      </c>
      <c r="K12" s="36" t="s">
        <v>1281</v>
      </c>
      <c r="L12" s="36" t="s">
        <v>1282</v>
      </c>
      <c r="M12" s="36" t="s">
        <v>1261</v>
      </c>
      <c r="N12" s="36" t="s">
        <v>1283</v>
      </c>
    </row>
    <row r="13" customFormat="false" ht="15" hidden="false" customHeight="false" outlineLevel="0" collapsed="false">
      <c r="A13" s="0" t="s">
        <v>1284</v>
      </c>
      <c r="B13" s="0" t="s">
        <v>1285</v>
      </c>
      <c r="C13" s="0" t="s">
        <v>1286</v>
      </c>
      <c r="D13" s="0" t="s">
        <v>1253</v>
      </c>
      <c r="E13" s="264" t="n">
        <v>38.27</v>
      </c>
      <c r="F13" s="264" t="n">
        <v>34.8</v>
      </c>
      <c r="G13" s="264" t="n">
        <v>43</v>
      </c>
      <c r="H13" s="264" t="n">
        <v>33.1</v>
      </c>
      <c r="I13" s="36" t="s">
        <v>1268</v>
      </c>
      <c r="J13" s="120" t="n">
        <f aca="false">IF(AND(ISNUMBER(E13),ISNUMBER(H13)),E13/H13-1,"NA")</f>
        <v>0.15619335347432</v>
      </c>
      <c r="K13" s="36" t="s">
        <v>1287</v>
      </c>
      <c r="L13" s="36" t="s">
        <v>1288</v>
      </c>
      <c r="M13" s="36" t="s">
        <v>1277</v>
      </c>
      <c r="N13" s="36" t="s">
        <v>1289</v>
      </c>
    </row>
    <row r="14" customFormat="false" ht="15" hidden="false" customHeight="false" outlineLevel="0" collapsed="false">
      <c r="A14" s="0" t="s">
        <v>1290</v>
      </c>
      <c r="B14" s="0" t="s">
        <v>1291</v>
      </c>
      <c r="C14" s="0" t="s">
        <v>1292</v>
      </c>
      <c r="D14" s="0" t="s">
        <v>1253</v>
      </c>
      <c r="E14" s="264" t="n">
        <v>29.7</v>
      </c>
      <c r="F14" s="264" t="n">
        <v>25.3</v>
      </c>
      <c r="G14" s="264" t="n">
        <v>33.8</v>
      </c>
      <c r="H14" s="264" t="n">
        <v>33.1</v>
      </c>
      <c r="I14" s="36" t="s">
        <v>1268</v>
      </c>
      <c r="J14" s="120" t="n">
        <f aca="false">IF(AND(ISNUMBER(E14),ISNUMBER(H14)),E14/H14-1,"NA")</f>
        <v>-0.102719033232628</v>
      </c>
      <c r="K14" s="36" t="s">
        <v>1293</v>
      </c>
      <c r="L14" s="36" t="s">
        <v>1294</v>
      </c>
      <c r="M14" s="36" t="s">
        <v>1277</v>
      </c>
      <c r="N14" s="36" t="s">
        <v>1295</v>
      </c>
    </row>
    <row r="15" customFormat="false" ht="15" hidden="false" customHeight="false" outlineLevel="0" collapsed="false">
      <c r="A15" s="0" t="s">
        <v>1296</v>
      </c>
      <c r="B15" s="0" t="s">
        <v>1291</v>
      </c>
      <c r="C15" s="0" t="s">
        <v>1297</v>
      </c>
      <c r="D15" s="0" t="s">
        <v>1253</v>
      </c>
      <c r="E15" s="264" t="n">
        <v>28.54</v>
      </c>
      <c r="F15" s="264" t="n">
        <v>21.91</v>
      </c>
      <c r="G15" s="264" t="n">
        <v>59.3</v>
      </c>
      <c r="H15" s="264" t="n">
        <v>33.1</v>
      </c>
      <c r="I15" s="36" t="s">
        <v>1268</v>
      </c>
      <c r="J15" s="120" t="n">
        <f aca="false">IF(AND(ISNUMBER(E15),ISNUMBER(H15)),E15/H15-1,"NA")</f>
        <v>-0.137764350453172</v>
      </c>
      <c r="K15" s="36" t="s">
        <v>1298</v>
      </c>
      <c r="L15" s="36" t="s">
        <v>1299</v>
      </c>
      <c r="M15" s="36" t="s">
        <v>1277</v>
      </c>
      <c r="N15" s="36" t="s">
        <v>1300</v>
      </c>
    </row>
    <row r="16" customFormat="false" ht="15" hidden="false" customHeight="false" outlineLevel="0" collapsed="false">
      <c r="A16" s="0" t="s">
        <v>1301</v>
      </c>
      <c r="B16" s="0" t="s">
        <v>1291</v>
      </c>
      <c r="C16" s="0" t="s">
        <v>1302</v>
      </c>
      <c r="D16" s="0" t="s">
        <v>1253</v>
      </c>
      <c r="E16" s="264" t="n">
        <v>33.98</v>
      </c>
      <c r="H16" s="264" t="n">
        <v>33.1</v>
      </c>
      <c r="I16" s="36" t="s">
        <v>1268</v>
      </c>
      <c r="J16" s="120" t="n">
        <f aca="false">IF(AND(ISNUMBER(E16),ISNUMBER(H16)),E16/H16-1,"NA")</f>
        <v>0.0265861027190331</v>
      </c>
      <c r="K16" s="36" t="s">
        <v>1303</v>
      </c>
      <c r="L16" s="36" t="s">
        <v>1304</v>
      </c>
      <c r="M16" s="36" t="s">
        <v>1277</v>
      </c>
      <c r="N16" s="36" t="s">
        <v>1305</v>
      </c>
    </row>
    <row r="17" customFormat="false" ht="15" hidden="false" customHeight="false" outlineLevel="0" collapsed="false">
      <c r="A17" s="0" t="s">
        <v>1306</v>
      </c>
      <c r="B17" s="0" t="s">
        <v>1291</v>
      </c>
      <c r="C17" s="0" t="s">
        <v>1307</v>
      </c>
      <c r="D17" s="0" t="s">
        <v>1253</v>
      </c>
      <c r="E17" s="264" t="n">
        <v>23.36</v>
      </c>
      <c r="F17" s="264" t="n">
        <v>18.5</v>
      </c>
      <c r="G17" s="264" t="n">
        <v>30</v>
      </c>
      <c r="H17" s="264" t="n">
        <v>33.1</v>
      </c>
      <c r="I17" s="36" t="s">
        <v>1268</v>
      </c>
      <c r="J17" s="120" t="n">
        <f aca="false">IF(AND(ISNUMBER(E17),ISNUMBER(H17)),E17/H17-1,"NA")</f>
        <v>-0.294259818731118</v>
      </c>
      <c r="K17" s="36" t="s">
        <v>1308</v>
      </c>
      <c r="L17" s="36" t="s">
        <v>1309</v>
      </c>
      <c r="M17" s="36" t="s">
        <v>1277</v>
      </c>
      <c r="N17" s="36" t="s">
        <v>1310</v>
      </c>
    </row>
    <row r="18" customFormat="false" ht="15" hidden="false" customHeight="false" outlineLevel="0" collapsed="false">
      <c r="A18" s="0" t="s">
        <v>1311</v>
      </c>
      <c r="B18" s="0" t="s">
        <v>1312</v>
      </c>
      <c r="C18" s="0" t="s">
        <v>1307</v>
      </c>
      <c r="D18" s="0" t="s">
        <v>1253</v>
      </c>
      <c r="E18" s="264" t="n">
        <v>22.42</v>
      </c>
      <c r="H18" s="264" t="n">
        <v>33.1</v>
      </c>
      <c r="I18" s="36" t="s">
        <v>1268</v>
      </c>
      <c r="J18" s="120" t="n">
        <f aca="false">IF(AND(ISNUMBER(E18),ISNUMBER(H18)),E18/H18-1,"NA")</f>
        <v>-0.322658610271903</v>
      </c>
      <c r="K18" s="36" t="s">
        <v>1313</v>
      </c>
      <c r="L18" s="36" t="s">
        <v>1314</v>
      </c>
      <c r="M18" s="36" t="s">
        <v>1277</v>
      </c>
      <c r="N18" s="36" t="s">
        <v>1315</v>
      </c>
    </row>
    <row r="19" customFormat="false" ht="15" hidden="false" customHeight="false" outlineLevel="0" collapsed="false">
      <c r="A19" s="0" t="s">
        <v>1316</v>
      </c>
      <c r="B19" s="0" t="s">
        <v>1317</v>
      </c>
      <c r="C19" s="0" t="s">
        <v>1318</v>
      </c>
      <c r="D19" s="0" t="s">
        <v>1253</v>
      </c>
      <c r="E19" s="264" t="n">
        <v>51</v>
      </c>
      <c r="F19" s="264" t="n">
        <v>49.5</v>
      </c>
      <c r="G19" s="264" t="n">
        <v>52.5</v>
      </c>
      <c r="H19" s="264" t="n">
        <v>33.1</v>
      </c>
      <c r="I19" s="36" t="s">
        <v>1268</v>
      </c>
      <c r="J19" s="120" t="n">
        <f aca="false">IF(AND(ISNUMBER(E19),ISNUMBER(H19)),E19/H19-1,"NA")</f>
        <v>0.540785498489426</v>
      </c>
      <c r="K19" s="36" t="s">
        <v>1319</v>
      </c>
      <c r="L19" s="36" t="s">
        <v>1320</v>
      </c>
      <c r="M19" s="36" t="s">
        <v>1277</v>
      </c>
      <c r="N19" s="36" t="s">
        <v>1321</v>
      </c>
    </row>
    <row r="21" customFormat="false" ht="15" hidden="false" customHeight="false" outlineLevel="0" collapsed="false">
      <c r="A21" s="244" t="s">
        <v>1322</v>
      </c>
    </row>
    <row r="22" customFormat="false" ht="15" hidden="false" customHeight="false" outlineLevel="0" collapsed="false">
      <c r="A22" s="244" t="s">
        <v>1323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6"/>
    <col collapsed="false" customWidth="true" hidden="false" outlineLevel="0" max="9" min="9" style="0" width="60"/>
  </cols>
  <sheetData>
    <row r="1" customFormat="false" ht="17.25" hidden="false" customHeight="true" outlineLevel="0" collapsed="false">
      <c r="A1" s="122" t="s">
        <v>1324</v>
      </c>
    </row>
    <row r="2" customFormat="false" ht="14.25" hidden="false" customHeight="false" outlineLevel="0" collapsed="false">
      <c r="A2" s="123" t="s">
        <v>1325</v>
      </c>
    </row>
    <row r="3" customFormat="false" ht="14.25" hidden="false" customHeight="false" outlineLevel="0" collapsed="false">
      <c r="A3" s="123" t="s">
        <v>1326</v>
      </c>
    </row>
    <row r="5" customFormat="false" ht="14.25" hidden="false" customHeight="false" outlineLevel="0" collapsed="false">
      <c r="A5" s="150" t="s">
        <v>1327</v>
      </c>
      <c r="B5" s="151"/>
      <c r="C5" s="151"/>
      <c r="D5" s="151"/>
      <c r="E5" s="151"/>
      <c r="F5" s="151"/>
      <c r="G5" s="151"/>
      <c r="H5" s="151"/>
      <c r="I5" s="151"/>
    </row>
    <row r="6" customFormat="false" ht="27" hidden="false" customHeight="true" outlineLevel="0" collapsed="false">
      <c r="A6" s="129" t="s">
        <v>1328</v>
      </c>
      <c r="B6" s="129" t="s">
        <v>1329</v>
      </c>
      <c r="C6" s="129" t="s">
        <v>1330</v>
      </c>
      <c r="D6" s="129" t="s">
        <v>1331</v>
      </c>
      <c r="E6" s="129" t="s">
        <v>685</v>
      </c>
      <c r="F6" s="129" t="s">
        <v>1332</v>
      </c>
      <c r="G6" s="129" t="s">
        <v>691</v>
      </c>
      <c r="H6" s="129" t="s">
        <v>1333</v>
      </c>
      <c r="I6" s="129" t="s">
        <v>1334</v>
      </c>
    </row>
    <row r="7" customFormat="false" ht="57" hidden="false" customHeight="true" outlineLevel="0" collapsed="false">
      <c r="A7" s="0" t="s">
        <v>1335</v>
      </c>
      <c r="B7" s="0" t="s">
        <v>1336</v>
      </c>
      <c r="C7" s="265" t="n">
        <v>0.0393</v>
      </c>
      <c r="D7" s="265" t="n">
        <v>0.0393</v>
      </c>
      <c r="E7" s="265" t="n">
        <v>0.0326</v>
      </c>
      <c r="F7" s="265" t="n">
        <v>0.0351</v>
      </c>
      <c r="G7" s="265" t="n">
        <v>0.04</v>
      </c>
      <c r="H7" s="265" t="n">
        <v>0.0351</v>
      </c>
      <c r="I7" s="132" t="s">
        <v>1337</v>
      </c>
    </row>
    <row r="8" customFormat="false" ht="14.25" hidden="false" customHeight="false" outlineLevel="0" collapsed="false">
      <c r="A8" s="0" t="s">
        <v>1338</v>
      </c>
      <c r="B8" s="36" t="s">
        <v>1339</v>
      </c>
      <c r="C8" s="148" t="n">
        <v>0.8</v>
      </c>
      <c r="D8" s="148" t="n">
        <v>0.170520815748403</v>
      </c>
      <c r="E8" s="148" t="n">
        <v>0.170520815748403</v>
      </c>
      <c r="F8" s="148" t="n">
        <v>0.170520815748403</v>
      </c>
      <c r="G8" s="148" t="n">
        <v>0.170520815748403</v>
      </c>
      <c r="H8" s="148" t="n">
        <v>0.69</v>
      </c>
    </row>
    <row r="9" customFormat="false" ht="14.25" hidden="false" customHeight="false" outlineLevel="0" collapsed="false">
      <c r="A9" s="0" t="s">
        <v>1340</v>
      </c>
      <c r="B9" s="0" t="s">
        <v>1341</v>
      </c>
      <c r="C9" s="266" t="n">
        <v>30.9318856931226</v>
      </c>
      <c r="D9" s="266" t="n">
        <v>38.8228171407462</v>
      </c>
      <c r="E9" s="266" t="n">
        <v>37.9348536027754</v>
      </c>
      <c r="F9" s="266" t="n">
        <v>38.3400783109781</v>
      </c>
      <c r="G9" s="266" t="n">
        <v>39.1434242577885</v>
      </c>
      <c r="H9" s="266" t="n">
        <v>31.6168901445216</v>
      </c>
    </row>
    <row r="10" customFormat="false" ht="14.25" hidden="false" customHeight="false" outlineLevel="0" collapsed="false">
      <c r="A10" s="0" t="s">
        <v>781</v>
      </c>
      <c r="B10" s="0" t="s">
        <v>1342</v>
      </c>
      <c r="C10" s="267" t="n">
        <v>55677.3942476206</v>
      </c>
      <c r="D10" s="267" t="n">
        <v>69881.0708533432</v>
      </c>
      <c r="E10" s="267" t="n">
        <v>68282.7364849957</v>
      </c>
      <c r="F10" s="267" t="n">
        <v>69012.1409597606</v>
      </c>
      <c r="G10" s="267" t="n">
        <v>70458.1636640194</v>
      </c>
      <c r="H10" s="267" t="n">
        <v>56910.4022601389</v>
      </c>
    </row>
    <row r="11" customFormat="false" ht="14.25" hidden="false" customHeight="false" outlineLevel="0" collapsed="false">
      <c r="A11" s="0" t="s">
        <v>780</v>
      </c>
      <c r="B11" s="0" t="s">
        <v>1343</v>
      </c>
      <c r="C11" s="267" t="n">
        <v>65877.1203514794</v>
      </c>
      <c r="D11" s="267" t="n">
        <v>80190.5010810303</v>
      </c>
      <c r="E11" s="267" t="n">
        <v>78704.5866448527</v>
      </c>
      <c r="F11" s="267" t="n">
        <v>79382.6971683179</v>
      </c>
      <c r="G11" s="267" t="n">
        <v>80727.0213270136</v>
      </c>
      <c r="H11" s="267" t="n">
        <v>67198.4289751488</v>
      </c>
    </row>
    <row r="12" customFormat="false" ht="14.25" hidden="false" customHeight="false" outlineLevel="0" collapsed="false">
      <c r="A12" s="0" t="s">
        <v>777</v>
      </c>
      <c r="B12" s="0" t="s">
        <v>1344</v>
      </c>
      <c r="C12" s="268" t="n">
        <v>0.117703264055937</v>
      </c>
      <c r="D12" s="268" t="n">
        <v>0.0956853555538548</v>
      </c>
      <c r="E12" s="268" t="n">
        <v>0.0955790842123724</v>
      </c>
      <c r="F12" s="268" t="n">
        <v>0.0956277841268195</v>
      </c>
      <c r="G12" s="268" t="n">
        <v>0.0957222086238604</v>
      </c>
      <c r="H12" s="268" t="n">
        <v>0.113837026578705</v>
      </c>
    </row>
    <row r="13" customFormat="false" ht="14.25" hidden="false" customHeight="false" outlineLevel="0" collapsed="false">
      <c r="A13" s="0" t="s">
        <v>776</v>
      </c>
      <c r="B13" s="0" t="s">
        <v>1345</v>
      </c>
      <c r="C13" s="268" t="n">
        <v>0.140162655262051</v>
      </c>
      <c r="D13" s="268" t="n">
        <v>0.104021768141081</v>
      </c>
      <c r="E13" s="268" t="n">
        <v>0.104056387187952</v>
      </c>
      <c r="F13" s="268" t="n">
        <v>0.104040478277405</v>
      </c>
      <c r="G13" s="268" t="n">
        <v>0.10400984596747</v>
      </c>
      <c r="H13" s="268" t="n">
        <v>0.133539746416858</v>
      </c>
    </row>
    <row r="14" customFormat="false" ht="14.25" hidden="false" customHeight="false" outlineLevel="0" collapsed="false">
      <c r="A14" s="0" t="s">
        <v>775</v>
      </c>
      <c r="B14" s="0" t="s">
        <v>1346</v>
      </c>
      <c r="C14" s="155" t="n">
        <v>1.06365615276715</v>
      </c>
      <c r="D14" s="155" t="n">
        <v>0.209261658181595</v>
      </c>
      <c r="E14" s="155" t="n">
        <v>0.210080075365293</v>
      </c>
      <c r="F14" s="155" t="n">
        <v>0.209703978189233</v>
      </c>
      <c r="G14" s="155" t="n">
        <v>0.208979810105667</v>
      </c>
      <c r="H14" s="155" t="n">
        <v>0.907086203708222</v>
      </c>
    </row>
    <row r="15" customFormat="false" ht="14.25" hidden="false" customHeight="false" outlineLevel="0" collapsed="false">
      <c r="A15" s="0" t="s">
        <v>778</v>
      </c>
      <c r="B15" s="0" t="s">
        <v>1347</v>
      </c>
      <c r="C15" s="268" t="n">
        <v>0.125008009155719</v>
      </c>
      <c r="D15" s="268" t="n">
        <v>0.100630184051038</v>
      </c>
      <c r="E15" s="268" t="n">
        <v>0.100630184051038</v>
      </c>
      <c r="F15" s="268" t="n">
        <v>0.100630184051038</v>
      </c>
      <c r="G15" s="268" t="n">
        <v>0.100630184051038</v>
      </c>
      <c r="H15" s="268" t="n">
        <v>0.120748041823037</v>
      </c>
    </row>
    <row r="16" customFormat="false" ht="14.25" hidden="false" customHeight="false" outlineLevel="0" collapsed="false">
      <c r="A16" s="0" t="s">
        <v>779</v>
      </c>
      <c r="B16" s="0" t="s">
        <v>1348</v>
      </c>
      <c r="C16" s="268" t="n">
        <v>0.138293538829152</v>
      </c>
      <c r="D16" s="268" t="n">
        <v>0.104361826273881</v>
      </c>
      <c r="E16" s="268" t="n">
        <v>0.104361826273881</v>
      </c>
      <c r="F16" s="268" t="n">
        <v>0.104361826273881</v>
      </c>
      <c r="G16" s="268" t="n">
        <v>0.104361826273881</v>
      </c>
      <c r="H16" s="268" t="n">
        <v>0.132364052240143</v>
      </c>
    </row>
    <row r="17" customFormat="false" ht="14.25" hidden="false" customHeight="false" outlineLevel="0" collapsed="false">
      <c r="A17" s="0" t="s">
        <v>1349</v>
      </c>
      <c r="B17" s="0" t="s">
        <v>1350</v>
      </c>
      <c r="C17" s="267" t="n">
        <v>6784.70712387087</v>
      </c>
      <c r="D17" s="267" t="n">
        <v>6784.70712387087</v>
      </c>
      <c r="E17" s="267" t="n">
        <v>6636.24176035716</v>
      </c>
      <c r="F17" s="267" t="n">
        <v>6704.44321602348</v>
      </c>
      <c r="G17" s="267" t="n">
        <v>6839.71731193936</v>
      </c>
      <c r="H17" s="267" t="n">
        <v>6704.44321602348</v>
      </c>
    </row>
    <row r="18" customFormat="false" ht="14.25" hidden="false" customHeight="false" outlineLevel="0" collapsed="false">
      <c r="A18" s="0" t="s">
        <v>1351</v>
      </c>
      <c r="B18" s="0" t="s">
        <v>1352</v>
      </c>
      <c r="C18" s="267" t="n">
        <v>195901.272736332</v>
      </c>
      <c r="D18" s="267" t="n">
        <v>195901.272736332</v>
      </c>
      <c r="E18" s="267" t="n">
        <v>191128.833926638</v>
      </c>
      <c r="F18" s="267" t="n">
        <v>193343.68292541</v>
      </c>
      <c r="G18" s="267" t="n">
        <v>197744.187774724</v>
      </c>
      <c r="H18" s="267" t="n">
        <v>193343.68292541</v>
      </c>
    </row>
    <row r="19" customFormat="false" ht="14.25" hidden="false" customHeight="false" outlineLevel="0" collapsed="false">
      <c r="A19" s="0" t="s">
        <v>783</v>
      </c>
      <c r="B19" s="36" t="s">
        <v>1353</v>
      </c>
      <c r="C19" s="266" t="n">
        <v>32.21236327381</v>
      </c>
      <c r="D19" s="266" t="n">
        <v>36.1578289976218</v>
      </c>
      <c r="E19" s="266" t="n">
        <v>35.7138472286364</v>
      </c>
      <c r="F19" s="266" t="n">
        <v>35.9164595827377</v>
      </c>
      <c r="G19" s="266" t="n">
        <v>36.3181325561429</v>
      </c>
      <c r="H19" s="266" t="n">
        <v>32.5548654995095</v>
      </c>
    </row>
    <row r="21" customFormat="false" ht="14.25" hidden="false" customHeight="false" outlineLevel="0" collapsed="false">
      <c r="A21" s="150" t="s">
        <v>1354</v>
      </c>
      <c r="B21" s="151"/>
      <c r="C21" s="151"/>
      <c r="D21" s="151"/>
      <c r="E21" s="151"/>
      <c r="F21" s="151"/>
      <c r="G21" s="151"/>
      <c r="H21" s="151"/>
      <c r="I21" s="151"/>
    </row>
    <row r="22" customFormat="false" ht="41.25" hidden="false" customHeight="true" outlineLevel="0" collapsed="false">
      <c r="A22" s="129" t="s">
        <v>1145</v>
      </c>
      <c r="B22" s="129" t="s">
        <v>1355</v>
      </c>
      <c r="C22" s="129" t="s">
        <v>1356</v>
      </c>
      <c r="D22" s="129" t="s">
        <v>789</v>
      </c>
      <c r="E22" s="129" t="s">
        <v>1357</v>
      </c>
      <c r="F22" s="129"/>
      <c r="G22" s="129" t="s">
        <v>871</v>
      </c>
      <c r="H22" s="129" t="s">
        <v>1358</v>
      </c>
    </row>
    <row r="23" customFormat="false" ht="28.5" hidden="false" customHeight="true" outlineLevel="0" collapsed="false">
      <c r="A23" s="0" t="s">
        <v>1359</v>
      </c>
      <c r="B23" s="269" t="n">
        <f aca="false">SUMPRODUCT(ABS('Proyección Final Soriana'!B97:G97))</f>
        <v>0</v>
      </c>
      <c r="C23" s="269" t="n">
        <v>0</v>
      </c>
      <c r="D23" s="270" t="n">
        <f aca="false">IF(AND(ISNUMBER(B23),ISNUMBER(C23)),B23-C23,"n/a")</f>
        <v>0</v>
      </c>
      <c r="E23" s="0" t="n">
        <v>0.5</v>
      </c>
      <c r="G23" s="156" t="str">
        <f aca="false">IF(ISNUMBER(D23),IF(ABS(D23)&lt;=E23,"PASS","FAIL"),"FAIL")</f>
        <v>PASS</v>
      </c>
      <c r="H23" s="132" t="s">
        <v>1360</v>
      </c>
    </row>
    <row r="24" customFormat="false" ht="42.75" hidden="false" customHeight="true" outlineLevel="0" collapsed="false">
      <c r="A24" s="0" t="s">
        <v>1361</v>
      </c>
      <c r="B24" s="269" t="n">
        <f aca="false">'Proyección Final Soriana'!B126-'Proyección Final Soriana'!B123</f>
        <v>0.0606277841268195</v>
      </c>
      <c r="C24" s="269" t="s">
        <v>1362</v>
      </c>
      <c r="G24" s="156" t="str">
        <f aca="false">IF(B24&gt;0,"PASS","FAIL")</f>
        <v>PASS</v>
      </c>
      <c r="H24" s="132" t="s">
        <v>1363</v>
      </c>
    </row>
    <row r="25" customFormat="false" ht="28.5" hidden="false" customHeight="true" outlineLevel="0" collapsed="false">
      <c r="A25" s="0" t="s">
        <v>1364</v>
      </c>
      <c r="B25" s="269" t="n">
        <f aca="false">ABS('Proyección Final Soriana'!G219-'Proyección Final Soriana'!G218)</f>
        <v>4.8664896321049E-008</v>
      </c>
      <c r="C25" s="269" t="n">
        <v>0</v>
      </c>
      <c r="D25" s="270" t="n">
        <f aca="false">IF(AND(ISNUMBER(B25),ISNUMBER(C25)),B25-C25,"n/a")</f>
        <v>4.8664896321049E-008</v>
      </c>
      <c r="E25" s="0" t="n">
        <v>1E-006</v>
      </c>
      <c r="G25" s="156" t="str">
        <f aca="false">IF(ISNUMBER(D25),IF(ABS(D25)&lt;=E25,"PASS","FAIL"),"FAIL")</f>
        <v>PASS</v>
      </c>
      <c r="H25" s="132" t="s">
        <v>1365</v>
      </c>
    </row>
    <row r="26" customFormat="false" ht="28.5" hidden="false" customHeight="true" outlineLevel="0" collapsed="false">
      <c r="A26" s="0" t="s">
        <v>1366</v>
      </c>
      <c r="B26" s="269" t="n">
        <f aca="false">'Proyección Final Soriana'!B134</f>
        <v>23547.3812562396</v>
      </c>
      <c r="C26" s="269" t="n">
        <f aca="false">SUMPRODUCT('Proyección Final Soriana'!C117:G117,'Proyección Final Soriana'!C119:G119)</f>
        <v>23547.3812562396</v>
      </c>
      <c r="D26" s="270" t="n">
        <f aca="false">IF(AND(ISNUMBER(B26),ISNUMBER(C26)),B26-C26,"n/a")</f>
        <v>0</v>
      </c>
      <c r="E26" s="0" t="n">
        <v>1E-006</v>
      </c>
      <c r="G26" s="156" t="str">
        <f aca="false">IF(ISNUMBER(D26),IF(ABS(D26)&lt;=E26,"PASS","FAIL"),"FAIL")</f>
        <v>PASS</v>
      </c>
      <c r="H26" s="132" t="s">
        <v>1367</v>
      </c>
    </row>
    <row r="27" customFormat="false" ht="28.5" hidden="false" customHeight="true" outlineLevel="0" collapsed="false">
      <c r="A27" s="0" t="s">
        <v>1368</v>
      </c>
      <c r="B27" s="269" t="n">
        <f aca="false">'Proyección Final Soriana'!G119</f>
        <v>0.633409853102093</v>
      </c>
      <c r="C27" s="269" t="n">
        <f aca="false">1/(1+'Proyección Final Soriana'!B126)^5</f>
        <v>0.633409853102093</v>
      </c>
      <c r="D27" s="270" t="n">
        <f aca="false">IF(AND(ISNUMBER(B27),ISNUMBER(C27)),B27-C27,"n/a")</f>
        <v>0</v>
      </c>
      <c r="E27" s="0" t="n">
        <v>1E-012</v>
      </c>
      <c r="G27" s="156" t="str">
        <f aca="false">IF(ISNUMBER(D27),IF(ABS(D27)&lt;=E27,"PASS","FAIL"),"FAIL")</f>
        <v>PASS</v>
      </c>
      <c r="H27" s="132" t="s">
        <v>1369</v>
      </c>
    </row>
    <row r="28" customFormat="false" ht="14.25" hidden="false" customHeight="false" outlineLevel="0" collapsed="false">
      <c r="A28" s="0" t="s">
        <v>1370</v>
      </c>
      <c r="B28" s="269" t="n">
        <f aca="false">'Proyección Final Soriana'!B129</f>
        <v>99025.313510992</v>
      </c>
      <c r="C28" s="269" t="n">
        <f aca="false">('Proyección Final Soriana'!G73*(1-'Proyección Final Soriana'!G55)+'Proyección Final Soriana'!G116)*(1+'Proyección Final Soriana'!B123)/('Proyección Final Soriana'!B126-'Proyección Final Soriana'!B123)</f>
        <v>99025.3135109921</v>
      </c>
      <c r="D28" s="270" t="n">
        <f aca="false">IF(AND(ISNUMBER(B28),ISNUMBER(C28)),B28-C28,"n/a")</f>
        <v>0</v>
      </c>
      <c r="E28" s="0" t="n">
        <v>1E-006</v>
      </c>
      <c r="G28" s="156" t="str">
        <f aca="false">IF(ISNUMBER(D28),IF(ABS(D28)&lt;=E28,"PASS","FAIL"),"FAIL")</f>
        <v>PASS</v>
      </c>
      <c r="H28" s="132" t="s">
        <v>1371</v>
      </c>
    </row>
    <row r="29" customFormat="false" ht="28.5" hidden="false" customHeight="true" outlineLevel="0" collapsed="false">
      <c r="A29" s="0" t="s">
        <v>1372</v>
      </c>
      <c r="B29" s="269" t="n">
        <f aca="false">'Proyección Final Soriana'!G117</f>
        <v>6704.44321602348</v>
      </c>
      <c r="C29" s="269" t="n">
        <f aca="false">'Proyección Final Soriana'!G73*(1-'Proyección Final Soriana'!G55)-'Proyección Final Soriana'!G72+'Proyección Final Soriana'!G104+('Proyección Final Soriana'!G102+'Proyección Final Soriana'!G103+'Proyección Final Soriana'!G105)</f>
        <v>6704.44321602348</v>
      </c>
      <c r="D29" s="270" t="n">
        <f aca="false">IF(AND(ISNUMBER(B29),ISNUMBER(C29)),B29-C29,"n/a")</f>
        <v>0</v>
      </c>
      <c r="E29" s="0" t="n">
        <v>1E-006</v>
      </c>
      <c r="G29" s="156" t="str">
        <f aca="false">IF(ISNUMBER(D29),IF(ABS(D29)&lt;=E29,"PASS","FAIL"),"FAIL")</f>
        <v>PASS</v>
      </c>
      <c r="H29" s="132" t="s">
        <v>1373</v>
      </c>
    </row>
    <row r="30" customFormat="false" ht="28.5" hidden="false" customHeight="true" outlineLevel="0" collapsed="false">
      <c r="A30" s="0" t="s">
        <v>1374</v>
      </c>
      <c r="B30" s="269" t="n">
        <f aca="false">'Proyección Final Soriana'!B262</f>
        <v>67306.9403540494</v>
      </c>
      <c r="C30" s="269" t="n">
        <f aca="false">'Proyección Final Soriana'!B258-(Datos!F25+Datos!F26)-(Datos!F27+Datos!F28)+Datos!F17</f>
        <v>67306.9403540494</v>
      </c>
      <c r="D30" s="270" t="n">
        <f aca="false">IF(AND(ISNUMBER(B30),ISNUMBER(C30)),B30-C30,"n/a")</f>
        <v>0</v>
      </c>
      <c r="E30" s="0" t="n">
        <v>1E-006</v>
      </c>
      <c r="G30" s="156" t="str">
        <f aca="false">IF(ISNUMBER(D30),IF(ABS(D30)&lt;=E30,"PASS","FAIL"),"FAIL")</f>
        <v>PASS</v>
      </c>
      <c r="H30" s="132" t="s">
        <v>1375</v>
      </c>
    </row>
    <row r="31" customFormat="false" ht="57" hidden="false" customHeight="true" outlineLevel="0" collapsed="false">
      <c r="A31" s="0" t="s">
        <v>1376</v>
      </c>
      <c r="B31" s="269" t="n">
        <f aca="false">'Proyección Final Soriana'!B257</f>
        <v>1060.497</v>
      </c>
      <c r="C31" s="269" t="n">
        <f aca="false">-((Datos!E15+Datos!F15)-(Datos!E16+Datos!F16))</f>
        <v>1060.497</v>
      </c>
      <c r="D31" s="270" t="n">
        <f aca="false">IF(AND(ISNUMBER(B31),ISNUMBER(C31)),B31-C31,"n/a")</f>
        <v>0</v>
      </c>
      <c r="E31" s="0" t="n">
        <v>1E-009</v>
      </c>
      <c r="G31" s="156" t="str">
        <f aca="false">IF(ISNUMBER(D31),IF(ABS(D31)&lt;=E31,"PASS","FAIL"),"FAIL")</f>
        <v>PASS</v>
      </c>
      <c r="H31" s="132" t="s">
        <v>1377</v>
      </c>
    </row>
    <row r="32" customFormat="false" ht="14.25" hidden="false" customHeight="false" outlineLevel="0" collapsed="false">
      <c r="A32" s="0" t="s">
        <v>1378</v>
      </c>
      <c r="B32" s="269" t="n">
        <f aca="false">'Proyección Final Soriana'!B265</f>
        <v>38.3400783109781</v>
      </c>
      <c r="C32" s="269" t="n">
        <f aca="false">'Proyección Final Soriana'!B263/WACC!B17</f>
        <v>38.3400783109781</v>
      </c>
      <c r="D32" s="270" t="n">
        <f aca="false">IF(AND(ISNUMBER(B32),ISNUMBER(C32)),B32-C32,"n/a")</f>
        <v>0</v>
      </c>
      <c r="E32" s="0" t="n">
        <v>1E-009</v>
      </c>
      <c r="G32" s="156" t="str">
        <f aca="false">IF(ISNUMBER(D32),IF(ABS(D32)&lt;=E32,"PASS","FAIL"),"FAIL")</f>
        <v>PASS</v>
      </c>
      <c r="H32" s="132" t="s">
        <v>1379</v>
      </c>
    </row>
    <row r="33" customFormat="false" ht="72" hidden="false" customHeight="true" outlineLevel="0" collapsed="false">
      <c r="A33" s="0" t="s">
        <v>1380</v>
      </c>
      <c r="B33" s="269" t="n">
        <f aca="false">'Proyección Final Soriana'!B265</f>
        <v>38.3400783109781</v>
      </c>
      <c r="C33" s="269" t="n">
        <f aca="false">IF(AND(Inflación!$E$6=0,'Beta y Kd'!$B$18=0),C9,IF(AND(Inflación!$E$6=0,'Beta y Kd'!$B$18=2),D9,IF(AND(Inflación!$E$6=1,'Beta y Kd'!$B$18=2),E9,IF(AND(Inflación!$E$6=2,'Beta y Kd'!$B$18=2),F9,IF(AND(Inflación!$E$6=3,'Beta y Kd'!$B$18=2),G9,IF(AND(Inflación!$E$6=2,'Beta y Kd'!$B$18=1),H9,"sin registro"))))))</f>
        <v>38.3400783109781</v>
      </c>
      <c r="D33" s="270" t="n">
        <f aca="false">IF(AND(ISNUMBER(B33),ISNUMBER(C33)),B33-C33,"n/a")</f>
        <v>0</v>
      </c>
      <c r="E33" s="0" t="n">
        <v>1E-006</v>
      </c>
      <c r="G33" s="156" t="str">
        <f aca="false">IF(ISNUMBER(D33),IF(ABS(D33)&lt;=E33,"PASS","FAIL"),"FAIL")</f>
        <v>PASS</v>
      </c>
      <c r="H33" s="132" t="s">
        <v>1381</v>
      </c>
    </row>
    <row r="34" customFormat="false" ht="100.5" hidden="false" customHeight="true" outlineLevel="0" collapsed="false">
      <c r="A34" s="0" t="s">
        <v>1382</v>
      </c>
      <c r="B34" s="269" t="n">
        <f aca="false">C9</f>
        <v>30.9318856931226</v>
      </c>
      <c r="C34" s="269" t="n">
        <v>30.9318856931226</v>
      </c>
      <c r="D34" s="270" t="n">
        <f aca="false">IF(AND(ISNUMBER(B34),ISNUMBER(C34)),B34-C34,"n/a")</f>
        <v>0</v>
      </c>
      <c r="E34" s="0" t="n">
        <v>1E-006</v>
      </c>
      <c r="G34" s="156" t="str">
        <f aca="false">IF(ISNUMBER(D34),IF(ABS(D34)&lt;=E34,"PASS","FAIL"),"FAIL")</f>
        <v>PASS</v>
      </c>
      <c r="H34" s="132" t="s">
        <v>1383</v>
      </c>
    </row>
    <row r="35" customFormat="false" ht="100.5" hidden="false" customHeight="true" outlineLevel="0" collapsed="false">
      <c r="A35" s="0" t="s">
        <v>1384</v>
      </c>
      <c r="B35" s="269" t="n">
        <f aca="false">IF(AND(E9&lt;F9,F9&lt;G9),1,0)</f>
        <v>1</v>
      </c>
      <c r="C35" s="269" t="n">
        <v>1</v>
      </c>
      <c r="D35" s="270" t="n">
        <f aca="false">IF(AND(ISNUMBER(B35),ISNUMBER(C35)),B35-C35,"n/a")</f>
        <v>0</v>
      </c>
      <c r="E35" s="0" t="n">
        <v>0</v>
      </c>
      <c r="G35" s="156" t="str">
        <f aca="false">IF(ISNUMBER(D35),IF(ABS(D35)&lt;=E35,"PASS","FAIL"),"FAIL")</f>
        <v>PASS</v>
      </c>
      <c r="H35" s="132" t="s">
        <v>1385</v>
      </c>
    </row>
    <row r="36" customFormat="false" ht="42.75" hidden="false" customHeight="true" outlineLevel="0" collapsed="false">
      <c r="A36" s="0" t="s">
        <v>1386</v>
      </c>
      <c r="B36" s="269" t="n">
        <f aca="false">'Beta y Kd'!B14</f>
        <v>0.647803675992488</v>
      </c>
      <c r="C36" s="269" t="n">
        <f aca="false">'Beta y Kd'!B11</f>
        <v>0.65</v>
      </c>
      <c r="D36" s="270" t="n">
        <f aca="false">IF(AND(ISNUMBER(B36),ISNUMBER(C36)),B36-C36,"n/a")</f>
        <v>-0.00219632400751191</v>
      </c>
      <c r="E36" s="0" t="n">
        <v>0.005</v>
      </c>
      <c r="G36" s="156" t="str">
        <f aca="false">IF(ISNUMBER(D36),IF(ABS(D36)&lt;=E36,"PASS","FAIL"),"FAIL")</f>
        <v>PASS</v>
      </c>
      <c r="H36" s="132" t="s">
        <v>1387</v>
      </c>
    </row>
    <row r="37" customFormat="false" ht="28.5" hidden="false" customHeight="true" outlineLevel="0" collapsed="false">
      <c r="A37" s="0" t="s">
        <v>1388</v>
      </c>
      <c r="B37" s="269" t="n">
        <f aca="false">'Beta y Kd'!B19</f>
        <v>0.170520815748403</v>
      </c>
      <c r="C37" s="269" t="n">
        <f aca="false">CHOOSE('Beta y Kd'!$B$18+1,'Beta y Kd'!B17,'Beta y Kd'!B13,'Beta y Kd'!H8)</f>
        <v>0.170520815748403</v>
      </c>
      <c r="D37" s="270" t="n">
        <f aca="false">IF(AND(ISNUMBER(B37),ISNUMBER(C37)),B37-C37,"n/a")</f>
        <v>0</v>
      </c>
      <c r="E37" s="0" t="n">
        <v>0</v>
      </c>
      <c r="G37" s="156" t="str">
        <f aca="false">IF(ISNUMBER(D37),IF(ABS(D37)&lt;=E37,"PASS","FAIL"),"FAIL")</f>
        <v>PASS</v>
      </c>
      <c r="H37" s="132" t="s">
        <v>1389</v>
      </c>
    </row>
    <row r="38" customFormat="false" ht="57" hidden="false" customHeight="true" outlineLevel="0" collapsed="false">
      <c r="A38" s="0" t="s">
        <v>1390</v>
      </c>
      <c r="B38" s="269" t="n">
        <f aca="false">WACC!B28</f>
        <v>0.21730085753856</v>
      </c>
      <c r="C38" s="269" t="n">
        <f aca="false">WACC!B9*(1+(1-WACC!B10)*WACC!B23)</f>
        <v>0.21730085753856</v>
      </c>
      <c r="D38" s="270" t="n">
        <f aca="false">IF(AND(ISNUMBER(B38),ISNUMBER(C38)),B38-C38,"n/a")</f>
        <v>0</v>
      </c>
      <c r="E38" s="0" t="n">
        <v>1E-012</v>
      </c>
      <c r="G38" s="156" t="str">
        <f aca="false">IF(ISNUMBER(D38),IF(ABS(D38)&lt;=E38,"PASS","FAIL"),"FAIL")</f>
        <v>PASS</v>
      </c>
      <c r="H38" s="132" t="s">
        <v>1391</v>
      </c>
    </row>
    <row r="39" customFormat="false" ht="57" hidden="false" customHeight="true" outlineLevel="0" collapsed="false">
      <c r="A39" s="0" t="s">
        <v>1392</v>
      </c>
      <c r="B39" s="269" t="n">
        <f aca="false">'Proyección Final Soriana'!E219</f>
        <v>0.209703978189233</v>
      </c>
      <c r="C39" s="269" t="n">
        <f aca="false">'Proyección Final Soriana'!B212*(1+(1-'Proyección Final Soriana'!B207)*'Proyección Final Soriana'!B209/'Proyección Final Soriana'!C219)</f>
        <v>0.209703978189233</v>
      </c>
      <c r="D39" s="270" t="n">
        <f aca="false">IF(AND(ISNUMBER(B39),ISNUMBER(C39)),B39-C39,"n/a")</f>
        <v>0</v>
      </c>
      <c r="E39" s="0" t="n">
        <v>1E-012</v>
      </c>
      <c r="G39" s="156" t="str">
        <f aca="false">IF(ISNUMBER(D39),IF(ABS(D39)&lt;=E39,"PASS","FAIL"),"FAIL")</f>
        <v>PASS</v>
      </c>
      <c r="H39" s="132" t="s">
        <v>1393</v>
      </c>
    </row>
    <row r="40" customFormat="false" ht="14.25" hidden="false" customHeight="false" outlineLevel="0" collapsed="false">
      <c r="A40" s="0" t="s">
        <v>1394</v>
      </c>
      <c r="B40" s="269" t="n">
        <f aca="false">'Proyección Final Soriana'!F219</f>
        <v>0.104040478277405</v>
      </c>
      <c r="C40" s="269" t="n">
        <f aca="false">'Proyección Final Soriana'!B210+'Proyección Final Soriana'!E219*'Proyección Final Soriana'!B211</f>
        <v>0.104040478277405</v>
      </c>
      <c r="D40" s="270" t="n">
        <f aca="false">IF(AND(ISNUMBER(B40),ISNUMBER(C40)),B40-C40,"n/a")</f>
        <v>0</v>
      </c>
      <c r="E40" s="0" t="n">
        <v>1E-012</v>
      </c>
      <c r="G40" s="156" t="str">
        <f aca="false">IF(ISNUMBER(D40),IF(ABS(D40)&lt;=E40,"PASS","FAIL"),"FAIL")</f>
        <v>PASS</v>
      </c>
      <c r="H40" s="132" t="s">
        <v>1395</v>
      </c>
    </row>
    <row r="41" customFormat="false" ht="57" hidden="false" customHeight="true" outlineLevel="0" collapsed="false">
      <c r="A41" s="0" t="s">
        <v>1396</v>
      </c>
      <c r="B41" s="269" t="n">
        <f aca="false">'Proyección Final Soriana'!C61</f>
        <v>0.1</v>
      </c>
      <c r="C41" s="269" t="n">
        <f aca="false">(Datos!E10+Datos!F10)*2/Datos!F29</f>
        <v>0.0986484820696688</v>
      </c>
      <c r="D41" s="270" t="n">
        <f aca="false">IF(AND(ISNUMBER(B41),ISNUMBER(C41)),B41-C41,"n/a")</f>
        <v>0.00135151793033124</v>
      </c>
      <c r="E41" s="0" t="n">
        <v>0.005</v>
      </c>
      <c r="G41" s="156" t="str">
        <f aca="false">IF(ISNUMBER(D41),IF(ABS(D41)&lt;=E41,"PASS","FAIL"),"FAIL")</f>
        <v>PASS</v>
      </c>
      <c r="H41" s="132" t="s">
        <v>1397</v>
      </c>
    </row>
    <row r="42" customFormat="false" ht="42.75" hidden="false" customHeight="true" outlineLevel="0" collapsed="false">
      <c r="A42" s="0" t="s">
        <v>1398</v>
      </c>
      <c r="B42" s="269" t="n">
        <f aca="false">SUMPRODUCT(ABS('Proyección Final Soriana'!C10:G10-Inflación!B13:F13))</f>
        <v>0</v>
      </c>
      <c r="C42" s="269" t="n">
        <v>0</v>
      </c>
      <c r="D42" s="270" t="n">
        <f aca="false">IF(AND(ISNUMBER(B42),ISNUMBER(C42)),B42-C42,"n/a")</f>
        <v>0</v>
      </c>
      <c r="E42" s="0" t="n">
        <v>1E-012</v>
      </c>
      <c r="G42" s="156" t="str">
        <f aca="false">IF(ISNUMBER(D42),IF(ABS(D42)&lt;=E42,"PASS","FAIL"),"FAIL")</f>
        <v>PASS</v>
      </c>
      <c r="H42" s="132" t="s">
        <v>1399</v>
      </c>
    </row>
    <row r="43" customFormat="false" ht="28.5" hidden="false" customHeight="true" outlineLevel="0" collapsed="false">
      <c r="A43" s="0" t="s">
        <v>1400</v>
      </c>
      <c r="B43" s="269" t="n">
        <f aca="false">Inflación!B34</f>
        <v>0.0351</v>
      </c>
      <c r="C43" s="269" t="n">
        <f aca="false">ROUND(Inflación!C21*EXP(Inflación!D21*5),2)/100</f>
        <v>0.0351</v>
      </c>
      <c r="D43" s="270" t="n">
        <f aca="false">IF(AND(ISNUMBER(B43),ISNUMBER(C43)),B43-C43,"n/a")</f>
        <v>0</v>
      </c>
      <c r="E43" s="0" t="n">
        <v>1E-012</v>
      </c>
      <c r="G43" s="156" t="str">
        <f aca="false">IF(ISNUMBER(D43),IF(ABS(D43)&lt;=E43,"PASS","FAIL"),"FAIL")</f>
        <v>PASS</v>
      </c>
      <c r="H43" s="132" t="s">
        <v>1401</v>
      </c>
    </row>
    <row r="44" customFormat="false" ht="42.75" hidden="false" customHeight="true" outlineLevel="0" collapsed="false">
      <c r="A44" s="0" t="s">
        <v>1402</v>
      </c>
      <c r="B44" s="269" t="n">
        <f aca="false">Inflación!G21</f>
        <v>0.0350871363974646</v>
      </c>
      <c r="C44" s="269" t="n">
        <v>0.0351</v>
      </c>
      <c r="D44" s="270" t="n">
        <f aca="false">IF(AND(ISNUMBER(B44),ISNUMBER(C44)),B44-C44,"n/a")</f>
        <v>-1.2863602535447E-005</v>
      </c>
      <c r="E44" s="0" t="n">
        <v>0.0001</v>
      </c>
      <c r="G44" s="156" t="str">
        <f aca="false">IF(ISNUMBER(D44),IF(ABS(D44)&lt;=E44,"PASS","FAIL"),"FAIL")</f>
        <v>PASS</v>
      </c>
      <c r="H44" s="132" t="s">
        <v>1403</v>
      </c>
    </row>
    <row r="45" customFormat="false" ht="28.5" hidden="false" customHeight="true" outlineLevel="0" collapsed="false">
      <c r="A45" s="0" t="s">
        <v>1404</v>
      </c>
      <c r="B45" s="269" t="n">
        <f aca="false">Inflación!G20</f>
        <v>0.0350405233912861</v>
      </c>
      <c r="C45" s="269" t="n">
        <v>0.0350807936283421</v>
      </c>
      <c r="D45" s="270" t="n">
        <f aca="false">IF(AND(ISNUMBER(B45),ISNUMBER(C45)),B45-C45,"n/a")</f>
        <v>-4.02702370559671E-005</v>
      </c>
      <c r="E45" s="0" t="n">
        <v>0.0001</v>
      </c>
      <c r="G45" s="156" t="str">
        <f aca="false">IF(ISNUMBER(D45),IF(ABS(D45)&lt;=E45,"PASS","FAIL"),"FAIL")</f>
        <v>PASS</v>
      </c>
      <c r="H45" s="132" t="s">
        <v>1405</v>
      </c>
    </row>
    <row r="46" customFormat="false" ht="28.5" hidden="false" customHeight="true" outlineLevel="0" collapsed="false">
      <c r="A46" s="0" t="s">
        <v>1406</v>
      </c>
      <c r="B46" s="269" t="n">
        <f aca="false">Inflación!G24</f>
        <v>0.0326787650364365</v>
      </c>
      <c r="C46" s="269" t="n">
        <v>0.0326787671112565</v>
      </c>
      <c r="D46" s="270" t="n">
        <f aca="false">IF(AND(ISNUMBER(B46),ISNUMBER(C46)),B46-C46,"n/a")</f>
        <v>-2.07481998942827E-009</v>
      </c>
      <c r="E46" s="0" t="n">
        <v>1E-008</v>
      </c>
      <c r="G46" s="156" t="str">
        <f aca="false">IF(ISNUMBER(D46),IF(ABS(D46)&lt;=E46,"PASS","FAIL"),"FAIL")</f>
        <v>PASS</v>
      </c>
      <c r="H46" s="132" t="s">
        <v>1407</v>
      </c>
    </row>
    <row r="47" customFormat="false" ht="14.25" hidden="false" customHeight="false" outlineLevel="0" collapsed="false">
      <c r="A47" s="0" t="s">
        <v>1408</v>
      </c>
      <c r="B47" s="269" t="n">
        <f aca="false">VF_BETA_HISTORICA</f>
        <v>0.0414619566109314</v>
      </c>
      <c r="C47" s="269" t="n">
        <v>0.0414619566109315</v>
      </c>
      <c r="D47" s="270" t="n">
        <f aca="false">IF(AND(ISNUMBER(B47),ISNUMBER(C47)),B47-C47,"n/a")</f>
        <v>0</v>
      </c>
      <c r="E47" s="0" t="n">
        <v>1E-009</v>
      </c>
      <c r="G47" s="156" t="str">
        <f aca="false">IF(ISNUMBER(D47),IF(ABS(D47)&lt;=E47,"PASS","FAIL"),"FAIL")</f>
        <v>PASS</v>
      </c>
      <c r="H47" s="132" t="s">
        <v>1409</v>
      </c>
    </row>
    <row r="48" customFormat="false" ht="172.5" hidden="false" customHeight="true" outlineLevel="0" collapsed="false">
      <c r="A48" s="0" t="s">
        <v>1410</v>
      </c>
      <c r="B48" s="269" t="n">
        <f aca="false">COUNT(Multiplos!N5:N14)+COUNT(Multiplos!P5:P14)</f>
        <v>20</v>
      </c>
      <c r="C48" s="269" t="n">
        <v>20</v>
      </c>
      <c r="D48" s="270" t="n">
        <f aca="false">IF(AND(ISNUMBER(B48),ISNUMBER(C48)),B48-C48,"n/a")</f>
        <v>0</v>
      </c>
      <c r="E48" s="0" t="n">
        <v>0</v>
      </c>
      <c r="G48" s="156" t="str">
        <f aca="false">IF(ISNUMBER(D48),IF(ABS(D48)&lt;=E48,"PASS","FAIL"),"FAIL")</f>
        <v>PASS</v>
      </c>
      <c r="H48" s="132" t="s">
        <v>1411</v>
      </c>
    </row>
    <row r="49" customFormat="false" ht="72" hidden="false" customHeight="true" outlineLevel="0" collapsed="false">
      <c r="A49" s="0" t="s">
        <v>1412</v>
      </c>
      <c r="B49" s="269" t="n">
        <f aca="false">Multiplos!E60</f>
        <v>14.5142857142857</v>
      </c>
      <c r="C49" s="269" t="n">
        <f aca="false">SUMPRODUCT(Multiplos!P5:P14,Multiplos!K5:K14)/SUM(Multiplos!K5:K14)</f>
        <v>14.5142857142857</v>
      </c>
      <c r="D49" s="270" t="n">
        <f aca="false">IF(AND(ISNUMBER(B49),ISNUMBER(C49)),B49-C49,"n/a")</f>
        <v>0</v>
      </c>
      <c r="E49" s="0" t="n">
        <v>1E-009</v>
      </c>
      <c r="G49" s="156" t="str">
        <f aca="false">IF(ISNUMBER(D49),IF(ABS(D49)&lt;=E49,"PASS","FAIL"),"FAIL")</f>
        <v>PASS</v>
      </c>
      <c r="H49" s="132" t="s">
        <v>1413</v>
      </c>
    </row>
    <row r="50" customFormat="false" ht="42.75" hidden="false" customHeight="true" outlineLevel="0" collapsed="false">
      <c r="A50" s="0" t="s">
        <v>1414</v>
      </c>
      <c r="B50" s="269" t="n">
        <f aca="false">Multiplos!C60</f>
        <v>7.04285714285714</v>
      </c>
      <c r="C50" s="269" t="n">
        <f aca="false">SUMPRODUCT(Multiplos!N5:N14,Multiplos!K5:K14)/SUM(Multiplos!K5:K14)</f>
        <v>7.04285714285714</v>
      </c>
      <c r="D50" s="270" t="n">
        <f aca="false">IF(AND(ISNUMBER(B50),ISNUMBER(C50)),B50-C50,"n/a")</f>
        <v>0</v>
      </c>
      <c r="E50" s="0" t="n">
        <v>1E-009</v>
      </c>
      <c r="G50" s="156" t="str">
        <f aca="false">IF(ISNUMBER(D50),IF(ABS(D50)&lt;=E50,"PASS","FAIL"),"FAIL")</f>
        <v>PASS</v>
      </c>
      <c r="H50" s="132" t="s">
        <v>1415</v>
      </c>
    </row>
    <row r="51" customFormat="false" ht="42.75" hidden="false" customHeight="true" outlineLevel="0" collapsed="false">
      <c r="A51" s="0" t="s">
        <v>1416</v>
      </c>
      <c r="B51" s="269" t="n">
        <f aca="false">Multiplos!H60</f>
        <v>36.853929547619</v>
      </c>
      <c r="C51" s="269" t="n">
        <f aca="false">(Multiplos!C60*Multiplos!B21+Multiplos!B30)/Multiplos!B23</f>
        <v>36.853929547619</v>
      </c>
      <c r="D51" s="270" t="n">
        <f aca="false">IF(AND(ISNUMBER(B51),ISNUMBER(C51)),B51-C51,"n/a")</f>
        <v>0</v>
      </c>
      <c r="E51" s="0" t="n">
        <v>1E-009</v>
      </c>
      <c r="G51" s="156" t="str">
        <f aca="false">IF(ISNUMBER(D51),IF(ABS(D51)&lt;=E51,"PASS","FAIL"),"FAIL")</f>
        <v>PASS</v>
      </c>
      <c r="H51" s="132" t="s">
        <v>1417</v>
      </c>
    </row>
    <row r="52" customFormat="false" ht="42.75" hidden="false" customHeight="true" outlineLevel="0" collapsed="false">
      <c r="A52" s="0" t="s">
        <v>1418</v>
      </c>
      <c r="B52" s="269" t="n">
        <f aca="false">Multiplos!D73</f>
        <v>33.4928408544974</v>
      </c>
      <c r="C52" s="269" t="n">
        <f aca="false">AVERAGE(Multiplos!H60:J60)</f>
        <v>33.4928408544974</v>
      </c>
      <c r="D52" s="270" t="n">
        <f aca="false">IF(AND(ISNUMBER(B52),ISNUMBER(C52)),B52-C52,"n/a")</f>
        <v>0</v>
      </c>
      <c r="E52" s="0" t="n">
        <v>1E-009</v>
      </c>
      <c r="G52" s="156" t="str">
        <f aca="false">IF(ISNUMBER(D52),IF(ABS(D52)&lt;=E52,"PASS","FAIL"),"FAIL")</f>
        <v>PASS</v>
      </c>
      <c r="H52" s="132" t="s">
        <v>1419</v>
      </c>
    </row>
    <row r="53" customFormat="false" ht="28.5" hidden="false" customHeight="true" outlineLevel="0" collapsed="false">
      <c r="A53" s="0" t="s">
        <v>1420</v>
      </c>
      <c r="B53" s="269" t="n">
        <f aca="false">Multiplos!C64</f>
        <v>7</v>
      </c>
      <c r="C53" s="269" t="n">
        <v>7</v>
      </c>
      <c r="D53" s="270" t="n">
        <f aca="false">IF(AND(ISNUMBER(B53),ISNUMBER(C53)),B53-C53,"n/a")</f>
        <v>0</v>
      </c>
      <c r="E53" s="0" t="n">
        <v>0</v>
      </c>
      <c r="G53" s="156" t="str">
        <f aca="false">IF(ISNUMBER(D53),IF(ABS(D53)&lt;=E53,"PASS","FAIL"),"FAIL")</f>
        <v>PASS</v>
      </c>
      <c r="H53" s="132" t="s">
        <v>1421</v>
      </c>
    </row>
    <row r="54" customFormat="false" ht="28.5" hidden="false" customHeight="true" outlineLevel="0" collapsed="false">
      <c r="A54" s="0" t="s">
        <v>1422</v>
      </c>
      <c r="B54" s="269" t="n">
        <f aca="false">Transacciones!C30</f>
        <v>7.63333333333333</v>
      </c>
      <c r="C54" s="269" t="n">
        <f aca="false">Transacciones!I15</f>
        <v>7.6</v>
      </c>
      <c r="D54" s="270" t="n">
        <f aca="false">IF(AND(ISNUMBER(B54),ISNUMBER(C54)),B54-C54,"n/a")</f>
        <v>0.0333333333333332</v>
      </c>
      <c r="E54" s="0" t="n">
        <v>0.051</v>
      </c>
      <c r="G54" s="156" t="str">
        <f aca="false">IF(ISNUMBER(D54),IF(ABS(D54)&lt;=E54,"PASS","FAIL"),"FAIL")</f>
        <v>PASS</v>
      </c>
      <c r="H54" s="132" t="s">
        <v>1423</v>
      </c>
    </row>
    <row r="55" customFormat="false" ht="14.25" hidden="false" customHeight="false" outlineLevel="0" collapsed="false">
      <c r="A55" s="0" t="s">
        <v>1424</v>
      </c>
      <c r="B55" s="269" t="n">
        <f aca="false">Transacciones!B30</f>
        <v>0.733333333333333</v>
      </c>
      <c r="C55" s="269" t="n">
        <f aca="false">Transacciones!H15</f>
        <v>0.7</v>
      </c>
      <c r="D55" s="270" t="n">
        <f aca="false">IF(AND(ISNUMBER(B55),ISNUMBER(C55)),B55-C55,"n/a")</f>
        <v>0.0333333333333334</v>
      </c>
      <c r="E55" s="0" t="n">
        <v>0.051</v>
      </c>
      <c r="G55" s="156" t="str">
        <f aca="false">IF(ISNUMBER(D55),IF(ABS(D55)&lt;=E55,"PASS","FAIL"),"FAIL")</f>
        <v>PASS</v>
      </c>
      <c r="H55" s="132" t="s">
        <v>1425</v>
      </c>
    </row>
    <row r="56" customFormat="false" ht="14.25" hidden="false" customHeight="false" outlineLevel="0" collapsed="false">
      <c r="A56" s="0" t="s">
        <v>1426</v>
      </c>
      <c r="B56" s="269" t="n">
        <f aca="false">'Valuación Combinada'!C7</f>
        <v>1</v>
      </c>
      <c r="C56" s="269" t="n">
        <v>1</v>
      </c>
      <c r="D56" s="270" t="n">
        <f aca="false">IF(AND(ISNUMBER(B56),ISNUMBER(C56)),B56-C56,"n/a")</f>
        <v>0</v>
      </c>
      <c r="E56" s="0" t="n">
        <v>1E-012</v>
      </c>
      <c r="G56" s="156" t="str">
        <f aca="false">IF(ISNUMBER(D56),IF(ABS(D56)&lt;=E56,"PASS","FAIL"),"FAIL")</f>
        <v>PASS</v>
      </c>
      <c r="H56" s="132" t="s">
        <v>1427</v>
      </c>
    </row>
    <row r="57" customFormat="false" ht="42.75" hidden="false" customHeight="true" outlineLevel="0" collapsed="false">
      <c r="A57" s="0" t="s">
        <v>1428</v>
      </c>
      <c r="B57" s="269" t="n">
        <f aca="false">'Valuación Combinada'!B9</f>
        <v>35.9164595827377</v>
      </c>
      <c r="C57" s="269" t="n">
        <f aca="false">'Valuación Combinada'!B4*'Valuación Combinada'!C4+'Valuación Combinada'!B5*'Valuación Combinada'!C5+IF(ISNUMBER('Valuación Combinada'!B6),'Valuación Combinada'!B6*'Valuación Combinada'!C6,0)</f>
        <v>35.9164595827377</v>
      </c>
      <c r="D57" s="270" t="n">
        <f aca="false">IF(AND(ISNUMBER(B57),ISNUMBER(C57)),B57-C57,"n/a")</f>
        <v>0</v>
      </c>
      <c r="E57" s="0" t="n">
        <v>1E-009</v>
      </c>
      <c r="G57" s="156" t="str">
        <f aca="false">IF(ISNUMBER(D57),IF(ABS(D57)&lt;=E57,"PASS","FAIL"),"FAIL")</f>
        <v>PASS</v>
      </c>
      <c r="H57" s="132" t="s">
        <v>1429</v>
      </c>
    </row>
    <row r="58" customFormat="false" ht="42.75" hidden="false" customHeight="true" outlineLevel="0" collapsed="false">
      <c r="A58" s="0" t="s">
        <v>1430</v>
      </c>
      <c r="B58" s="269" t="n">
        <f aca="false">Transacciones!E30</f>
        <v>40.7283951666667</v>
      </c>
      <c r="C58" s="269" t="n">
        <f aca="false">(Transacciones!C30*Multiplos!B21+Multiplos!B30)/Multiplos!B23</f>
        <v>40.7283951666667</v>
      </c>
      <c r="D58" s="270" t="n">
        <f aca="false">IF(AND(ISNUMBER(B58),ISNUMBER(C58)),B58-C58,"n/a")</f>
        <v>0</v>
      </c>
      <c r="E58" s="0" t="n">
        <v>1E-009</v>
      </c>
      <c r="G58" s="156" t="str">
        <f aca="false">IF(ISNUMBER(D58),IF(ABS(D58)&lt;=E58,"PASS","FAIL"),"FAIL")</f>
        <v>PASS</v>
      </c>
      <c r="H58" s="132" t="s">
        <v>1431</v>
      </c>
    </row>
    <row r="59" customFormat="false" ht="28.5" hidden="false" customHeight="true" outlineLevel="0" collapsed="false">
      <c r="A59" s="0" t="s">
        <v>1432</v>
      </c>
      <c r="B59" s="269" t="n">
        <f aca="false">Transacciones!C41</f>
        <v>73311.1113</v>
      </c>
      <c r="C59" s="269" t="n">
        <f aca="false">Transacciones!C39+Multiplos!B30</f>
        <v>73311.1113</v>
      </c>
      <c r="D59" s="270" t="n">
        <f aca="false">IF(AND(ISNUMBER(B59),ISNUMBER(C59)),B59-C59,"n/a")</f>
        <v>0</v>
      </c>
      <c r="E59" s="0" t="n">
        <v>1E-009</v>
      </c>
      <c r="G59" s="156" t="str">
        <f aca="false">IF(ISNUMBER(D59),IF(ABS(D59)&lt;=E59,"PASS","FAIL"),"FAIL")</f>
        <v>PASS</v>
      </c>
      <c r="H59" s="132" t="s">
        <v>1433</v>
      </c>
    </row>
    <row r="60" customFormat="false" ht="28.5" hidden="false" customHeight="true" outlineLevel="0" collapsed="false">
      <c r="A60" s="0" t="s">
        <v>1434</v>
      </c>
      <c r="B60" s="269" t="n">
        <f aca="false">Multiplos!C69</f>
        <v>66337.0731857143</v>
      </c>
      <c r="C60" s="269" t="n">
        <f aca="false">Multiplos!C68+Multiplos!B30</f>
        <v>66337.0731857143</v>
      </c>
      <c r="D60" s="270" t="n">
        <f aca="false">IF(AND(ISNUMBER(B60),ISNUMBER(C60)),B60-C60,"n/a")</f>
        <v>0</v>
      </c>
      <c r="E60" s="0" t="n">
        <v>1E-009</v>
      </c>
      <c r="G60" s="156" t="str">
        <f aca="false">IF(ISNUMBER(D60),IF(ABS(D60)&lt;=E60,"PASS","FAIL"),"FAIL")</f>
        <v>PASS</v>
      </c>
      <c r="H60" s="132" t="s">
        <v>1433</v>
      </c>
    </row>
    <row r="61" customFormat="false" ht="28.5" hidden="false" customHeight="true" outlineLevel="0" collapsed="false">
      <c r="A61" s="0" t="s">
        <v>1435</v>
      </c>
      <c r="B61" s="269" t="n">
        <f aca="false">'Valuación Combinada'!C6</f>
        <v>0</v>
      </c>
      <c r="C61" s="269" t="n">
        <v>0</v>
      </c>
      <c r="D61" s="270" t="n">
        <f aca="false">IF(AND(ISNUMBER(B61),ISNUMBER(C61)),B61-C61,"n/a")</f>
        <v>0</v>
      </c>
      <c r="E61" s="0" t="n">
        <v>0</v>
      </c>
      <c r="G61" s="156" t="str">
        <f aca="false">IF(ISNUMBER(D61),IF(ABS(D61)&lt;=E61,"PASS","FAIL"),"FAIL")</f>
        <v>PASS</v>
      </c>
      <c r="H61" s="132" t="s">
        <v>1436</v>
      </c>
    </row>
    <row r="62" customFormat="false" ht="201" hidden="false" customHeight="true" outlineLevel="0" collapsed="false">
      <c r="A62" s="0" t="s">
        <v>1437</v>
      </c>
      <c r="B62" s="255" t="n">
        <f aca="false">'Transacciones SDC'!C56</f>
        <v>8</v>
      </c>
      <c r="C62" s="255" t="n">
        <f aca="false">SUMPRODUCT(('Transacciones SDC'!AB23:AB45=1)*ISNUMBER('Transacciones SDC'!N23:N45))</f>
        <v>8</v>
      </c>
      <c r="D62" s="271" t="n">
        <f aca="false">IF(AND(ISNUMBER(B62),ISNUMBER(C62)),B62-C62,"n/a")</f>
        <v>0</v>
      </c>
      <c r="E62" s="0" t="n">
        <v>0</v>
      </c>
      <c r="G62" s="156" t="str">
        <f aca="false">IF(ISNUMBER(D62),IF(ABS(D62)&lt;=E62,"PASS","FAIL"),"FAIL")</f>
        <v>PASS</v>
      </c>
      <c r="H62" s="132" t="s">
        <v>1438</v>
      </c>
    </row>
    <row r="63" customFormat="false" ht="100.5" hidden="false" customHeight="true" outlineLevel="0" collapsed="false">
      <c r="A63" s="156" t="s">
        <v>1439</v>
      </c>
      <c r="B63" s="272" t="n">
        <f aca="false">'Transacciones SDC'!C52</f>
        <v>7.7775</v>
      </c>
      <c r="C63" s="36" t="n">
        <f aca="false">SUMPRODUCT(('Transacciones SDC'!AB23:AB45=1)*ISNUMBER('Transacciones SDC'!N23:N45),'Transacciones SDC'!AE23:AE45)/SUMPRODUCT(('Transacciones SDC'!AB23:AB45=1)*ISNUMBER('Transacciones SDC'!N23:N45))</f>
        <v>7.7775</v>
      </c>
      <c r="D63" s="36" t="n">
        <f aca="false">IF(AND(ISNUMBER(B63),ISNUMBER(C63)),B63-C63,"n/a")</f>
        <v>0</v>
      </c>
      <c r="E63" s="0" t="n">
        <v>1E-009</v>
      </c>
      <c r="G63" s="0" t="str">
        <f aca="false">IF(ISNUMBER(D63),IF(ABS(D63)&lt;=E63,"PASS","FAIL"),"FAIL")</f>
        <v>PASS</v>
      </c>
      <c r="H63" s="132" t="s">
        <v>1440</v>
      </c>
    </row>
    <row r="64" customFormat="false" ht="14.25" hidden="false" customHeight="false" outlineLevel="0" collapsed="false">
      <c r="A64" s="0" t="s">
        <v>1441</v>
      </c>
      <c r="B64" s="255" t="n">
        <f aca="false">'Transacciones SDC'!C53</f>
        <v>5.045</v>
      </c>
      <c r="C64" s="36" t="n">
        <f aca="false">PERCENTILE('Transacciones SDC'!AE23:AE45,0.5)</f>
        <v>5.045</v>
      </c>
      <c r="D64" s="36" t="n">
        <f aca="false">IF(AND(ISNUMBER(B64),ISNUMBER(C64)),B64-C64,"n/a")</f>
        <v>0</v>
      </c>
      <c r="E64" s="0" t="n">
        <v>1E-009</v>
      </c>
      <c r="G64" s="0" t="str">
        <f aca="false">IF(ISNUMBER(D64),IF(ABS(D64)&lt;=E64,"PASS","FAIL"),"FAIL")</f>
        <v>PASS</v>
      </c>
      <c r="H64" s="36" t="s">
        <v>1442</v>
      </c>
    </row>
    <row r="65" customFormat="false" ht="14.25" hidden="false" customHeight="false" outlineLevel="0" collapsed="false">
      <c r="A65" s="0" t="s">
        <v>1443</v>
      </c>
      <c r="B65" s="0" t="n">
        <f aca="false">SUMPRODUCT(('Transacciones SDC'!AB23:AB45=1)*('Transacciones SDC'!T23:T45&lt;'Transacciones SDC'!$C$9))</f>
        <v>0</v>
      </c>
      <c r="C65" s="0" t="n">
        <v>0</v>
      </c>
      <c r="D65" s="0" t="n">
        <f aca="false">IF(AND(ISNUMBER(B65),ISNUMBER(C65)),B65-C65,"n/a")</f>
        <v>0</v>
      </c>
      <c r="E65" s="0" t="n">
        <v>0</v>
      </c>
      <c r="G65" s="0" t="str">
        <f aca="false">IF(ISNUMBER(D65),IF(ABS(D65)&lt;=E65,"PASS","FAIL"),"FAIL")</f>
        <v>PASS</v>
      </c>
      <c r="H65" s="0" t="s">
        <v>1444</v>
      </c>
    </row>
    <row r="66" customFormat="false" ht="14.25" hidden="false" customHeight="false" outlineLevel="0" collapsed="false">
      <c r="A66" s="0" t="s">
        <v>1445</v>
      </c>
      <c r="B66" s="0" t="n">
        <f aca="false">SUMPRODUCT(('Transacciones SDC'!AB23:AB45=1)*(('Transacciones SDC'!B23:B45&lt;'Transacciones SDC'!$C$8)+('Transacciones SDC'!B23:B45&gt;'Transacciones SDC'!$C$6)))</f>
        <v>0</v>
      </c>
      <c r="C66" s="0" t="n">
        <v>0</v>
      </c>
      <c r="D66" s="0" t="n">
        <f aca="false">IF(AND(ISNUMBER(B66),ISNUMBER(C66)),B66-C66,"n/a")</f>
        <v>0</v>
      </c>
      <c r="E66" s="0" t="n">
        <v>0</v>
      </c>
      <c r="G66" s="0" t="str">
        <f aca="false">IF(ISNUMBER(D66),IF(ABS(D66)&lt;=E66,"PASS","FAIL"),"FAIL")</f>
        <v>PASS</v>
      </c>
      <c r="H66" s="0" t="s">
        <v>1446</v>
      </c>
    </row>
    <row r="67" customFormat="false" ht="14.25" hidden="false" customHeight="false" outlineLevel="0" collapsed="false">
      <c r="A67" s="0" t="s">
        <v>1447</v>
      </c>
      <c r="B67" s="0" t="n">
        <f aca="false">SUMPRODUCT(('Transacciones SDC'!AB23:AB45=1)*('Transacciones SDC'!X23:X45="Sí"))</f>
        <v>0</v>
      </c>
      <c r="C67" s="0" t="n">
        <v>0</v>
      </c>
      <c r="D67" s="0" t="n">
        <f aca="false">IF(AND(ISNUMBER(B67),ISNUMBER(C67)),B67-C67,"n/a")</f>
        <v>0</v>
      </c>
      <c r="E67" s="0" t="n">
        <v>0</v>
      </c>
      <c r="G67" s="0" t="str">
        <f aca="false">IF(ISNUMBER(D67),IF(ABS(D67)&lt;=E67,"PASS","FAIL"),"FAIL")</f>
        <v>PASS</v>
      </c>
      <c r="H67" s="0" t="s">
        <v>1448</v>
      </c>
    </row>
    <row r="68" customFormat="false" ht="14.25" hidden="false" customHeight="false" outlineLevel="0" collapsed="false">
      <c r="A68" s="0" t="s">
        <v>1449</v>
      </c>
      <c r="B68" s="0" t="n">
        <f aca="false">COUNTIF('Transacciones SDC'!AE23:AE45,0)+COUNTIF('Transacciones SDC'!AF23:AF45,0)</f>
        <v>0</v>
      </c>
      <c r="C68" s="0" t="n">
        <v>0</v>
      </c>
      <c r="D68" s="0" t="n">
        <f aca="false">IF(AND(ISNUMBER(B68),ISNUMBER(C68)),B68-C68,"n/a")</f>
        <v>0</v>
      </c>
      <c r="E68" s="0" t="n">
        <v>0</v>
      </c>
      <c r="G68" s="0" t="str">
        <f aca="false">IF(ISNUMBER(D68),IF(ABS(D68)&lt;=E68,"PASS","FAIL"),"FAIL")</f>
        <v>PASS</v>
      </c>
      <c r="H68" s="0" t="s">
        <v>1450</v>
      </c>
    </row>
    <row r="69" customFormat="false" ht="14.25" hidden="false" customHeight="false" outlineLevel="0" collapsed="false">
      <c r="A69" s="0" t="s">
        <v>1451</v>
      </c>
      <c r="B69" s="256" t="n">
        <f aca="false">'Transacciones SDC'!F53</f>
        <v>23.7448001083333</v>
      </c>
      <c r="C69" s="36" t="n">
        <f aca="false">('Transacciones SDC'!C53*Multiplos!B21+Multiplos!B30)/Multiplos!B23</f>
        <v>23.7448001083333</v>
      </c>
      <c r="D69" s="36" t="n">
        <f aca="false">IF(AND(ISNUMBER(B69),ISNUMBER(C69)),B69-C69,"n/a")</f>
        <v>0</v>
      </c>
      <c r="E69" s="0" t="n">
        <v>1E-009</v>
      </c>
      <c r="G69" s="0" t="str">
        <f aca="false">IF(ISNUMBER(D69),IF(ABS(D69)&lt;=E69,"PASS","FAIL"),"FAIL")</f>
        <v>PASS</v>
      </c>
      <c r="H69" s="36" t="s">
        <v>1452</v>
      </c>
    </row>
    <row r="70" customFormat="false" ht="14.25" hidden="false" customHeight="false" outlineLevel="0" collapsed="false">
      <c r="A70" s="0" t="s">
        <v>1453</v>
      </c>
      <c r="B70" s="273" t="n">
        <f aca="false">'Valuación Combinada'!B6</f>
        <v>23.7448001083333</v>
      </c>
      <c r="C70" s="256" t="n">
        <f aca="false">'Transacciones SDC'!F53</f>
        <v>23.7448001083333</v>
      </c>
      <c r="D70" s="36" t="n">
        <f aca="false">IF(AND(ISNUMBER(B70),ISNUMBER(C70)),B70-C70,"n/a")</f>
        <v>0</v>
      </c>
      <c r="E70" s="0" t="n">
        <v>1E-009</v>
      </c>
      <c r="G70" s="0" t="str">
        <f aca="false">IF(ISNUMBER(D70),IF(ABS(D70)&lt;=E70,"PASS","FAIL"),"FAIL")</f>
        <v>PASS</v>
      </c>
      <c r="H70" s="36" t="s">
        <v>1454</v>
      </c>
    </row>
    <row r="71" customFormat="false" ht="14.25" hidden="false" customHeight="false" outlineLevel="0" collapsed="false">
      <c r="A71" s="0" t="s">
        <v>1455</v>
      </c>
      <c r="B71" s="121" t="n">
        <f aca="false">'Proyección Final Soriana'!D277</f>
        <v>38.3400783109781</v>
      </c>
      <c r="C71" s="274" t="n">
        <f aca="false">'Proyección Final Soriana'!B265</f>
        <v>38.3400783109781</v>
      </c>
      <c r="D71" s="36" t="n">
        <f aca="false">IF(AND(ISNUMBER(B71),ISNUMBER(C71)),B71-C71,"n/a")</f>
        <v>0</v>
      </c>
      <c r="E71" s="0" t="n">
        <v>1E-006</v>
      </c>
      <c r="G71" s="0" t="str">
        <f aca="false">IF(ISNUMBER(D71),IF(ABS(D71)&lt;=E71,"PASS","FAIL"),"FAIL")</f>
        <v>PASS</v>
      </c>
      <c r="H71" s="36" t="s">
        <v>1456</v>
      </c>
    </row>
    <row r="73" customFormat="false" ht="14.25" hidden="false" customHeight="false" outlineLevel="0" collapsed="false">
      <c r="A73" s="0" t="s">
        <v>1457</v>
      </c>
      <c r="B73" s="275" t="n">
        <f aca="false">Multiplos!C60</f>
        <v>7.04285714285714</v>
      </c>
      <c r="C73" s="0" t="n">
        <v>8.3</v>
      </c>
      <c r="D73" s="36" t="n">
        <f aca="false">B73/C73-1</f>
        <v>-0.151462994836489</v>
      </c>
      <c r="G73" s="0" t="str">
        <f aca="false">IF(ABS(D73)&lt;=0.25,"RAZONABLE","REVISAR")</f>
        <v>RAZONABLE</v>
      </c>
      <c r="H73" s="36" t="s">
        <v>1458</v>
      </c>
    </row>
    <row r="74" customFormat="false" ht="14.25" hidden="false" customHeight="false" outlineLevel="0" collapsed="false">
      <c r="A74" s="119" t="s">
        <v>1459</v>
      </c>
      <c r="B74" s="0" t="str">
        <f aca="false">COUNTIF(G23:G71,"PASS")&amp;" PASS de "&amp;COUNTA(A23:A71)</f>
        <v>49 PASS de 49</v>
      </c>
      <c r="H74" s="36" t="s">
        <v>1460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70"/>
  </cols>
  <sheetData>
    <row r="1" customFormat="false" ht="17.25" hidden="false" customHeight="true" outlineLevel="0" collapsed="false">
      <c r="A1" s="122" t="s">
        <v>1461</v>
      </c>
    </row>
    <row r="2" customFormat="false" ht="14.25" hidden="false" customHeight="false" outlineLevel="0" collapsed="false">
      <c r="A2" s="123" t="s">
        <v>1462</v>
      </c>
    </row>
    <row r="3" customFormat="false" ht="14.25" hidden="false" customHeight="false" outlineLevel="0" collapsed="false">
      <c r="A3" s="123" t="s">
        <v>1326</v>
      </c>
    </row>
    <row r="5" customFormat="false" ht="27" hidden="false" customHeight="true" outlineLevel="0" collapsed="false">
      <c r="A5" s="129" t="s">
        <v>1463</v>
      </c>
      <c r="B5" s="129" t="s">
        <v>1464</v>
      </c>
      <c r="C5" s="129" t="s">
        <v>78</v>
      </c>
      <c r="D5" s="129" t="s">
        <v>60</v>
      </c>
      <c r="E5" s="129" t="s">
        <v>1465</v>
      </c>
      <c r="F5" s="129" t="s">
        <v>868</v>
      </c>
      <c r="G5" s="129" t="s">
        <v>722</v>
      </c>
    </row>
    <row r="6" customFormat="false" ht="28.5" hidden="false" customHeight="true" outlineLevel="0" collapsed="false">
      <c r="A6" s="132" t="s">
        <v>1466</v>
      </c>
      <c r="B6" s="132" t="s">
        <v>1467</v>
      </c>
      <c r="C6" s="132" t="s">
        <v>1468</v>
      </c>
      <c r="D6" s="132" t="s">
        <v>1268</v>
      </c>
      <c r="E6" s="132" t="s">
        <v>1469</v>
      </c>
      <c r="F6" s="132" t="s">
        <v>1470</v>
      </c>
      <c r="G6" s="132" t="s">
        <v>1471</v>
      </c>
    </row>
    <row r="7" customFormat="false" ht="14.25" hidden="false" customHeight="false" outlineLevel="0" collapsed="false">
      <c r="A7" s="132" t="s">
        <v>1472</v>
      </c>
      <c r="B7" s="132" t="s">
        <v>1473</v>
      </c>
      <c r="C7" s="132" t="s">
        <v>1474</v>
      </c>
      <c r="D7" s="132" t="s">
        <v>1268</v>
      </c>
      <c r="E7" s="132" t="s">
        <v>1469</v>
      </c>
      <c r="F7" s="132" t="s">
        <v>661</v>
      </c>
      <c r="G7" s="132" t="s">
        <v>1475</v>
      </c>
    </row>
    <row r="8" customFormat="false" ht="28.5" hidden="false" customHeight="true" outlineLevel="0" collapsed="false">
      <c r="A8" s="132" t="s">
        <v>1476</v>
      </c>
      <c r="B8" s="132" t="s">
        <v>1477</v>
      </c>
      <c r="C8" s="132" t="s">
        <v>1478</v>
      </c>
      <c r="D8" s="132" t="s">
        <v>1268</v>
      </c>
      <c r="E8" s="132" t="s">
        <v>1469</v>
      </c>
      <c r="F8" s="132" t="s">
        <v>1479</v>
      </c>
      <c r="G8" s="132" t="s">
        <v>1480</v>
      </c>
    </row>
    <row r="9" customFormat="false" ht="28.5" hidden="false" customHeight="true" outlineLevel="0" collapsed="false">
      <c r="A9" s="132" t="s">
        <v>1481</v>
      </c>
      <c r="B9" s="132" t="s">
        <v>1482</v>
      </c>
      <c r="C9" s="132" t="s">
        <v>1483</v>
      </c>
      <c r="D9" s="132" t="s">
        <v>587</v>
      </c>
      <c r="E9" s="132" t="s">
        <v>1469</v>
      </c>
      <c r="F9" s="132" t="s">
        <v>1479</v>
      </c>
      <c r="G9" s="132" t="s">
        <v>1484</v>
      </c>
    </row>
    <row r="10" customFormat="false" ht="28.5" hidden="false" customHeight="true" outlineLevel="0" collapsed="false">
      <c r="A10" s="132" t="s">
        <v>1485</v>
      </c>
      <c r="B10" s="132" t="s">
        <v>1486</v>
      </c>
      <c r="C10" s="132" t="s">
        <v>1487</v>
      </c>
      <c r="D10" s="132" t="s">
        <v>1488</v>
      </c>
      <c r="E10" s="132" t="s">
        <v>1469</v>
      </c>
      <c r="F10" s="132" t="s">
        <v>1489</v>
      </c>
      <c r="G10" s="132" t="s">
        <v>1490</v>
      </c>
    </row>
    <row r="11" customFormat="false" ht="72" hidden="false" customHeight="true" outlineLevel="0" collapsed="false">
      <c r="A11" s="132" t="s">
        <v>1491</v>
      </c>
      <c r="B11" s="132" t="s">
        <v>1492</v>
      </c>
      <c r="C11" s="276" t="n">
        <f aca="false">'Beta y Kd'!H8</f>
        <v>0.170520815748403</v>
      </c>
      <c r="D11" s="132" t="s">
        <v>1493</v>
      </c>
      <c r="E11" s="132" t="s">
        <v>1494</v>
      </c>
      <c r="F11" s="132" t="s">
        <v>661</v>
      </c>
      <c r="G11" s="132" t="s">
        <v>1495</v>
      </c>
    </row>
    <row r="12" customFormat="false" ht="14.25" hidden="false" customHeight="false" outlineLevel="0" collapsed="false">
      <c r="A12" s="132" t="s">
        <v>1496</v>
      </c>
      <c r="B12" s="132" t="s">
        <v>1497</v>
      </c>
      <c r="C12" s="132" t="s">
        <v>1498</v>
      </c>
      <c r="D12" s="132" t="s">
        <v>587</v>
      </c>
      <c r="E12" s="132" t="s">
        <v>1494</v>
      </c>
      <c r="F12" s="132" t="s">
        <v>1489</v>
      </c>
      <c r="G12" s="132" t="s">
        <v>1499</v>
      </c>
    </row>
    <row r="13" customFormat="false" ht="42.75" hidden="false" customHeight="true" outlineLevel="0" collapsed="false">
      <c r="A13" s="132" t="s">
        <v>1500</v>
      </c>
      <c r="B13" s="132" t="s">
        <v>1501</v>
      </c>
      <c r="C13" s="132" t="s">
        <v>1502</v>
      </c>
      <c r="D13" s="132" t="s">
        <v>1488</v>
      </c>
      <c r="E13" s="132" t="s">
        <v>1503</v>
      </c>
      <c r="F13" s="132" t="s">
        <v>1479</v>
      </c>
      <c r="G13" s="132" t="s">
        <v>1504</v>
      </c>
    </row>
    <row r="14" customFormat="false" ht="57" hidden="false" customHeight="true" outlineLevel="0" collapsed="false">
      <c r="A14" s="132" t="s">
        <v>1505</v>
      </c>
      <c r="B14" s="132" t="s">
        <v>1506</v>
      </c>
      <c r="C14" s="132" t="s">
        <v>1507</v>
      </c>
      <c r="D14" s="277" t="s">
        <v>1242</v>
      </c>
      <c r="E14" s="132" t="s">
        <v>1469</v>
      </c>
      <c r="F14" s="132" t="s">
        <v>1470</v>
      </c>
      <c r="G14" s="132" t="s">
        <v>1508</v>
      </c>
    </row>
    <row r="15" customFormat="false" ht="57" hidden="false" customHeight="true" outlineLevel="0" collapsed="false">
      <c r="A15" s="132" t="s">
        <v>764</v>
      </c>
      <c r="B15" s="132" t="s">
        <v>1509</v>
      </c>
      <c r="C15" s="132" t="s">
        <v>1510</v>
      </c>
      <c r="D15" s="132" t="s">
        <v>1511</v>
      </c>
      <c r="E15" s="132" t="s">
        <v>1469</v>
      </c>
      <c r="F15" s="132" t="s">
        <v>1470</v>
      </c>
      <c r="G15" s="132" t="s">
        <v>1512</v>
      </c>
    </row>
    <row r="16" customFormat="false" ht="57" hidden="false" customHeight="true" outlineLevel="0" collapsed="false">
      <c r="A16" s="132" t="s">
        <v>1513</v>
      </c>
      <c r="B16" s="132" t="s">
        <v>1514</v>
      </c>
      <c r="C16" s="132" t="s">
        <v>1515</v>
      </c>
      <c r="D16" s="278" t="s">
        <v>1516</v>
      </c>
      <c r="E16" s="132" t="s">
        <v>1469</v>
      </c>
      <c r="F16" s="132" t="s">
        <v>1479</v>
      </c>
      <c r="G16" s="132" t="s">
        <v>1517</v>
      </c>
    </row>
    <row r="17" customFormat="false" ht="14.25" hidden="false" customHeight="false" outlineLevel="0" collapsed="false">
      <c r="A17" s="132" t="s">
        <v>1518</v>
      </c>
      <c r="B17" s="132" t="s">
        <v>975</v>
      </c>
      <c r="C17" s="132" t="s">
        <v>1519</v>
      </c>
      <c r="D17" s="132" t="s">
        <v>1248</v>
      </c>
      <c r="E17" s="132" t="s">
        <v>1494</v>
      </c>
      <c r="F17" s="132" t="s">
        <v>1470</v>
      </c>
      <c r="G17" s="132" t="s">
        <v>1520</v>
      </c>
    </row>
    <row r="18" customFormat="false" ht="14.25" hidden="false" customHeight="false" outlineLevel="0" collapsed="false">
      <c r="A18" s="132" t="s">
        <v>1521</v>
      </c>
      <c r="B18" s="132" t="s">
        <v>1522</v>
      </c>
      <c r="C18" s="132" t="s">
        <v>1523</v>
      </c>
      <c r="D18" s="132" t="s">
        <v>587</v>
      </c>
      <c r="E18" s="132" t="s">
        <v>1524</v>
      </c>
      <c r="F18" s="132" t="s">
        <v>1470</v>
      </c>
      <c r="G18" s="132" t="s">
        <v>1525</v>
      </c>
    </row>
    <row r="19" customFormat="false" ht="14.25" hidden="false" customHeight="false" outlineLevel="0" collapsed="false">
      <c r="A19" s="132" t="s">
        <v>1526</v>
      </c>
      <c r="B19" s="132" t="s">
        <v>1527</v>
      </c>
      <c r="C19" s="132" t="s">
        <v>1528</v>
      </c>
      <c r="D19" s="132" t="s">
        <v>1248</v>
      </c>
      <c r="E19" s="132" t="s">
        <v>1529</v>
      </c>
      <c r="F19" s="132" t="s">
        <v>1470</v>
      </c>
      <c r="G19" s="132" t="s">
        <v>1530</v>
      </c>
    </row>
    <row r="20" customFormat="false" ht="57" hidden="false" customHeight="true" outlineLevel="0" collapsed="false">
      <c r="A20" s="132" t="s">
        <v>1531</v>
      </c>
      <c r="B20" s="132" t="s">
        <v>1532</v>
      </c>
      <c r="C20" s="132" t="s">
        <v>1533</v>
      </c>
      <c r="D20" s="132" t="s">
        <v>587</v>
      </c>
      <c r="E20" s="132" t="s">
        <v>1503</v>
      </c>
      <c r="F20" s="132" t="s">
        <v>1479</v>
      </c>
      <c r="G20" s="132" t="s">
        <v>1534</v>
      </c>
    </row>
    <row r="21" customFormat="false" ht="14.25" hidden="false" customHeight="false" outlineLevel="0" collapsed="false">
      <c r="A21" s="248" t="s">
        <v>1535</v>
      </c>
      <c r="B21" s="248" t="s">
        <v>1536</v>
      </c>
      <c r="C21" s="248" t="s">
        <v>1537</v>
      </c>
      <c r="D21" s="248" t="s">
        <v>1253</v>
      </c>
      <c r="E21" s="248" t="s">
        <v>1538</v>
      </c>
      <c r="F21" s="248" t="s">
        <v>1470</v>
      </c>
      <c r="G21" s="248" t="s">
        <v>1539</v>
      </c>
    </row>
    <row r="22" customFormat="false" ht="14.25" hidden="false" customHeight="false" outlineLevel="0" collapsed="false">
      <c r="A22" s="248" t="s">
        <v>1540</v>
      </c>
      <c r="B22" s="248" t="s">
        <v>1541</v>
      </c>
      <c r="C22" s="248" t="s">
        <v>1542</v>
      </c>
      <c r="D22" s="248" t="s">
        <v>1253</v>
      </c>
      <c r="E22" s="248" t="s">
        <v>1543</v>
      </c>
      <c r="F22" s="248" t="s">
        <v>1489</v>
      </c>
      <c r="G22" s="248" t="s">
        <v>1544</v>
      </c>
    </row>
    <row r="23" customFormat="false" ht="30" hidden="false" customHeight="true" outlineLevel="0" collapsed="false">
      <c r="A23" s="279" t="s">
        <v>1545</v>
      </c>
      <c r="B23" s="279"/>
      <c r="C23" s="279"/>
      <c r="D23" s="279"/>
      <c r="E23" s="279"/>
      <c r="F23" s="279"/>
      <c r="G23" s="279"/>
    </row>
    <row r="24" customFormat="false" ht="30" hidden="false" customHeight="true" outlineLevel="0" collapsed="false">
      <c r="A24" s="280"/>
      <c r="B24" s="280"/>
      <c r="C24" s="280"/>
      <c r="D24" s="280"/>
      <c r="E24" s="280"/>
      <c r="F24" s="280"/>
      <c r="G24" s="280"/>
    </row>
    <row r="25" customFormat="false" ht="30" hidden="false" customHeight="true" outlineLevel="0" collapsed="false">
      <c r="A25" s="281" t="s">
        <v>1546</v>
      </c>
      <c r="B25" s="281"/>
      <c r="C25" s="281"/>
      <c r="D25" s="281"/>
      <c r="E25" s="281"/>
      <c r="F25" s="281"/>
      <c r="G25" s="281"/>
    </row>
    <row r="26" customFormat="false" ht="30" hidden="false" customHeight="true" outlineLevel="0" collapsed="false">
      <c r="A26" s="282" t="s">
        <v>1547</v>
      </c>
      <c r="B26" s="282"/>
      <c r="C26" s="282"/>
      <c r="D26" s="282"/>
      <c r="E26" s="282"/>
      <c r="F26" s="282"/>
      <c r="G26" s="282"/>
    </row>
    <row r="27" customFormat="false" ht="82.05" hidden="false" customHeight="false" outlineLevel="0" collapsed="false">
      <c r="A27" s="132" t="s">
        <v>1548</v>
      </c>
    </row>
    <row r="28" customFormat="false" ht="82.05" hidden="false" customHeight="false" outlineLevel="0" collapsed="false">
      <c r="A28" s="132" t="s">
        <v>1549</v>
      </c>
    </row>
    <row r="29" customFormat="false" ht="55.2" hidden="false" customHeight="false" outlineLevel="0" collapsed="false">
      <c r="A29" s="132" t="s">
        <v>1550</v>
      </c>
    </row>
    <row r="30" customFormat="false" ht="14.25" hidden="false" customHeight="false" outlineLevel="0" collapsed="false">
      <c r="A30" s="0" t="str">
        <f aca="false">"Margen EBIT 2026E ("&amp;TEXT('Proyección Final Soriana'!C41,"0.00%")&amp;") vs. margen real 1S26 ("&amp;TEXT((Datos!E9+Datos!F9)/(Datos!E6+Datos!F6),"0.00%")&amp;") y FY2025 ("&amp;TEXT(Datos!G9/Datos!G6,"0.00%")&amp;"): la mejora proyectada ya se observa en el 1S26 (austeridad y cierres de tiendas); el margen se mantiene estable hacia 2030."</f>
        <v>Margen EBIT 2026E (4.39%) vs. margen real 1S26 (4.38%) y FY2025 (4.25%): la mejora proyectada ya se observa en el 1S26 (austeridad y cierres de tiendas); el margen se mantiene estable hacia 2030.</v>
      </c>
    </row>
    <row r="31" customFormat="false" ht="14.25" hidden="false" customHeight="false" outlineLevel="0" collapsed="false">
      <c r="A31" s="0" t="str">
        <f aca="false">"Kd: el DCF usa "&amp;TEXT('Proyección Final Soriana'!B206,"0.0%")&amp;" (prospectivo; intereses 1S26 anualizados / deuda = "&amp;TEXT(WACC!B41,"0.0%")&amp;"). El "&amp;TEXT(WACC!B31,"0.0%")&amp;" de la hoja WACC es histórico FY2025 (tasas más altas de 2025). Conciliación en WACC!A35:B42."</f>
        <v>Kd: el DCF usa 10.0% (prospectivo; intereses 1S26 anualizados / deuda = 9.9%). El 13.0% de la hoja WACC es histórico FY2025 (tasas más altas de 2025). Conciliación en WACC!A35:B42.</v>
      </c>
    </row>
  </sheetData>
  <mergeCells count="4">
    <mergeCell ref="A23:G23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40"/>
    <col collapsed="false" customWidth="true" hidden="false" outlineLevel="0" max="6" min="6" style="0" width="5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243" t="s">
        <v>1551</v>
      </c>
    </row>
    <row r="2" customFormat="false" ht="15" hidden="false" customHeight="false" outlineLevel="0" collapsed="false">
      <c r="A2" s="244" t="s">
        <v>1552</v>
      </c>
    </row>
    <row r="4" customFormat="false" ht="15" hidden="false" customHeight="false" outlineLevel="0" collapsed="false">
      <c r="A4" s="249" t="s">
        <v>359</v>
      </c>
      <c r="B4" s="249" t="s">
        <v>1553</v>
      </c>
      <c r="C4" s="249" t="s">
        <v>868</v>
      </c>
      <c r="D4" s="249" t="s">
        <v>1554</v>
      </c>
      <c r="E4" s="249" t="s">
        <v>1555</v>
      </c>
      <c r="F4" s="249" t="s">
        <v>1556</v>
      </c>
      <c r="G4" s="249" t="s">
        <v>1557</v>
      </c>
    </row>
    <row r="5" customFormat="false" ht="28.35" hidden="false" customHeight="false" outlineLevel="0" collapsed="false">
      <c r="A5" s="0" t="n">
        <v>1</v>
      </c>
      <c r="B5" s="132" t="s">
        <v>1536</v>
      </c>
      <c r="C5" s="132" t="s">
        <v>1558</v>
      </c>
      <c r="D5" s="132" t="s">
        <v>1559</v>
      </c>
      <c r="E5" s="132" t="s">
        <v>1560</v>
      </c>
      <c r="F5" s="132" t="s">
        <v>1561</v>
      </c>
      <c r="G5" s="132" t="s">
        <v>1562</v>
      </c>
    </row>
    <row r="6" customFormat="false" ht="41.75" hidden="false" customHeight="false" outlineLevel="0" collapsed="false">
      <c r="A6" s="0" t="n">
        <v>2</v>
      </c>
      <c r="B6" s="132" t="s">
        <v>1536</v>
      </c>
      <c r="C6" s="132" t="s">
        <v>46</v>
      </c>
      <c r="D6" s="132" t="s">
        <v>1563</v>
      </c>
      <c r="E6" s="132" t="s">
        <v>1564</v>
      </c>
      <c r="F6" s="132" t="s">
        <v>1565</v>
      </c>
      <c r="G6" s="132" t="s">
        <v>1566</v>
      </c>
    </row>
    <row r="7" customFormat="false" ht="55.2" hidden="false" customHeight="false" outlineLevel="0" collapsed="false">
      <c r="A7" s="0" t="n">
        <v>3</v>
      </c>
      <c r="B7" s="132" t="s">
        <v>1536</v>
      </c>
      <c r="C7" s="132" t="s">
        <v>1567</v>
      </c>
      <c r="D7" s="132" t="s">
        <v>1568</v>
      </c>
      <c r="E7" s="132" t="s">
        <v>1569</v>
      </c>
      <c r="F7" s="132" t="s">
        <v>1570</v>
      </c>
      <c r="G7" s="132" t="s">
        <v>1571</v>
      </c>
    </row>
    <row r="8" customFormat="false" ht="28.35" hidden="false" customHeight="false" outlineLevel="0" collapsed="false">
      <c r="A8" s="0" t="n">
        <v>4</v>
      </c>
      <c r="B8" s="132" t="s">
        <v>1536</v>
      </c>
      <c r="C8" s="132" t="s">
        <v>1572</v>
      </c>
      <c r="D8" s="132" t="s">
        <v>1573</v>
      </c>
      <c r="E8" s="132" t="s">
        <v>1574</v>
      </c>
      <c r="F8" s="132" t="s">
        <v>1575</v>
      </c>
      <c r="G8" s="132" t="s">
        <v>1576</v>
      </c>
    </row>
    <row r="9" customFormat="false" ht="41.75" hidden="false" customHeight="false" outlineLevel="0" collapsed="false">
      <c r="A9" s="0" t="n">
        <v>5</v>
      </c>
      <c r="B9" s="132" t="s">
        <v>1536</v>
      </c>
      <c r="C9" s="132" t="s">
        <v>1577</v>
      </c>
      <c r="D9" s="132" t="s">
        <v>1578</v>
      </c>
      <c r="E9" s="132" t="s">
        <v>1579</v>
      </c>
      <c r="F9" s="132" t="s">
        <v>1580</v>
      </c>
      <c r="G9" s="132" t="s">
        <v>1581</v>
      </c>
    </row>
    <row r="10" customFormat="false" ht="15" hidden="false" customHeight="false" outlineLevel="0" collapsed="false">
      <c r="A10" s="0" t="n">
        <v>6</v>
      </c>
      <c r="B10" s="132" t="s">
        <v>1536</v>
      </c>
      <c r="C10" s="132" t="s">
        <v>1572</v>
      </c>
      <c r="D10" s="132" t="s">
        <v>1582</v>
      </c>
      <c r="E10" s="132" t="s">
        <v>1583</v>
      </c>
      <c r="F10" s="132" t="s">
        <v>1584</v>
      </c>
      <c r="G10" s="132" t="s">
        <v>1585</v>
      </c>
    </row>
    <row r="11" customFormat="false" ht="28.35" hidden="false" customHeight="false" outlineLevel="0" collapsed="false">
      <c r="A11" s="0" t="n">
        <v>7</v>
      </c>
      <c r="B11" s="132" t="s">
        <v>1536</v>
      </c>
      <c r="C11" s="132" t="s">
        <v>1586</v>
      </c>
      <c r="D11" s="132" t="s">
        <v>1587</v>
      </c>
      <c r="E11" s="132" t="s">
        <v>1588</v>
      </c>
      <c r="F11" s="132" t="s">
        <v>1589</v>
      </c>
      <c r="G11" s="132" t="s">
        <v>1590</v>
      </c>
    </row>
    <row r="12" customFormat="false" ht="28.35" hidden="false" customHeight="false" outlineLevel="0" collapsed="false">
      <c r="A12" s="0" t="n">
        <v>8</v>
      </c>
      <c r="B12" s="132" t="s">
        <v>1591</v>
      </c>
      <c r="C12" s="132" t="s">
        <v>1592</v>
      </c>
      <c r="D12" s="132" t="s">
        <v>1593</v>
      </c>
      <c r="E12" s="132" t="s">
        <v>1594</v>
      </c>
      <c r="F12" s="132" t="s">
        <v>1595</v>
      </c>
      <c r="G12" s="132" t="s">
        <v>1596</v>
      </c>
    </row>
    <row r="13" customFormat="false" ht="28.35" hidden="false" customHeight="false" outlineLevel="0" collapsed="false">
      <c r="A13" s="0" t="n">
        <v>9</v>
      </c>
      <c r="B13" s="132" t="s">
        <v>1597</v>
      </c>
      <c r="C13" s="132" t="s">
        <v>1598</v>
      </c>
      <c r="D13" s="132" t="s">
        <v>1599</v>
      </c>
      <c r="E13" s="132" t="s">
        <v>1600</v>
      </c>
      <c r="F13" s="132" t="s">
        <v>1601</v>
      </c>
      <c r="G13" s="132" t="s">
        <v>1602</v>
      </c>
    </row>
    <row r="14" customFormat="false" ht="28.35" hidden="false" customHeight="false" outlineLevel="0" collapsed="false">
      <c r="A14" s="0" t="n">
        <v>10</v>
      </c>
      <c r="B14" s="132" t="s">
        <v>1603</v>
      </c>
      <c r="C14" s="132" t="s">
        <v>1603</v>
      </c>
      <c r="D14" s="132" t="s">
        <v>1604</v>
      </c>
      <c r="E14" s="132" t="s">
        <v>1605</v>
      </c>
      <c r="F14" s="132" t="s">
        <v>1606</v>
      </c>
      <c r="G14" s="132" t="s">
        <v>1607</v>
      </c>
    </row>
    <row r="15" customFormat="false" ht="41.75" hidden="false" customHeight="false" outlineLevel="0" collapsed="false">
      <c r="A15" s="0" t="n">
        <v>11</v>
      </c>
      <c r="B15" s="132" t="s">
        <v>374</v>
      </c>
      <c r="C15" s="132" t="s">
        <v>1598</v>
      </c>
      <c r="D15" s="132" t="s">
        <v>1608</v>
      </c>
      <c r="E15" s="132" t="s">
        <v>1609</v>
      </c>
      <c r="F15" s="132" t="s">
        <v>1610</v>
      </c>
      <c r="G15" s="132" t="s">
        <v>1611</v>
      </c>
    </row>
    <row r="16" customFormat="false" ht="41.75" hidden="false" customHeight="false" outlineLevel="0" collapsed="false">
      <c r="A16" s="0" t="n">
        <v>12</v>
      </c>
      <c r="B16" s="132" t="s">
        <v>1612</v>
      </c>
      <c r="C16" s="132" t="s">
        <v>1489</v>
      </c>
      <c r="D16" s="132" t="s">
        <v>1613</v>
      </c>
      <c r="E16" s="132" t="s">
        <v>1614</v>
      </c>
      <c r="F16" s="132" t="s">
        <v>1615</v>
      </c>
      <c r="G16" s="132" t="s">
        <v>587</v>
      </c>
    </row>
    <row r="17" customFormat="false" ht="95.5" hidden="false" customHeight="false" outlineLevel="0" collapsed="false">
      <c r="A17" s="0" t="n">
        <v>13</v>
      </c>
      <c r="B17" s="132" t="s">
        <v>1616</v>
      </c>
      <c r="C17" s="132" t="s">
        <v>1617</v>
      </c>
      <c r="D17" s="132" t="s">
        <v>1618</v>
      </c>
      <c r="E17" s="132" t="s">
        <v>1619</v>
      </c>
      <c r="F17" s="132" t="s">
        <v>1620</v>
      </c>
      <c r="G17" s="132" t="s">
        <v>1621</v>
      </c>
    </row>
    <row r="18" customFormat="false" ht="55.2" hidden="false" customHeight="false" outlineLevel="0" collapsed="false">
      <c r="A18" s="0" t="n">
        <v>14</v>
      </c>
      <c r="B18" s="132" t="s">
        <v>990</v>
      </c>
      <c r="C18" s="132" t="s">
        <v>1622</v>
      </c>
      <c r="D18" s="132" t="s">
        <v>1623</v>
      </c>
      <c r="E18" s="132" t="s">
        <v>587</v>
      </c>
      <c r="F18" s="132" t="s">
        <v>1624</v>
      </c>
      <c r="G18" s="132" t="s">
        <v>1625</v>
      </c>
    </row>
    <row r="19" customFormat="false" ht="55.2" hidden="false" customHeight="false" outlineLevel="0" collapsed="false">
      <c r="A19" s="0" t="n">
        <v>15</v>
      </c>
      <c r="B19" s="132" t="s">
        <v>1626</v>
      </c>
      <c r="C19" s="132" t="s">
        <v>1622</v>
      </c>
      <c r="D19" s="132" t="s">
        <v>1627</v>
      </c>
      <c r="E19" s="132" t="s">
        <v>1628</v>
      </c>
      <c r="F19" s="132" t="s">
        <v>1629</v>
      </c>
      <c r="G19" s="132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2026-10-08T15:53:48Z</dcterms:created>
  <dc:creator>openpyxl</dc:creator>
  <dc:description/>
  <dc:language>en-US</dc:language>
  <cp:lastModifiedBy>Adrian Fermin ⠀</cp:lastModifiedBy>
  <dcterms:modified xsi:type="dcterms:W3CDTF">2026-10-19T19:55:09Z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