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9.xml.rels" ContentType="application/vnd.openxmlformats-package.relationships+xml"/>
  <Override PartName="/xl/worksheets/_rels/sheet10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8"/>
  </bookViews>
  <sheets>
    <sheet name="Comparativo" sheetId="1" state="visible" r:id="rId3"/>
    <sheet name="Generales" sheetId="2" state="visible" r:id="rId4"/>
    <sheet name="Datos" sheetId="3" state="visible" r:id="rId5"/>
    <sheet name="Razones" sheetId="4" state="visible" r:id="rId6"/>
    <sheet name="WACC" sheetId="5" state="visible" r:id="rId7"/>
    <sheet name="Valuación" sheetId="6" state="visible" r:id="rId8"/>
    <sheet name="Proyección Soriana" sheetId="7" state="visible" r:id="rId9"/>
    <sheet name="MC Soriana" sheetId="8" state="visible" r:id="rId10"/>
    <sheet name="Variables Externas" sheetId="9" state="visible" r:id="rId11"/>
    <sheet name="Proyección Final Soriana" sheetId="10" state="visible" r:id="rId12"/>
    <sheet name="Inflación" sheetId="11" state="visible" r:id="rId13"/>
    <sheet name="Beta y Kd" sheetId="12" state="visible" r:id="rId14"/>
    <sheet name="Trading Comps" sheetId="13" state="visible" r:id="rId15"/>
    <sheet name="Precedent Transactions" sheetId="14" state="visible" r:id="rId16"/>
    <sheet name="Valuación Combinada" sheetId="15" state="visible" r:id="rId17"/>
    <sheet name="Validación" sheetId="16" state="visible" r:id="rId18"/>
    <sheet name="Fuentes" sheetId="17" state="visible" r:id="rId19"/>
  </sheets>
  <definedNames>
    <definedName function="false" hidden="false" name="VF_BETA_HISTORICA" vbProcedure="false">Inflación!$B$274</definedName>
    <definedName function="false" hidden="false" name="VF_BETA_U" vbProcedure="false">'Beta y Kd'!$B$28</definedName>
    <definedName function="false" hidden="false" name="VF_INF_APLICADA" vbProcedure="false">Inflación!$B$13:$F$13</definedName>
    <definedName function="false" hidden="false" name="VF_INF_MODELO_TRIM" vbProcedure="false">Inflación!$G$33</definedName>
    <definedName function="false" hidden="false" name="VF_INF_SELECTOR" vbProcedure="false">Inflación!$B$6</definedName>
    <definedName function="false" hidden="false" name="VF_PT_VALOR" vbProcedure="false">'Precedent Transactions'!$E$54</definedName>
    <definedName function="false" hidden="false" name="VF_TC_P25" vbProcedure="false">'Trading Comps'!$B$84</definedName>
    <definedName function="false" hidden="false" name="VF_TC_P75" vbProcedure="false">'Trading Comps'!$B$85</definedName>
    <definedName function="false" hidden="false" name="VF_TC_VALOR" vbProcedure="false">'Trading Comps'!$B$83</definedName>
    <definedName function="false" hidden="false" name="VF_VALIDACION_RESUMEN" vbProcedure="false">Validación!$B$63</definedName>
    <definedName function="false" hidden="false" name="VF_VC_VALOR" vbProcedure="false">'Valuación Combinada'!$B$11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9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D5" authorId="0">
      <text>
        <r>
          <rPr>
            <sz val="10"/>
            <rFont val="Arial"/>
            <family val="2"/>
          </rPr>
          <t xml:space="preserve">syax ⠀:
Source: El Financiero, 26-ago-2026, https://www.elfinanciero.com.mx/economia/2026/08/26/banxico-le-apuesta-a-que-pib-de-mexico-crecera-15-en-2026/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44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37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syax ⠀:
Source: Mexconomy (comunicado Banxico 24-sep-2026), https://www.mexconomy.com/2026/09/banxico-mantiene-tasa-en-650-con.html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44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22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syax ⠀:
Source: Banco de México, Comunicado de prensa 24-sep-2026, https://www.banxico.org.mx/canales/%7B64E93EB1-E9FF-891E-60C6-9BBC812A50C6%7D.pdf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44</xdr:colOff>
                <xdr:row>0</xdr:row>
                <xdr:rowOff>2</xdr:rowOff>
              </xdr:from>
              <xdr:to>
                <xdr:col>2</xdr:col>
                <xdr:colOff>23</xdr:colOff>
                <xdr:row>5</xdr:row>
                <xdr:rowOff>3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syax ⠀:
Source: El Mañana (dato Banxico), 30-sep-2026, https://elmanana.com.mx/nacional/2026/9/30/precio-del-dolar-al-cierre-hoy-30-de-septiembre-de-2026-en-mexico-181626.html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44</xdr:colOff>
                <xdr:row>0</xdr:row>
                <xdr:rowOff>2</xdr:rowOff>
              </xdr:from>
              <xdr:to>
                <xdr:col>2</xdr:col>
                <xdr:colOff>23</xdr:colOff>
                <xdr:row>5</xdr:row>
                <xdr:rowOff>3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syax ⠀:
Source: Alto Nivel (dato Banxico), https://www.altonivel.com.mx/remesas-a-mexico-suben-1-4-en-primer-trimestre-de-2026-tras-un-ano-de-descensos/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44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37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syax ⠀:
Source: El Universal, dic-2025, https://www.eluniversal.com.mx/nacion/sheinbaum-anuncia-aumento-al-salario-minimo-para-2026-destaca-acuerdo-de-jornada-laboral-de-40-horas/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44</xdr:colOff>
                <xdr:row>0</xdr:row>
                <xdr:rowOff>2</xdr:rowOff>
              </xdr:from>
              <xdr:to>
                <xdr:col>2</xdr:col>
                <xdr:colOff>23</xdr:colOff>
                <xdr:row>5</xdr:row>
                <xdr:rowOff>3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syax ⠀:
Source: ABC7 / AP, 3-dic-2025, https://abc7.com/post/mexico-aumentara-13-por-ciento-el-salario-minimo-en-2026-reducira-jornada-laboral-semanal/18255647/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44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52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syax ⠀:
Source: Forbes México (minuta Banxico), https://forbes.com.mx/alza-de-impuestos-y-aranceles-a-productos-chinos-impactaran-transitoriamente-a-la-inflacion-dice-banxico/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44</xdr:colOff>
                <xdr:row>0</xdr:row>
                <xdr:rowOff>2</xdr:rowOff>
              </xdr:from>
              <xdr:to>
                <xdr:col>2</xdr:col>
                <xdr:colOff>23</xdr:colOff>
                <xdr:row>5</xdr:row>
                <xdr:rowOff>3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syax ⠀:
Source: TV Azteca, https://www.tvazteca.com/aztecanoticias/los-26-nuevos-impuestos-para-2026-suben-refrescos-sueros-orales-y-entradas-a-museos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44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37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syax ⠀:
Source: El Diario / Agencia Reforma, 26-ago-2026, https://diario.mx/economia/2026/aug/26/sube-banxico-a-15-pronostico-de-pib-para-2026-1135214.html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44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52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syax ⠀:
Source: La Jornada, 2-ago-2026, https://www.jornada.com.mx/noticia/2026/08/02/economia/el-tmec-ventaja-de-mexico-frente-a-la-guerra-de-aranceles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44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37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syax ⠀:
Source: Infobae, 30-sep-2026, https://www.infobae.com/mexico/2026/09/30/dolar-hoy-en-mexico-cotizacion-de-apertura-del-30-de-septiembre/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44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37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syax ⠀:
Source: ANTAD, Ventas de Agosto 2026, https://antad.net/cadenas-asociadas-a-la-antad-ventas-de-agosto-2026/ ; dato de autoservicio: Retailers, https://retailers.mx/antad-crece-1-7-a-tiendas-iguales-en-agosto/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44</xdr:colOff>
                <xdr:row>0</xdr:row>
                <xdr:rowOff>2</xdr:rowOff>
              </xdr:from>
              <xdr:to>
                <xdr:col>2</xdr:col>
                <xdr:colOff>23</xdr:colOff>
                <xdr:row>5</xdr:row>
                <xdr:rowOff>33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syax ⠀:
Source: La Razón, 26-jun-2026, https://www.razon.com.mx/negocios/2026/06/26/tiendas-3b-avanza-en-el-mercado-arrebata-participacion-a-bodega-aurrera/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44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37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Arial"/>
            <family val="2"/>
          </rPr>
          <t xml:space="preserve">syax ⠀:
Source: ANTAD informa, https://antad.net/category/antad-informa/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44</xdr:colOff>
                <xdr:row>0</xdr:row>
                <xdr:rowOff>2</xdr:rowOff>
              </xdr:from>
              <xdr:to>
                <xdr:col>2</xdr:col>
                <xdr:colOff>23</xdr:colOff>
                <xdr:row>3</xdr:row>
                <xdr:rowOff>19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Arial"/>
            <family val="2"/>
          </rPr>
          <t xml:space="preserve">syax ⠀:
Source: El Financiero, 14-ago-2026, https://www.elfinanciero.com.mx/empresas/2026/08/14/rentas-de-locales-comerciales-se-disparan-11-por-ciento-en-el-primer-semestre/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44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52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Arial"/>
            <family val="2"/>
          </rPr>
          <t xml:space="preserve">syax ⠀:
Source: El Financiero, 17-sep-2026, https://www.elfinanciero.com.mx/opinion/claudia-olguin/2026/09/17/centros-comerciales-mantienen-selectividad-en-la-expansion/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44</xdr:colOff>
                <xdr:row>0</xdr:row>
                <xdr:rowOff>2</xdr:rowOff>
              </xdr:from>
              <xdr:to>
                <xdr:col>2</xdr:col>
                <xdr:colOff>23</xdr:colOff>
                <xdr:row>4</xdr:row>
                <xdr:rowOff>52</xdr:rowOff>
              </xdr:to>
            </anchor>
          </commentPr>
        </mc:Choice>
        <mc:Fallback/>
      </mc:AlternateContent>
    </comment>
  </commentList>
</comments>
</file>

<file path=xl/comments10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125" authorId="0">
      <text>
        <r>
          <rPr>
            <sz val="10"/>
            <rFont val="Arial"/>
            <family val="2"/>
          </rPr>
  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Supuesto del analista. Base: Moody's Baa3 (https://www.elfinanciero.com.mx/economia/2026/05/22/pemex-se-salva-de-ser-reprobado-por-moodys-su-calificacion-queda-en-b1-con-perspectiva-estable/) y alza de la Fed sep-2026 (https://www.bankinter.com/blog/economia/fed-tipos-interes-referencia).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-230</xdr:colOff>
                <xdr:row>27</xdr:row>
                <xdr:rowOff>7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Fuente: Encuesta Citi de Expectativas, 22-sep-2026 (inflación cierre 2026 3.93%, 2027 3.83%, prom. 2028–32 3.75%), https://www.imagenradio.com.mx/finanzas/banxico-mantendra-congelada-tasa-6-50-que-resta-2026-encuesta-citi ; https://www.elfinanciero.com.mx/economia/2026/09/04/racha-positiva-para-el-peso-mexicano-en-2026-analistas-de-encuesta-citi/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-230</xdr:colOff>
                <xdr:row>28</xdr:row>
                <xdr:rowOff>17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Fuente: Encuesta Citi, 22-sep-2026 (PIB 2026 1.4%, 2027 1.8%), https://revistafortuna.com.mx/2026/09/22/eleva-sondeo-de-citi-mexico-estimado-de-pib-de-2026-de-1-3-a-1-4-vendria-acompanado-de-una-menor-inflacion/ . 2028–2030 = supuesto del analista.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-230</xdr:colOff>
                <xdr:row>25</xdr:row>
                <xdr:rowOff>2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Supuesto del analista basado en ANTAD ago-2026 (autoservicio −0.7% tiendas iguales), https://retailers.mx/antad-crece-1-7-a-tiendas-iguales-en-agosto/ y Walmex 2T26 (ANTAD autoservicio ~0%), https://files.walmex.mx/upload/files/2026/ES/Trimestral/2T26/WALMEX%202T26%20BMV.pdf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-230</xdr:colOff>
                <xdr:row>26</xdr:row>
                <xdr:rowOff>12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Supuesto del analista basado en VMT 2T26: Soriana −4.5% (https://expansion.mx/empresas/2026/07/31/soriana-utilidad-crece-ventas-caen-segundo-trimestre-2026), Walmex +1.8%, La Comer +2.9%, Chedraui +1.3% (https://elceo.com/negocios/el-consumo-se-enfria-y-pega-a-los-supermercados-walmart-chedraui-y-la-comer-desaceleran-ventas/)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-230</xdr:colOff>
                <xdr:row>28</xdr:row>
                <xdr:rowOff>17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Supuesto basado en 812 vs 820 tiendas y plan de 20 cierres / 60 reducciones, https://www.informador.mx/economia/soriana-transformara-60-tiendas-en-mexico-y-cerrara-otras-20-durante-2026-asi-cambiara-su-negocio-20260826-0109.html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-230</xdr:colOff>
                <xdr:row>23</xdr:row>
                <xdr:rowOff>12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Arial"/>
            <family val="2"/>
          </rPr>
  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Supuesto basado en gasto operativo −1.2% 2T26 y margen EBITDA 1S26 6.9% (+20 pb), https://expansion.mx/empresas/2026/07/31/soriana-utilidad-crece-ventas-caen-segundo-trimestre-2026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-230</xdr:colOff>
                <xdr:row>22</xdr:row>
                <xdr:rowOff>3</xdr:rowOff>
              </xdr:to>
            </anchor>
          </commentPr>
        </mc:Choice>
        <mc:Fallback/>
      </mc:AlternateContent>
    </comment>
    <comment ref="C33" authorId="0">
      <text>
        <r>
          <rPr>
            <sz val="10"/>
            <rFont val="Arial"/>
            <family val="2"/>
          </rPr>
  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Supuesto basado en salario mínimo +13% (2026) y jornada de 40 h, https://www.eluniversal.com.mx/nacion/sheinbaum-anuncia-aumento-al-salario-minimo-para-2026-destaca-acuerdo-de-jornada-laboral-de-40-horas/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-230</xdr:colOff>
                <xdr:row>23</xdr:row>
                <xdr:rowOff>12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Arial"/>
            <family val="2"/>
          </rPr>
  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Supuesto basado en canasta PACIC ago-2026 (Soriana $820.85 vs Bodega Aurrera $781.23), https://rotativo.com.mx/precio-canasta-pacic-supermercados-mexico-2026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-230</xdr:colOff>
                <xdr:row>21</xdr:row>
                <xdr:rowOff>8</xdr:rowOff>
              </xdr:to>
            </anchor>
          </commentPr>
        </mc:Choice>
        <mc:Fallback/>
      </mc:AlternateContent>
    </comment>
    <comment ref="C35" authorId="0">
      <text>
        <r>
          <rPr>
            <sz val="10"/>
            <rFont val="Arial"/>
            <family val="2"/>
          </rPr>
  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Supuesto basado en TC 18.08 al 30-sep-2026, https://elmanana.com.mx/nacional/2026/9/30/precio-del-dolar-al-cierre-hoy-30-de-septiembre-de-2026-en-mexico-181626.html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-230</xdr:colOff>
                <xdr:row>22</xdr:row>
                <xdr:rowOff>3</xdr:rowOff>
              </xdr:to>
            </anchor>
          </commentPr>
        </mc:Choice>
        <mc:Fallback/>
      </mc:AlternateContent>
    </comment>
    <comment ref="C37" authorId="0">
      <text>
        <r>
          <rPr>
            <sz val="10"/>
            <rFont val="Arial"/>
            <family val="2"/>
          </rPr>
  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Supuesto basado en rentas comerciales +11.09% 1S26, https://www.elfinanciero.com.mx/empresas/2026/08/14/rentas-de-locales-comerciales-se-disparan-11-por-ciento-en-el-primer-semestre/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-230</xdr:colOff>
                <xdr:row>22</xdr:row>
                <xdr:rowOff>3</xdr:rowOff>
              </xdr:to>
            </anchor>
          </commentPr>
        </mc:Choice>
        <mc:Fallback/>
      </mc:AlternateContent>
    </comment>
    <comment ref="C47" authorId="0">
      <text>
        <r>
          <rPr>
            <sz val="10"/>
            <rFont val="Arial"/>
            <family val="2"/>
          </rPr>
  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Fuente: guía de Soriana (~4,000 mdp en 2026), https://eltiempomx.com/noticia/2026/soriana-reestructura-operaciones-y-preve-cerrar-20-tiendas-este-ano.html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-230</xdr:colOff>
                <xdr:row>21</xdr:row>
                <xdr:rowOff>8</xdr:rowOff>
              </xdr:to>
            </anchor>
          </commentPr>
        </mc:Choice>
        <mc:Fallback/>
      </mc:AlternateContent>
    </comment>
    <comment ref="C56" authorId="0">
      <text>
        <r>
          <rPr>
            <sz val="10"/>
            <rFont val="Arial"/>
            <family val="2"/>
          </rPr>
  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Supuesto basado en plan de 20 cierres y 60 reducciones de piso, https://www.informador.mx/economia/soriana-transformara-60-tiendas-en-mexico-y-cerrara-otras-20-durante-2026-asi-cambiara-su-negocio-20260826-0109.html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-230</xdr:colOff>
                <xdr:row>23</xdr:row>
                <xdr:rowOff>12</xdr:rowOff>
              </xdr:to>
            </anchor>
          </commentPr>
        </mc:Choice>
        <mc:Fallback/>
      </mc:AlternateContent>
    </comment>
    <comment ref="C59" authorId="0">
      <text>
        <r>
          <rPr>
            <sz val="10"/>
            <rFont val="Arial"/>
            <family val="2"/>
          </rPr>
  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Fuente: Soriana 2T26 — margen bruto 24.4% vs 23.9%, costo de ventas −5.6%, https://www.merca20.com/soriana-cierra-tiendas-y-vende-menos-pero-su-utilidad-crece-46-8-analizamos-su-ultimo-reporte/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-230</xdr:colOff>
                <xdr:row>22</xdr:row>
                <xdr:rowOff>17</xdr:rowOff>
              </xdr:to>
            </anchor>
          </commentPr>
        </mc:Choice>
        <mc:Fallback/>
      </mc:AlternateContent>
    </comment>
    <comment ref="C61" authorId="0">
      <text>
        <r>
          <rPr>
            <sz val="10"/>
            <rFont val="Arial"/>
            <family val="2"/>
          </rPr>
  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Fuente: Encuesta Citi (tasa Banxico 6.50% a fin de 2026 y 2027), https://www.imagenradio.com.mx/finanzas/banxico-mantendra-congelada-tasa-6-50-que-resta-2026-encuesta-citi ; gastos financieros 1S26 de la hoja Datos.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-230</xdr:colOff>
                <xdr:row>23</xdr:row>
                <xdr:rowOff>12</xdr:rowOff>
              </xdr:to>
            </anchor>
          </commentPr>
        </mc:Choice>
        <mc:Fallback/>
      </mc:AlternateContent>
    </comment>
    <comment ref="D52" authorId="0">
      <text>
        <r>
          <rPr>
            <sz val="10"/>
            <rFont val="Arial"/>
            <family val="2"/>
          </rPr>
  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Supuesto basado en Paquete Económico 2027 (límite de deducciones PM &gt;50 mdp), https://www.pwc.com/mx/es/archivo/2026/paquete-economico-mx_2027.pdf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-230</xdr:colOff>
                <xdr:row>21</xdr:row>
                <xdr:rowOff>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<sst xmlns="http://schemas.openxmlformats.org/spreadsheetml/2006/main" count="2254" uniqueCount="1268">
  <si>
    <t xml:space="preserve">1. VALUACIÓN (DCF, base FY2025)</t>
  </si>
  <si>
    <t xml:space="preserve">Soriana</t>
  </si>
  <si>
    <t xml:space="preserve">Walmex</t>
  </si>
  <si>
    <t xml:space="preserve">Chedraui</t>
  </si>
  <si>
    <t xml:space="preserve">La Comer</t>
  </si>
  <si>
    <t xml:space="preserve">WACC</t>
  </si>
  <si>
    <t xml:space="preserve">Crecimiento perpetuo (g)</t>
  </si>
  <si>
    <t xml:space="preserve">FCF 2025A (flujo libre de efectivo)</t>
  </si>
  <si>
    <t xml:space="preserve">VPN de los FCF 2026E–2030E</t>
  </si>
  <si>
    <t xml:space="preserve">Valor terminal (TV) al 2030</t>
  </si>
  <si>
    <t xml:space="preserve">Valor presente del TV</t>
  </si>
  <si>
    <t xml:space="preserve">Enterprise Value (EV)</t>
  </si>
  <si>
    <t xml:space="preserve">Deuda total (bancaria/bursátil + arrendamientos)</t>
  </si>
  <si>
    <t xml:space="preserve">Efectivo y equivalentes</t>
  </si>
  <si>
    <t xml:space="preserve">Equity Value (valor para los accionistas)</t>
  </si>
  <si>
    <t xml:space="preserve">Valor intrínseco por acción (MXN)</t>
  </si>
  <si>
    <t xml:space="preserve">Precio actual en bolsa (MXN)</t>
  </si>
  <si>
    <t xml:space="preserve">Potencial de apreciación / (baja)</t>
  </si>
  <si>
    <t xml:space="preserve">Precio objetivo consenso de analistas (MXN)</t>
  </si>
  <si>
    <t xml:space="preserve">Recomendación consenso de analistas</t>
  </si>
  <si>
    <t xml:space="preserve">Venta (0 C / 1 M / 6 V)</t>
  </si>
  <si>
    <t xml:space="preserve">Neutral (5 C / 10 M / 3 V)</t>
  </si>
  <si>
    <t xml:space="preserve">Neutral (3 C / 12 M / 0 V)</t>
  </si>
  <si>
    <t xml:space="preserve">Compra (5 C / 4 M / 0 V)</t>
  </si>
  <si>
    <t xml:space="preserve">2. RAZONES FINANCIERAS – PROMEDIO DE LOS ÚLTIMOS 5 TRIMESTRES</t>
  </si>
  <si>
    <t xml:space="preserve">Circulante</t>
  </si>
  <si>
    <t xml:space="preserve">Prueba ácida</t>
  </si>
  <si>
    <t xml:space="preserve">Deuda / Activo total</t>
  </si>
  <si>
    <t xml:space="preserve">Capitalización a largo plazo</t>
  </si>
  <si>
    <t xml:space="preserve">Cobertura de intereses</t>
  </si>
  <si>
    <t xml:space="preserve">Rotación del inventario (trimestral)</t>
  </si>
  <si>
    <t xml:space="preserve">Rotación del inventario en días</t>
  </si>
  <si>
    <t xml:space="preserve">Rotación del activo total (trimestral)</t>
  </si>
  <si>
    <t xml:space="preserve">Margen bruto</t>
  </si>
  <si>
    <t xml:space="preserve">Margen neto</t>
  </si>
  <si>
    <t xml:space="preserve">ROA (trimestral)</t>
  </si>
  <si>
    <t xml:space="preserve">ROE (trimestral)</t>
  </si>
  <si>
    <t xml:space="preserve">ROI (trimestral)</t>
  </si>
  <si>
    <t xml:space="preserve">3. RAZONES FINANCIERAS ANUALES FY2025 (incluye Chedraui)</t>
  </si>
  <si>
    <t xml:space="preserve">Rotación del inventario (anual)</t>
  </si>
  <si>
    <t xml:space="preserve">Rotación del inventario en días (365)</t>
  </si>
  <si>
    <t xml:space="preserve">Rotación del activo total (anual)</t>
  </si>
  <si>
    <t xml:space="preserve">ROA (anual)</t>
  </si>
  <si>
    <t xml:space="preserve">ROE (anual)</t>
  </si>
  <si>
    <t xml:space="preserve">ROI (anual)</t>
  </si>
  <si>
    <t xml:space="preserve">1. INFORMACIÓN GENERAL DE LA EMPRESA</t>
  </si>
  <si>
    <t xml:space="preserve">Dato</t>
  </si>
  <si>
    <t xml:space="preserve">Clave de cotización</t>
  </si>
  <si>
    <t xml:space="preserve">SORIANA B (BMV, cotiza desde 1987)</t>
  </si>
  <si>
    <t xml:space="preserve">Fundación</t>
  </si>
  <si>
    <t xml:space="preserve">1968, Torreón, Coahuila</t>
  </si>
  <si>
    <t xml:space="preserve">Sede corporativa</t>
  </si>
  <si>
    <t xml:space="preserve">Monterrey, Nuevo León</t>
  </si>
  <si>
    <t xml:space="preserve">Giro</t>
  </si>
  <si>
    <t xml:space="preserve">Tiendas de autoservicio y clubes de membresía (multiformato)</t>
  </si>
  <si>
    <t xml:space="preserve">Tiendas en operación (2T26)</t>
  </si>
  <si>
    <t xml:space="preserve">Colaboradores (jun-2026)</t>
  </si>
  <si>
    <t xml:space="preserve">Acciones en circulación (millones)</t>
  </si>
  <si>
    <t xml:space="preserve">Capitalización de mercado a precio actual (mdp)</t>
  </si>
  <si>
    <t xml:space="preserve">2. NOTICIAS Y ANÁLISIS RECIENTES</t>
  </si>
  <si>
    <t xml:space="preserve">Fecha</t>
  </si>
  <si>
    <t xml:space="preserve">Resultados 2T26: menos ventas, más utilidad</t>
  </si>
  <si>
    <t xml:space="preserve">31-jul-2026</t>
  </si>
  <si>
    <t xml:space="preserve">Cierre de 20 tiendas en 2026</t>
  </si>
  <si>
    <t xml:space="preserve">26-ago-2026</t>
  </si>
  <si>
    <t xml:space="preserve">Reducción de plantilla y automatización</t>
  </si>
  <si>
    <t xml:space="preserve">2-sep-2026</t>
  </si>
  <si>
    <t xml:space="preserve">Plan de inversión 2S26</t>
  </si>
  <si>
    <t xml:space="preserve">sep-2026</t>
  </si>
  <si>
    <t xml:space="preserve">Sector: Walmart, Soriana y Chedraui sufren por ingresos e inflación</t>
  </si>
  <si>
    <t xml:space="preserve">2026</t>
  </si>
  <si>
    <t xml:space="preserve">3. CALIFICACIÓN Y CONSENSO DE ANALISTAS</t>
  </si>
  <si>
    <t xml:space="preserve">Calificación crediticia (HR Ratings)</t>
  </si>
  <si>
    <t xml:space="preserve">HR+1 (corto plazo)</t>
  </si>
  <si>
    <t xml:space="preserve">Consenso de analistas</t>
  </si>
  <si>
    <t xml:space="preserve">Venta</t>
  </si>
  <si>
    <t xml:space="preserve">Precio objetivo promedio 12 meses (MXN)</t>
  </si>
  <si>
    <t xml:space="preserve">4. ANÁLISIS FUNDAMENTAL – RESUMEN FINANCIERO FY2025 (mdp)</t>
  </si>
  <si>
    <t xml:space="preserve">Valor</t>
  </si>
  <si>
    <t xml:space="preserve">Ingresos totales</t>
  </si>
  <si>
    <t xml:space="preserve">Utilidad bruta</t>
  </si>
  <si>
    <t xml:space="preserve">Utilidad de operación (EBIT)</t>
  </si>
  <si>
    <t xml:space="preserve">Utilidad neta consolidada</t>
  </si>
  <si>
    <t xml:space="preserve">Margen de operación</t>
  </si>
  <si>
    <t xml:space="preserve">5. CUENTA DE RESULTADOS – ÚLTIMO TRIMESTRE (2T26 vs 2T25, mdp)</t>
  </si>
  <si>
    <t xml:space="preserve">2T26</t>
  </si>
  <si>
    <t xml:space="preserve">Costo de ventas</t>
  </si>
  <si>
    <t xml:space="preserve">Utilidad de operación</t>
  </si>
  <si>
    <t xml:space="preserve">Gastos financieros</t>
  </si>
  <si>
    <t xml:space="preserve">Utilidad neta</t>
  </si>
  <si>
    <t xml:space="preserve">6. BALANCE (cierre 2025 vs 1T26, mdp)</t>
  </si>
  <si>
    <t xml:space="preserve">Dic-2025</t>
  </si>
  <si>
    <t xml:space="preserve">Activo total</t>
  </si>
  <si>
    <t xml:space="preserve">Pasivo total</t>
  </si>
  <si>
    <t xml:space="preserve">Capital contable</t>
  </si>
  <si>
    <t xml:space="preserve">Deuda bancaria y bursátil</t>
  </si>
  <si>
    <t xml:space="preserve">Efectivo</t>
  </si>
  <si>
    <t xml:space="preserve">7. FLUJOS DE EFECTIVO FY2025 (mdp)</t>
  </si>
  <si>
    <t xml:space="preserve">Flujo neto de operación (CFO)</t>
  </si>
  <si>
    <t xml:space="preserve">Capex</t>
  </si>
  <si>
    <t xml:space="preserve">Flujo libre (CFO − Capex)</t>
  </si>
  <si>
    <t xml:space="preserve">8. ANÁLISIS FUNDAMENTAL – RATIOS DE MERCADO</t>
  </si>
  <si>
    <t xml:space="preserve">P/U (precio / utilidad por acción)</t>
  </si>
  <si>
    <t xml:space="preserve">Valor en libros por acción (MXN)</t>
  </si>
  <si>
    <t xml:space="preserve">P/VL (precio / valor en libros)</t>
  </si>
  <si>
    <t xml:space="preserve">ROE anual FY2025</t>
  </si>
  <si>
    <t xml:space="preserve">9. DIVIDENDOS</t>
  </si>
  <si>
    <t xml:space="preserve">Último dividendo por acción (MXN)</t>
  </si>
  <si>
    <t xml:space="preserve">Rendimiento por dividendo a precio actual</t>
  </si>
  <si>
    <t xml:space="preserve">10. REPORTE – PUNTOS CLAVE 2T26</t>
  </si>
  <si>
    <t xml:space="preserve">Ventas mismas tiendas 2T26</t>
  </si>
  <si>
    <t xml:space="preserve">−4.5%</t>
  </si>
  <si>
    <t xml:space="preserve">Margen bruto 2T26</t>
  </si>
  <si>
    <t xml:space="preserve">Costo financiero neto 2T26 (mdp)</t>
  </si>
  <si>
    <t xml:space="preserve">Deuda neta bancaria y bursátil al 2T26 (mdp)</t>
  </si>
  <si>
    <t xml:space="preserve">Capex acumulado 1S26 (mdp)</t>
  </si>
  <si>
    <t xml:space="preserve">11. PREVISIÓN</t>
  </si>
  <si>
    <t xml:space="preserve">Próximo reporte trimestral (3T26)</t>
  </si>
  <si>
    <t xml:space="preserve">23-oct-2026</t>
  </si>
  <si>
    <t xml:space="preserve">Precio objetivo consenso vs precio actual</t>
  </si>
  <si>
    <t xml:space="preserve">Proyección de ingresos 2027 HR Ratings (mdp)</t>
  </si>
  <si>
    <t xml:space="preserve">12. ANÁLISIS TÉCNICO</t>
  </si>
  <si>
    <t xml:space="preserve">Precio de cierre (MXN)</t>
  </si>
  <si>
    <t xml:space="preserve">Rango de 52 semanas (MXN)</t>
  </si>
  <si>
    <t xml:space="preserve">23.90 – 42.70</t>
  </si>
  <si>
    <t xml:space="preserve">Variación 1 año</t>
  </si>
  <si>
    <t xml:space="preserve">Señal técnica resumen (diaria, semanal y mensual)</t>
  </si>
  <si>
    <t xml:space="preserve">Compra fuerte</t>
  </si>
  <si>
    <t xml:space="preserve">RSI (14)</t>
  </si>
  <si>
    <t xml:space="preserve">MACD (12,26)</t>
  </si>
  <si>
    <t xml:space="preserve">Media móvil 50 días (MXN)</t>
  </si>
  <si>
    <t xml:space="preserve">Media móvil 200 días (MXN)</t>
  </si>
  <si>
    <t xml:space="preserve">13. COMPARATIVO BURSÁTIL DEL SECTOR</t>
  </si>
  <si>
    <t xml:space="preserve">Precio actual (MXN)</t>
  </si>
  <si>
    <t xml:space="preserve">P/U</t>
  </si>
  <si>
    <t xml:space="preserve">Rendimiento por dividendo</t>
  </si>
  <si>
    <t xml:space="preserve">Beta de regresión (referencia)</t>
  </si>
  <si>
    <t xml:space="preserve">Señal técnica resumen (diaria)</t>
  </si>
  <si>
    <t xml:space="preserve">Neutral</t>
  </si>
  <si>
    <t xml:space="preserve">Compra</t>
  </si>
  <si>
    <t xml:space="preserve">Precio objetivo consenso (MXN)</t>
  </si>
  <si>
    <t xml:space="preserve">Calificación crediticia</t>
  </si>
  <si>
    <t xml:space="preserve">HR+1 (HR Ratings, CP)</t>
  </si>
  <si>
    <t xml:space="preserve">n.d.</t>
  </si>
  <si>
    <t xml:space="preserve">AAA(mex) Fitch, perspectiva estable</t>
  </si>
  <si>
    <t xml:space="preserve">ORGANIZACIÓN SORIANA (SORIANA B)</t>
  </si>
  <si>
    <t xml:space="preserve">2T25</t>
  </si>
  <si>
    <t xml:space="preserve">3T25</t>
  </si>
  <si>
    <t xml:space="preserve">4T25</t>
  </si>
  <si>
    <t xml:space="preserve">1T26</t>
  </si>
  <si>
    <t xml:space="preserve">FY2025</t>
  </si>
  <si>
    <t xml:space="preserve">Gastos financieros (intereses)</t>
  </si>
  <si>
    <t xml:space="preserve">Utilidad antes de impuestos</t>
  </si>
  <si>
    <t xml:space="preserve">Impuestos a la utilidad</t>
  </si>
  <si>
    <t xml:space="preserve">Depreciación y amortización</t>
  </si>
  <si>
    <t xml:space="preserve">Capex (inmuebles, equipo e intangibles)</t>
  </si>
  <si>
    <t xml:space="preserve">Inventarios</t>
  </si>
  <si>
    <t xml:space="preserve">Activo circulante</t>
  </si>
  <si>
    <t xml:space="preserve">Pasivo circulante</t>
  </si>
  <si>
    <t xml:space="preserve">Pasivo a largo plazo</t>
  </si>
  <si>
    <t xml:space="preserve">Deuda bursátil y bancaria CP</t>
  </si>
  <si>
    <t xml:space="preserve">Deuda bursátil y bancaria LP</t>
  </si>
  <si>
    <t xml:space="preserve">Pasivo por arrendamiento CP</t>
  </si>
  <si>
    <t xml:space="preserve">Pasivo por arrendamiento LP</t>
  </si>
  <si>
    <t xml:space="preserve">Deuda total (financiera + arrendamientos)</t>
  </si>
  <si>
    <t xml:space="preserve">WALMART DE MÉXICO (WALMEX)</t>
  </si>
  <si>
    <t xml:space="preserve">GRUPO COMERCIAL CHEDRAUI (CHDRAUI B)</t>
  </si>
  <si>
    <t xml:space="preserve">Aux. FY2025</t>
  </si>
  <si>
    <t xml:space="preserve">Inversión neta (−flujo de inversión FY2025), proxy de capex</t>
  </si>
  <si>
    <t xml:space="preserve">LA COMER (LACOMER UBC)</t>
  </si>
  <si>
    <t xml:space="preserve">9M2025</t>
  </si>
  <si>
    <t xml:space="preserve">DETALLE DE CAPEX (mdp)</t>
  </si>
  <si>
    <t xml:space="preserve">Soriana – Inmuebles y equipo</t>
  </si>
  <si>
    <t xml:space="preserve">Soriana – Intangibles</t>
  </si>
  <si>
    <t xml:space="preserve">Soriana – Otros / ajustes</t>
  </si>
  <si>
    <t xml:space="preserve">Walmex – Inmuebles y equipo</t>
  </si>
  <si>
    <t xml:space="preserve">Walmex – Intangibles</t>
  </si>
  <si>
    <t xml:space="preserve">Walmex – Otros / ajustes</t>
  </si>
  <si>
    <t xml:space="preserve">Chedraui – Inmuebles y equipo</t>
  </si>
  <si>
    <t xml:space="preserve">Chedraui – Intangibles</t>
  </si>
  <si>
    <t xml:space="preserve">Chedraui – Otros / ajustes</t>
  </si>
  <si>
    <t xml:space="preserve">La Comer – Inmuebles y equipo</t>
  </si>
  <si>
    <t xml:space="preserve">La Comer – Intangibles</t>
  </si>
  <si>
    <t xml:space="preserve">La Comer – Otros / ajustes</t>
  </si>
  <si>
    <t xml:space="preserve">Días del trimestre</t>
  </si>
  <si>
    <t xml:space="preserve">ORGANIZACIÓN SORIANA</t>
  </si>
  <si>
    <t xml:space="preserve">Promedio 5T</t>
  </si>
  <si>
    <t xml:space="preserve">Rotación del inventario</t>
  </si>
  <si>
    <t xml:space="preserve">Rotación del activo total</t>
  </si>
  <si>
    <t xml:space="preserve">Rentabilidad sobre activos (ROA)</t>
  </si>
  <si>
    <t xml:space="preserve">Rentabilidad sobre capital (ROE)</t>
  </si>
  <si>
    <t xml:space="preserve">ROI (rendimiento sobre la inversión)</t>
  </si>
  <si>
    <t xml:space="preserve">WALMART DE MÉXICO</t>
  </si>
  <si>
    <t xml:space="preserve">GRUPO COMERCIAL CHEDRAUI</t>
  </si>
  <si>
    <t xml:space="preserve">LA COMER</t>
  </si>
  <si>
    <t xml:space="preserve">Concepto</t>
  </si>
  <si>
    <t xml:space="preserve">PARÁMETROS DE MERCADO</t>
  </si>
  <si>
    <t xml:space="preserve">Tasa libre de riesgo (Bono M 10 años)</t>
  </si>
  <si>
    <t xml:space="preserve">Prima de riesgo de mercado madura</t>
  </si>
  <si>
    <t xml:space="preserve">Prima de riesgo país México (referencia)</t>
  </si>
  <si>
    <t xml:space="preserve">Prima de riesgo de mercado aplicada (PRM)</t>
  </si>
  <si>
    <t xml:space="preserve">Beta desapalancada del sector (Damodaran global ene-2026, Retail Grocery and Food; ver hoja 'Beta y Kd') — no es la beta histórica de Soriana</t>
  </si>
  <si>
    <t xml:space="preserve">Beta histórica del estudio (regresión): ver hoja Inflación, sección 6.</t>
  </si>
  <si>
    <t xml:space="preserve">Tasa de impuestos (ISR)</t>
  </si>
  <si>
    <t xml:space="preserve">DATOS DE MERCADO</t>
  </si>
  <si>
    <t xml:space="preserve">Precio actual por acción (MXN)</t>
  </si>
  <si>
    <t xml:space="preserve">Fecha del precio</t>
  </si>
  <si>
    <t xml:space="preserve">21-ago-2026</t>
  </si>
  <si>
    <t xml:space="preserve">Capitalización de mercado reportada</t>
  </si>
  <si>
    <t xml:space="preserve">Precio de cierre asociado a esa capitalización (MXN)</t>
  </si>
  <si>
    <t xml:space="preserve">Valor de mercado del capital (E)</t>
  </si>
  <si>
    <t xml:space="preserve">ESTRUCTURA DE CAPITAL (cierre 2025)</t>
  </si>
  <si>
    <t xml:space="preserve">Deuda total (D) = bancaria/bursátil + arrendamientos</t>
  </si>
  <si>
    <t xml:space="preserve">D / E</t>
  </si>
  <si>
    <t xml:space="preserve">Peso de la deuda  D/(D+E)</t>
  </si>
  <si>
    <t xml:space="preserve">Peso del capital  E/(D+E)</t>
  </si>
  <si>
    <t xml:space="preserve">COSTO DE CAPITAL</t>
  </si>
  <si>
    <t xml:space="preserve">Beta apalancada  βL = βU × [1 + (1−t)·D/E]</t>
  </si>
  <si>
    <t xml:space="preserve">Costo del capital propio  Ke = Rf + βL × PRM</t>
  </si>
  <si>
    <t xml:space="preserve">Gastos financieros FY2025</t>
  </si>
  <si>
    <t xml:space="preserve">Costo de la deuda antes de impuestos  Kd</t>
  </si>
  <si>
    <t xml:space="preserve">Costo de la deuda después de impuestos  Kd(1−t)</t>
  </si>
  <si>
    <t xml:space="preserve">WACC = E/(D+E)·Ke + D/(D+E)·Kd(1−t)</t>
  </si>
  <si>
    <t xml:space="preserve">Crecimiento perpetuo (g) para valor terminal</t>
  </si>
  <si>
    <t xml:space="preserve">Crecimiento anual de ventas 2026E–2030E (supuesto base)</t>
  </si>
  <si>
    <t xml:space="preserve">2025A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</si>
  <si>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</si>
  <si>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</si>
  <si>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</si>
  <si>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</si>
  <si>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</si>
  <si>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Crecimiento anual de ventas (explícito)</t>
  </si>
  <si>
    <t xml:space="preserve">Margen EBIT</t>
  </si>
  <si>
    <t xml:space="preserve">Depreciación y amortización (% ventas)</t>
  </si>
  <si>
    <t xml:space="preserve">Capex (% ventas)</t>
  </si>
  <si>
    <t xml:space="preserve">Inversión en capital de trabajo (% del incremento en ventas)</t>
  </si>
  <si>
    <t xml:space="preserve">Tasa de impuestos</t>
  </si>
  <si>
    <t xml:space="preserve">PROYECCIÓN DEL FLUJO LIBRE DE EFECTIVO (FCF)</t>
  </si>
  <si>
    <t xml:space="preserve">Periodo (n)</t>
  </si>
  <si>
    <t xml:space="preserve">Ventas</t>
  </si>
  <si>
    <t xml:space="preserve">(−) Impuestos sobre EBIT</t>
  </si>
  <si>
    <t xml:space="preserve">NOPAT (EBIT después de impuestos)</t>
  </si>
  <si>
    <t xml:space="preserve">(+) Depreciación y amortización</t>
  </si>
  <si>
    <t xml:space="preserve">(−) Capex</t>
  </si>
  <si>
    <t xml:space="preserve">(−) Inversión en capital de trabajo</t>
  </si>
  <si>
    <t xml:space="preserve">FCF – Flujo libre de efectivo</t>
  </si>
  <si>
    <t xml:space="preserve">Factor de descuento 1/(1+WACC)^n</t>
  </si>
  <si>
    <t xml:space="preserve">Valor presente del FCF</t>
  </si>
  <si>
    <t xml:space="preserve">FCF del año 6 (2031E)</t>
  </si>
  <si>
    <t xml:space="preserve">Valor terminal (TV) al cierre de 2030</t>
  </si>
  <si>
    <t xml:space="preserve">ENTERPRISE VALUE (EV)</t>
  </si>
  <si>
    <t xml:space="preserve">(−) Deuda total (bancaria/bursátil + arrendamientos)</t>
  </si>
  <si>
    <t xml:space="preserve">(+) Efectivo y equivalentes</t>
  </si>
  <si>
    <t xml:space="preserve">Deuda neta</t>
  </si>
  <si>
    <t xml:space="preserve">EQUITY VALUE (valor para los accionistas)</t>
  </si>
  <si>
    <t xml:space="preserve">Precio modelo integrado</t>
  </si>
  <si>
    <t xml:space="preserve">Diferencia vs integrado</t>
  </si>
  <si>
    <t xml:space="preserve">Diferencia (%)</t>
  </si>
  <si>
    <t xml:space="preserve">Peso del valor terminal en el EV</t>
  </si>
  <si>
    <t xml:space="preserve">SUPUESTOS</t>
  </si>
  <si>
    <t xml:space="preserve">Crecimiento de ventas</t>
  </si>
  <si>
    <t xml:space="preserve">Costo de ventas (% ventas)</t>
  </si>
  <si>
    <t xml:space="preserve">Gastos de operación sin D&amp;A (% ventas)</t>
  </si>
  <si>
    <t xml:space="preserve">Tasa de interés implícita (% deuda + arrendamientos)</t>
  </si>
  <si>
    <t xml:space="preserve">Días de inventario (sobre costo de ventas)</t>
  </si>
  <si>
    <t xml:space="preserve">Otros activos circulantes (% ventas)</t>
  </si>
  <si>
    <t xml:space="preserve">Pasivo circulante operativo (% ventas)</t>
  </si>
  <si>
    <t xml:space="preserve">Dividendos (% utilidad neta)</t>
  </si>
  <si>
    <t xml:space="preserve">1. ESTADO DE RESULTADOS</t>
  </si>
  <si>
    <t xml:space="preserve">Gastos de operación (sin D&amp;A)</t>
  </si>
  <si>
    <t xml:space="preserve">EBITDA</t>
  </si>
  <si>
    <t xml:space="preserve">Otros ingresos (gastos) netos</t>
  </si>
  <si>
    <t xml:space="preserve">Dividendos pagados</t>
  </si>
  <si>
    <t xml:space="preserve">2. BALANCE GENERAL</t>
  </si>
  <si>
    <t xml:space="preserve">Otros activos circulantes</t>
  </si>
  <si>
    <t xml:space="preserve">Activo no circulante</t>
  </si>
  <si>
    <t xml:space="preserve">Pasivo circulante operativo (proveedores y otros)</t>
  </si>
  <si>
    <t xml:space="preserve">Deuda bursátil y bancaria</t>
  </si>
  <si>
    <t xml:space="preserve">Pasivo por arrendamiento</t>
  </si>
  <si>
    <t xml:space="preserve">Otros pasivos a largo plazo</t>
  </si>
  <si>
    <t xml:space="preserve">Pasivo + capital</t>
  </si>
  <si>
    <t xml:space="preserve">Comprobación (activo − pasivo − capital)</t>
  </si>
  <si>
    <t xml:space="preserve">CONCILIACIÓN DE EFECTIVO</t>
  </si>
  <si>
    <t xml:space="preserve">(−) Aumento en inventarios</t>
  </si>
  <si>
    <t xml:space="preserve">(−) Aumento en otros activos circulantes</t>
  </si>
  <si>
    <t xml:space="preserve">(+) Aumento en pasivo circulante operativo</t>
  </si>
  <si>
    <t xml:space="preserve">Cambio neto en efectivo (después de dividendos)</t>
  </si>
  <si>
    <t xml:space="preserve">3. FLUJO LIBRE DE EFECTIVO (FFL)</t>
  </si>
  <si>
    <t xml:space="preserve">NOPAT</t>
  </si>
  <si>
    <t xml:space="preserve">Flujo libre de efectivo (FFL)</t>
  </si>
  <si>
    <t xml:space="preserve">Valor presente del FFL</t>
  </si>
  <si>
    <t xml:space="preserve">4. VALOR TERMINAL Y VALOR DE LA EMPRESA</t>
  </si>
  <si>
    <t xml:space="preserve">Suma VP de FFL 2026E–2030E</t>
  </si>
  <si>
    <t xml:space="preserve">FFL 2031E = FFL 2030E × (1+g)</t>
  </si>
  <si>
    <t xml:space="preserve">Valor terminal al cierre 2030 (Gordon)</t>
  </si>
  <si>
    <t xml:space="preserve">Valor presente del valor terminal</t>
  </si>
  <si>
    <t xml:space="preserve">Valor de la empresa (VE)</t>
  </si>
  <si>
    <t xml:space="preserve">Peso del valor terminal en el VE</t>
  </si>
  <si>
    <t xml:space="preserve">5. VALOR DEL CAPITAL Y PRECIO POR ACCIÓN</t>
  </si>
  <si>
    <t xml:space="preserve">(−) Deuda bursátil y bancaria (2025)</t>
  </si>
  <si>
    <t xml:space="preserve">(−) Pasivo por arrendamiento (2025)</t>
  </si>
  <si>
    <t xml:space="preserve">(+) Efectivo y equivalentes (2025)</t>
  </si>
  <si>
    <t xml:space="preserve">Valor del capital</t>
  </si>
  <si>
    <t xml:space="preserve">Precio por acción (MXN)</t>
  </si>
  <si>
    <t xml:space="preserve">1. FCFF PROYECTADO — MÍNIMOS CUADRADOS (sin ajustes externos)</t>
  </si>
  <si>
    <t xml:space="preserve">3T26</t>
  </si>
  <si>
    <t xml:space="preserve">4T26</t>
  </si>
  <si>
    <t xml:space="preserve">1T27</t>
  </si>
  <si>
    <t xml:space="preserve">2T27</t>
  </si>
  <si>
    <t xml:space="preserve">LTM proyectado (3T26–2T27)</t>
  </si>
  <si>
    <t xml:space="preserve">LTM actual (3T25–2T26)</t>
  </si>
  <si>
    <t xml:space="preserve">Variación vs. LTM actual</t>
  </si>
  <si>
    <t xml:space="preserve">X (pronóstico)</t>
  </si>
  <si>
    <t xml:space="preserve">Costos y gastos operativos</t>
  </si>
  <si>
    <t xml:space="preserve">EBIT</t>
  </si>
  <si>
    <t xml:space="preserve">Tasa de impuesto</t>
  </si>
  <si>
    <t xml:space="preserve">EBIT (1 − T)</t>
  </si>
  <si>
    <t xml:space="preserve">Capital de trabajo neto (cierre)</t>
  </si>
  <si>
    <t xml:space="preserve">(−) ΔNWC (cambio en capital de trabajo)</t>
  </si>
  <si>
    <t xml:space="preserve">FCFF = EBIT(1−T) + D&amp;A − Capex − ΔNWC</t>
  </si>
  <si>
    <t xml:space="preserve">2. FCFF PROYECTADO AJUSTADO POR VARIABLES EXTERNAS</t>
  </si>
  <si>
    <t xml:space="preserve">Ajuste neto a ventas</t>
  </si>
  <si>
    <t xml:space="preserve">Ajuste neto a costos y gastos</t>
  </si>
  <si>
    <t xml:space="preserve">Ajuste neto a capex</t>
  </si>
  <si>
    <t xml:space="preserve">LTM ajustado (3T26–2T27)</t>
  </si>
  <si>
    <t xml:space="preserve">LTM proyectado sin ajuste</t>
  </si>
  <si>
    <t xml:space="preserve">Variación vs. sin ajuste</t>
  </si>
  <si>
    <t xml:space="preserve">(−) ΔNWC</t>
  </si>
  <si>
    <t xml:space="preserve">FCFF ajustado</t>
  </si>
  <si>
    <t xml:space="preserve">DETALLE DE MÍNIMOS CUADRADOS POR PARTIDA DEL FCFF</t>
  </si>
  <si>
    <t xml:space="preserve">1. VENTAS (ingresos totales)</t>
  </si>
  <si>
    <t xml:space="preserve">Trimestre</t>
  </si>
  <si>
    <t xml:space="preserve">n</t>
  </si>
  <si>
    <t xml:space="preserve">X = n − (N+1)/2</t>
  </si>
  <si>
    <t xml:space="preserve">Y (mdp)</t>
  </si>
  <si>
    <t xml:space="preserve">XY</t>
  </si>
  <si>
    <t xml:space="preserve">X²</t>
  </si>
  <si>
    <t xml:space="preserve">Trimestre a pronosticar</t>
  </si>
  <si>
    <t xml:space="preserve">Y pronosticada</t>
  </si>
  <si>
    <t xml:space="preserve">Σ (sumas)</t>
  </si>
  <si>
    <t xml:space="preserve">N (trimestres)</t>
  </si>
  <si>
    <t xml:space="preserve">X̄ = ΣX / N</t>
  </si>
  <si>
    <t xml:space="preserve">b = ΣXY / ΣX²</t>
  </si>
  <si>
    <t xml:space="preserve">a = ΣY / N</t>
  </si>
  <si>
    <t xml:space="preserve">R² (ajuste)</t>
  </si>
  <si>
    <t xml:space="preserve">2. COSTOS Y GASTOS OPERATIVOS (ventas − EBIT)</t>
  </si>
  <si>
    <t xml:space="preserve">3. TASA DE IMPUESTO (impuestos / UAI)</t>
  </si>
  <si>
    <t xml:space="preserve">Y (tasa)</t>
  </si>
  <si>
    <t xml:space="preserve">4. DEPRECIACIÓN Y AMORTIZACIÓN</t>
  </si>
  <si>
    <t xml:space="preserve">5. CAPEX (inmuebles, equipo e intangibles)</t>
  </si>
  <si>
    <t xml:space="preserve">6. CAPITAL DE TRABAJO NETO (activo circ. − pasivo circ.)</t>
  </si>
  <si>
    <t xml:space="preserve">#</t>
  </si>
  <si>
    <t xml:space="preserve">Categoría</t>
  </si>
  <si>
    <t xml:space="preserve">Variable</t>
  </si>
  <si>
    <t xml:space="preserve">Dato observado</t>
  </si>
  <si>
    <t xml:space="preserve">Canal de transmisión a Soriana</t>
  </si>
  <si>
    <t xml:space="preserve">Partida del FCFF afectada</t>
  </si>
  <si>
    <t xml:space="preserve">Efecto</t>
  </si>
  <si>
    <t xml:space="preserve">Ajuste a ventas (%)</t>
  </si>
  <si>
    <t xml:space="preserve">Ajuste a costos y gastos (%)</t>
  </si>
  <si>
    <t xml:space="preserve">Ajuste a capex (%)</t>
  </si>
  <si>
    <t xml:space="preserve">Macroeconomía México</t>
  </si>
  <si>
    <t xml:space="preserve">Crecimiento del PIB</t>
  </si>
  <si>
    <t xml:space="preserve">Banxico (Informe abr–jun 2026): PIB 2026 1.5% (rango 1.0–2.0%); 2027 2.0% (rango 1.2–2.8%)</t>
  </si>
  <si>
    <t xml:space="preserve">Banxico espera que el consumo privado retome tendencia positiva tras la debilidad de inicio de 2026: más volumen en autoservicio</t>
  </si>
  <si>
    <t xml:space="preserve">+</t>
  </si>
  <si>
    <t xml:space="preserve">Inflación</t>
  </si>
  <si>
    <t xml:space="preserve">General 3.42% y subyacente 3.79% (1a quincena sep-2026); convergencia a 3% hasta 4T27</t>
  </si>
  <si>
    <t xml:space="preserve">Eleva ventas nominales y costo de mercancía en proporción similar; efecto casi neutral en margen (ya capturado en la tendencia)</t>
  </si>
  <si>
    <t xml:space="preserve">Ventas y costos</t>
  </si>
  <si>
    <t xml:space="preserve">Política monetaria</t>
  </si>
  <si>
    <t xml:space="preserve">Tasa objetivo Banxico / Fed</t>
  </si>
  <si>
    <t xml:space="preserve">Banxico mantuvo 6.50% (24-sep-2026, unánime); la Fed subió 25 pb en septiembre</t>
  </si>
  <si>
    <t xml:space="preserve">Afecta costo de deuda y WACC (descuento del FCFF), no el FCFF operativo; crédito al consumo sigue caro</t>
  </si>
  <si>
    <t xml:space="preserve">WACC / gastos financieros</t>
  </si>
  <si>
    <t xml:space="preserve">− (valuación)</t>
  </si>
  <si>
    <t xml:space="preserve">Tipo de cambio</t>
  </si>
  <si>
    <t xml:space="preserve">18.08 MXN/USD al cierre del 30-sep-2026; el peso perdió 6.38% en septiembre</t>
  </si>
  <si>
    <t xml:space="preserve">Encarece mercancía general importada (electrónica, línea blanca) y equipo/refrigeración del programa de capex</t>
  </si>
  <si>
    <t xml:space="preserve">Costos y capex</t>
  </si>
  <si>
    <t xml:space="preserve">−</t>
  </si>
  <si>
    <t xml:space="preserve">Remesas</t>
  </si>
  <si>
    <t xml:space="preserve">2025: USD 61,791 mm (−4.6%), primera caída anual en 11 años; 1T26 +1.4%</t>
  </si>
  <si>
    <t xml:space="preserve">Menor ingreso de hogares en Bajío, Occidente y Norte (regiones clave de Soriana) por política migratoria de EU</t>
  </si>
  <si>
    <t xml:space="preserve">Política México (laboral)</t>
  </si>
  <si>
    <t xml:space="preserve">Salario mínimo 2026</t>
  </si>
  <si>
    <t xml:space="preserve">+13%: de 278.80 a 315.04 $/día (frontera norte +5%: 440.87 $/día); meta 2.5 canastas básicas a 2030</t>
  </si>
  <si>
    <t xml:space="preserve">Sube la nómina operativa de tiendas, pero también el ingreso disponible del cliente de bajos ingresos</t>
  </si>
  <si>
    <t xml:space="preserve">Costos (+) y ventas (+)</t>
  </si>
  <si>
    <t xml:space="preserve">Mixto</t>
  </si>
  <si>
    <t xml:space="preserve">Jornada laboral de 40 horas</t>
  </si>
  <si>
    <t xml:space="preserve">Reducción gradual de 48 a 40 h; 2026 es periodo de adecuación y los cambios inician en 2027</t>
  </si>
  <si>
    <t xml:space="preserve">Requiere más turnos/plantilla en tiendas de horario extendido o más automatización</t>
  </si>
  <si>
    <t xml:space="preserve">Costos</t>
  </si>
  <si>
    <t xml:space="preserve">Política México (fiscal)</t>
  </si>
  <si>
    <t xml:space="preserve">IEPS a bebidas y tabaco</t>
  </si>
  <si>
    <t xml:space="preserve">Bebidas azucaradas de 1.64 a 3.08 $/litro; tabaco de 160% a 200% ad valorem (2026)</t>
  </si>
  <si>
    <t xml:space="preserve">Menor volumen en categorías de alta rotación (refrescos, tabaco) dentro del ticket del autoservicio</t>
  </si>
  <si>
    <t xml:space="preserve">Política comercial México</t>
  </si>
  <si>
    <t xml:space="preserve">Aranceles a países sin tratado</t>
  </si>
  <si>
    <t xml:space="preserve">Aranceles nuevos o mayores de hasta 50% a importaciones de China, Corea del Sur, India, Vietnam, etc. desde 1-ene-2026</t>
  </si>
  <si>
    <t xml:space="preserve">Encarece ropa, juguetes, electrónicos y equipo de tienda de origen asiático</t>
  </si>
  <si>
    <t xml:space="preserve">T-MEC</t>
  </si>
  <si>
    <t xml:space="preserve">Revisión del T-MEC</t>
  </si>
  <si>
    <t xml:space="preserve">EU activó el mecanismo de revisiones anuales (no hubo extensión en jul-2026); Banxico prevé inversión débil por la incertidumbre comercial</t>
  </si>
  <si>
    <t xml:space="preserve">Frena inversión y empleo formal en el Norte industrial, base de clientes de Soriana (Coahuila, NL, Chihuahua)</t>
  </si>
  <si>
    <t xml:space="preserve">T-MEC / aranceles de EU</t>
  </si>
  <si>
    <t xml:space="preserve">Aranceles de EU a sectores estratégicos</t>
  </si>
  <si>
    <t xml:space="preserve">Persisten aranceles de EU a acero, aluminio y automotriz; bienes con origen T-MEC conservan exención; exportaciones a EU +7.7% acumulado a mayo</t>
  </si>
  <si>
    <t xml:space="preserve">Presión sobre empleo manufacturero (autopartes, acero) en ciudades del Norte donde Soriana concentra tiendas</t>
  </si>
  <si>
    <t xml:space="preserve">Geopolítica</t>
  </si>
  <si>
    <t xml:space="preserve">Conflicto en Medio Oriente / petróleo</t>
  </si>
  <si>
    <t xml:space="preserve">Petróleo por encima de USD 100, dólar fuerte e incertidumbre geopolítica presionan al peso (sep-2026)</t>
  </si>
  <si>
    <t xml:space="preserve">Encarece energía de tiendas, diésel y fletes de la logística; riesgo inflacionario</t>
  </si>
  <si>
    <t xml:space="preserve">Sector retail</t>
  </si>
  <si>
    <t xml:space="preserve">Ventas ANTAD (mismas tiendas)</t>
  </si>
  <si>
    <t xml:space="preserve">Ago-2026: tiendas iguales +1.7% y totales +4.2%; autoservicio −0.7% a tiendas iguales; acumulado ene–ago +1.5%</t>
  </si>
  <si>
    <t xml:space="preserve">Demanda del formato autoservicio crece por debajo de la inflación (caída real del ticket/tráfico)</t>
  </si>
  <si>
    <t xml:space="preserve">Megatendencia / retail</t>
  </si>
  <si>
    <t xml:space="preserve">Hard discount y búsqueda de valor</t>
  </si>
  <si>
    <t xml:space="preserve">Tiendas 3B pasó de 4% (2019) a 14% (2025) del mercado de descuento; Bodega Aurrera de 71% a 63% (Bain &amp; Company)</t>
  </si>
  <si>
    <t xml:space="preserve">Pérdida de tráfico en formatos Súper/Mercado y mayor gasto promocional para defender precio</t>
  </si>
  <si>
    <t xml:space="preserve">Ventas (−) y costos (+)</t>
  </si>
  <si>
    <t xml:space="preserve">Omnicanalidad y comercio digital</t>
  </si>
  <si>
    <t xml:space="preserve">Las temporalidades sostienen el eCommerce durante todo el año; los autoservicios invierten en surtido en línea y última milla (ANTAD)</t>
  </si>
  <si>
    <t xml:space="preserve">Ventas digitales incrementales, pero exige capex en tecnología, refrigeración y logística</t>
  </si>
  <si>
    <t xml:space="preserve">Ventas (+) y capex (+)</t>
  </si>
  <si>
    <t xml:space="preserve">Inmobiliario y arrendamientos</t>
  </si>
  <si>
    <t xml:space="preserve">Rentas de locales comerciales</t>
  </si>
  <si>
    <t xml:space="preserve">Rentas de locales comerciales +11.09% en 1S26; promedio USD 28.93/m² a jun-2026</t>
  </si>
  <si>
    <t xml:space="preserve">Encarece la renovación de contratos de tiendas arrendadas (pasivo por arrendamiento), pero valoriza m² propios y espacios subarrendables</t>
  </si>
  <si>
    <t xml:space="preserve">Costos (+) y otros ingresos (+)</t>
  </si>
  <si>
    <t xml:space="preserve">Ocupación de centros comerciales (FIBRAs)</t>
  </si>
  <si>
    <t xml:space="preserve">Los 10 jugadores institucionales con ocupación arriba de 91% (algunos 99%) al 2T26, rentas al alza y spreads de renovación altos</t>
  </si>
  <si>
    <t xml:space="preserve">Alta demanda por espacio facilita monetizar/subarrendar las áreas liberadas por cierres y reducción de tiendas</t>
  </si>
  <si>
    <t xml:space="preserve">Ventas (otros ingresos)</t>
  </si>
  <si>
    <t xml:space="preserve">TOTAL</t>
  </si>
  <si>
    <t xml:space="preserve">Ajuste neto aplicado a la proyección</t>
  </si>
  <si>
    <t xml:space="preserve">A. PONDERACIÓN DE MÉTODOS</t>
  </si>
  <si>
    <t xml:space="preserve">Peso de variables externas</t>
  </si>
  <si>
    <t xml:space="preserve">Peso de mínimos cuadrados</t>
  </si>
  <si>
    <t xml:space="preserve">B. CRECIMIENTO DE VENTAS — VARIABLES EXTERNAS</t>
  </si>
  <si>
    <t xml:space="preserve">Inflación esperada (INPC) — escenario de la hoja Inflación</t>
  </si>
  <si>
    <t xml:space="preserve">Crecimiento real del PIB de México</t>
  </si>
  <si>
    <t xml:space="preserve">Elasticidad del volumen de autoservicio al PIB (x)</t>
  </si>
  <si>
    <t xml:space="preserve">Ajuste por debilidad del consumo</t>
  </si>
  <si>
    <t xml:space="preserve">Crecimiento nominal del mercado de autoservicio</t>
  </si>
  <si>
    <t xml:space="preserve">(±) Pérdida de participación (hard discount y competidores)</t>
  </si>
  <si>
    <t xml:space="preserve">(±) Cierre y reducción de tiendas</t>
  </si>
  <si>
    <t xml:space="preserve">(±) Remesas y política migratoria de EU</t>
  </si>
  <si>
    <t xml:space="preserve">(±) T-MEC y aranceles de EU (empleo industrial del Norte)</t>
  </si>
  <si>
    <t xml:space="preserve">(±) Programas sociales y salario mínimo (ingreso disponible)</t>
  </si>
  <si>
    <t xml:space="preserve">(±) Omnicanalidad y ventas digitales</t>
  </si>
  <si>
    <t xml:space="preserve">(±) PACIC e IEPS (precio tope y menor volumen)</t>
  </si>
  <si>
    <t xml:space="preserve">(±) Ingresos inmobiliarios y financieros (m² liberados, Sofipo)</t>
  </si>
  <si>
    <t xml:space="preserve">Crecimiento de ventas — variables externas</t>
  </si>
  <si>
    <t xml:space="preserve">C. CRECIMIENTO DE VENTAS — MÍNIMOS CUADRADOS</t>
  </si>
  <si>
    <t xml:space="preserve">Ventas por mínimos cuadrados (trayectoria lineal anualizada, mdp)</t>
  </si>
  <si>
    <t xml:space="preserve">Crecimiento de ventas — mínimos cuadrados</t>
  </si>
  <si>
    <t xml:space="preserve">CRECIMIENTO DE VENTAS FINAL (ponderado)</t>
  </si>
  <si>
    <t xml:space="preserve">D. MARGEN EBIT</t>
  </si>
  <si>
    <t xml:space="preserve">Margen EBIT — variables externas (acumulado)</t>
  </si>
  <si>
    <t xml:space="preserve">(±) Austeridad, cierres y eficiencias</t>
  </si>
  <si>
    <t xml:space="preserve">(±) Salario mínimo +13% y jornada de 40 h</t>
  </si>
  <si>
    <t xml:space="preserve">(±) Inversión en precio (hard discount, PACIC)</t>
  </si>
  <si>
    <t xml:space="preserve">(±) Tipo de cambio y aranceles a importaciones de Asia</t>
  </si>
  <si>
    <t xml:space="preserve">(±) Energía, combustibles y fletes</t>
  </si>
  <si>
    <t xml:space="preserve">(±) Rentas comerciales (tiendas arrendadas)</t>
  </si>
  <si>
    <t xml:space="preserve">(±) Ingresos inmobiliarios y servicios financieros</t>
  </si>
  <si>
    <t xml:space="preserve">(±) Desapalancamiento operativo por menores ventas</t>
  </si>
  <si>
    <t xml:space="preserve">Margen EBIT — mínimos cuadrados</t>
  </si>
  <si>
    <t xml:space="preserve">MARGEN EBIT FINAL (ponderado)</t>
  </si>
  <si>
    <t xml:space="preserve">E. OTROS SUPUESTOS (FCF Y ESTADOS FINANCIEROS)</t>
  </si>
  <si>
    <t xml:space="preserve">D&amp;A (% ventas) — variables externas / histórico</t>
  </si>
  <si>
    <t xml:space="preserve">D&amp;A (% ventas) — mínimos cuadrados</t>
  </si>
  <si>
    <t xml:space="preserve">D&amp;A (% ventas) FINAL</t>
  </si>
  <si>
    <t xml:space="preserve">Capex guía de Soriana 2026 (mdp)</t>
  </si>
  <si>
    <t xml:space="preserve">(+) Inversión adicional en omnicanal y remodelación (% ventas)</t>
  </si>
  <si>
    <t xml:space="preserve">Capex (% ventas) — variables externas</t>
  </si>
  <si>
    <t xml:space="preserve">Capex (% ventas) — mínimos cuadrados</t>
  </si>
  <si>
    <t xml:space="preserve">Capex (% ventas) FINAL</t>
  </si>
  <si>
    <t xml:space="preserve">(+) Ajuste a la tasa por límite de deducciones (Paquete Económico 2027)</t>
  </si>
  <si>
    <t xml:space="preserve">Tasa de impuestos — variables externas</t>
  </si>
  <si>
    <t xml:space="preserve">Tasa de impuestos — mínimos cuadrados</t>
  </si>
  <si>
    <t xml:space="preserve">Tasa de impuestos FINAL</t>
  </si>
  <si>
    <t xml:space="preserve">Amortización neta de deuda bursátil y bancaria (mdp)</t>
  </si>
  <si>
    <t xml:space="preserve">1. PROYECCIÓN DE ESTADOS FINANCIEROS (mdp)</t>
  </si>
  <si>
    <t xml:space="preserve">1.1 ESTADO DE RESULTADOS</t>
  </si>
  <si>
    <t xml:space="preserve">Margen EBITDA</t>
  </si>
  <si>
    <t xml:space="preserve">1.2 BALANCE GENERAL</t>
  </si>
  <si>
    <t xml:space="preserve">1.3 CONCILIACIÓN DE EFECTIVO</t>
  </si>
  <si>
    <t xml:space="preserve">(−) Dividendos pagados</t>
  </si>
  <si>
    <t xml:space="preserve">(±) Amortización neta de deuda</t>
  </si>
  <si>
    <t xml:space="preserve">Cambio neto en efectivo</t>
  </si>
  <si>
    <t xml:space="preserve">2. FLUJO LIBRE DE EFECTIVO (FCF) — 5 AÑOS</t>
  </si>
  <si>
    <t xml:space="preserve">NOPAT = EBIT × (1 − T)</t>
  </si>
  <si>
    <t xml:space="preserve">FCF = NOPAT + D&amp;A − Capex − ΔNWC</t>
  </si>
  <si>
    <t xml:space="preserve">3. VALOR TERMINAL</t>
  </si>
  <si>
    <t xml:space="preserve">WACC base (iterado)</t>
  </si>
  <si>
    <t xml:space="preserve">(+) Prima por riesgo externo</t>
  </si>
  <si>
    <t xml:space="preserve">WACC final</t>
  </si>
  <si>
    <t xml:space="preserve">FCF 2030E (año 5)</t>
  </si>
  <si>
    <t xml:space="preserve">FCF + 1 (2031E) = FCF 2030E × (1 + g)</t>
  </si>
  <si>
    <t xml:space="preserve">Valor terminal = FCF+1 / (WACC − g)</t>
  </si>
  <si>
    <t xml:space="preserve">Factor de descuento del año 5</t>
  </si>
  <si>
    <t xml:space="preserve">4. VALOR DE LA EMPRESA (EV)</t>
  </si>
  <si>
    <t xml:space="preserve">Suma VP de FCF 2026E–2030E</t>
  </si>
  <si>
    <t xml:space="preserve">(+) VP del valor terminal</t>
  </si>
  <si>
    <t xml:space="preserve">Valor de la empresa (EV)</t>
  </si>
  <si>
    <t xml:space="preserve">5. EQUITY VALUE</t>
  </si>
  <si>
    <t xml:space="preserve">Deuda neta (memo)</t>
  </si>
  <si>
    <t xml:space="preserve">Equity Value (valor del capital)</t>
  </si>
  <si>
    <t xml:space="preserve">6. PRECIO POR ACCIÓN</t>
  </si>
  <si>
    <t xml:space="preserve">Equity Value</t>
  </si>
  <si>
    <t xml:space="preserve">PRECIO POR ACCIÓN — PROYECCIÓN FINAL (MXN)</t>
  </si>
  <si>
    <t xml:space="preserve">Precio por acción de la proyección base (MXN)</t>
  </si>
  <si>
    <t xml:space="preserve">Diferencia vs. proyección base</t>
  </si>
  <si>
    <t xml:space="preserve">Umbral para recomendación (±)</t>
  </si>
  <si>
    <t xml:space="preserve">Recomendación del modelo</t>
  </si>
  <si>
    <t xml:space="preserve">Comprobación del balance</t>
  </si>
  <si>
    <t xml:space="preserve">Comprobación WACC &gt; g</t>
  </si>
  <si>
    <t xml:space="preserve">7. SENSIBILIDAD — PRECIO POR ACCIÓN (MXN)</t>
  </si>
  <si>
    <t xml:space="preserve">Paso de WACC y g</t>
  </si>
  <si>
    <t xml:space="preserve">WACC ↓ / g →</t>
  </si>
  <si>
    <t xml:space="preserve">Diferencia centro vs. B150</t>
  </si>
  <si>
    <t xml:space="preserve">8. MATRIZ DE FACTORES EXTERNOS (investigación)</t>
  </si>
  <si>
    <t xml:space="preserve">Impacto (1–5)</t>
  </si>
  <si>
    <t xml:space="preserve">Probabilidad</t>
  </si>
  <si>
    <t xml:space="preserve">Horizonte</t>
  </si>
  <si>
    <t xml:space="preserve">Partida</t>
  </si>
  <si>
    <t xml:space="preserve">Fila modelo</t>
  </si>
  <si>
    <t xml:space="preserve">MACRO — Crecimiento del PIB de México</t>
  </si>
  <si>
    <t xml:space="preserve">Alta</t>
  </si>
  <si>
    <t xml:space="preserve">CP–MP</t>
  </si>
  <si>
    <t xml:space="preserve">MACRO — Inflación</t>
  </si>
  <si>
    <t xml:space="preserve">MACRO — Consumo privado y confianza</t>
  </si>
  <si>
    <t xml:space="preserve">CP</t>
  </si>
  <si>
    <t xml:space="preserve">MACRO — Empleo formal y masa salarial</t>
  </si>
  <si>
    <t xml:space="preserve">Media</t>
  </si>
  <si>
    <t xml:space="preserve">MACRO — Remesas</t>
  </si>
  <si>
    <t xml:space="preserve">MONETARIO — Tasa Banxico</t>
  </si>
  <si>
    <t xml:space="preserve">WACC / intereses</t>
  </si>
  <si>
    <t xml:space="preserve">61 / 126</t>
  </si>
  <si>
    <t xml:space="preserve">MONETARIO — Fed y tasas de EU</t>
  </si>
  <si>
    <t xml:space="preserve">WACC / TC</t>
  </si>
  <si>
    <t xml:space="preserve">CAMBIARIO — Tipo de cambio</t>
  </si>
  <si>
    <t xml:space="preserve">RIESGO PAÍS — Calificación soberana</t>
  </si>
  <si>
    <t xml:space="preserve">MP</t>
  </si>
  <si>
    <t xml:space="preserve">T-MEC — Revisiones anuales</t>
  </si>
  <si>
    <t xml:space="preserve">T-MEC — Aranceles de EU (232, 301)</t>
  </si>
  <si>
    <t xml:space="preserve">POLÍTICA COMERCIAL MX — Aranceles a Asia</t>
  </si>
  <si>
    <t xml:space="preserve">POLÍTICA LABORAL — Salario mínimo</t>
  </si>
  <si>
    <t xml:space="preserve">CP–LP</t>
  </si>
  <si>
    <t xml:space="preserve">Costos y ventas</t>
  </si>
  <si>
    <t xml:space="preserve">33 / 19</t>
  </si>
  <si>
    <t xml:space="preserve">POLÍTICA LABORAL — Jornada de 40 h</t>
  </si>
  <si>
    <t xml:space="preserve">POLÍTICA FISCAL — IEPS (refrescos, tabaco, sodio)</t>
  </si>
  <si>
    <t xml:space="preserve">POLÍTICA FISCAL — Paquete Económico 2027</t>
  </si>
  <si>
    <t xml:space="preserve">POLÍTICA SOCIAL — Programas del Bienestar</t>
  </si>
  <si>
    <t xml:space="preserve">REGULACIÓN — PACIC (canasta básica)</t>
  </si>
  <si>
    <t xml:space="preserve">Margen</t>
  </si>
  <si>
    <t xml:space="preserve">SECTOR RETAIL — Desempeño de competidores</t>
  </si>
  <si>
    <t xml:space="preserve">MEGATENDENCIA — Hard discount</t>
  </si>
  <si>
    <t xml:space="preserve">Ventas y margen</t>
  </si>
  <si>
    <t xml:space="preserve">15 / 34</t>
  </si>
  <si>
    <t xml:space="preserve">MEGATENDENCIA — Comercio electrónico</t>
  </si>
  <si>
    <t xml:space="preserve">MP–LP</t>
  </si>
  <si>
    <t xml:space="preserve">Ventas y capex</t>
  </si>
  <si>
    <t xml:space="preserve">20 / 48</t>
  </si>
  <si>
    <t xml:space="preserve">MEGATENDENCIA — Formatos más pequeños / proximidad</t>
  </si>
  <si>
    <t xml:space="preserve">INMOBILIARIO — Rentas comerciales</t>
  </si>
  <si>
    <t xml:space="preserve">37 / 38</t>
  </si>
  <si>
    <t xml:space="preserve">INMOBILIARIO — Ocupación de FIBRAs comerciales</t>
  </si>
  <si>
    <t xml:space="preserve">SORIANA — Servicios financieros (Sofipo)</t>
  </si>
  <si>
    <t xml:space="preserve">SORIANA — Austeridad y eficiencia</t>
  </si>
  <si>
    <t xml:space="preserve">SORIANA — Guía de inversión 2026</t>
  </si>
  <si>
    <t xml:space="preserve">GEOPOLÍTICA — Medio Oriente y petróleo</t>
  </si>
  <si>
    <t xml:space="preserve">GEOPOLÍTICA — Política migratoria de EU</t>
  </si>
  <si>
    <t xml:space="preserve">SEGURIDAD — Extorsión e inseguridad</t>
  </si>
  <si>
    <t xml:space="preserve">—</t>
  </si>
  <si>
    <t xml:space="preserve">9. ITERACIÓN DEL WACC (estructura de capital al valor DCF)</t>
  </si>
  <si>
    <t xml:space="preserve">Kd antes de impuestos (tasa implícita proyectada 2026E)</t>
  </si>
  <si>
    <t xml:space="preserve">Tasa de impuestos para el escudo fiscal</t>
  </si>
  <si>
    <t xml:space="preserve">Kd después de impuestos</t>
  </si>
  <si>
    <t xml:space="preserve">Deuda total (D) = bancaria/bursátil + arrendamientos (2025)</t>
  </si>
  <si>
    <t xml:space="preserve">Prima de riesgo de mercado (PRM)</t>
  </si>
  <si>
    <t xml:space="preserve">Beta desapalancada del sector (βU)</t>
  </si>
  <si>
    <t xml:space="preserve">Iteración</t>
  </si>
  <si>
    <t xml:space="preserve">WACC de entrada</t>
  </si>
  <si>
    <t xml:space="preserve">Equity DCF (mdp)</t>
  </si>
  <si>
    <t xml:space="preserve">Beta apalancada</t>
  </si>
  <si>
    <t xml:space="preserve">Ke (CAPM)</t>
  </si>
  <si>
    <t xml:space="preserve">WACC de salida</t>
  </si>
  <si>
    <t xml:space="preserve">0 (WACC de la hoja WACC)</t>
  </si>
  <si>
    <t xml:space="preserve">WACC convergido</t>
  </si>
  <si>
    <t xml:space="preserve">Ke convergido</t>
  </si>
  <si>
    <t xml:space="preserve">Variación de la última iteración (pb)</t>
  </si>
  <si>
    <t xml:space="preserve">10. VALOR TERMINAL POR MÚLTIPLOS (EV/EBITDA)</t>
  </si>
  <si>
    <t xml:space="preserve">(+) Deuda total (bancaria/bursátil + arrendamientos)</t>
  </si>
  <si>
    <t xml:space="preserve">(−) Efectivo y equivalentes</t>
  </si>
  <si>
    <t xml:space="preserve">EV de mercado</t>
  </si>
  <si>
    <t xml:space="preserve">EBITDA FY2025 (EBIT + D&amp;A)</t>
  </si>
  <si>
    <t xml:space="preserve">EV / EBITDA actual</t>
  </si>
  <si>
    <t xml:space="preserve">Mediana de comparables (Walmex, Chedraui, La Comer)</t>
  </si>
  <si>
    <t xml:space="preserve">(−) Descuento de Soriana vs. comparables</t>
  </si>
  <si>
    <t xml:space="preserve">Múltiplo de salida aplicado (EV/EBITDA)</t>
  </si>
  <si>
    <t xml:space="preserve">EBITDA 2030E</t>
  </si>
  <si>
    <t xml:space="preserve">Valor terminal por múltiplo al cierre de 2030</t>
  </si>
  <si>
    <t xml:space="preserve">Valor presente del valor terminal (múltiplo)</t>
  </si>
  <si>
    <t xml:space="preserve">EV por múltiplos</t>
  </si>
  <si>
    <t xml:space="preserve">Equity Value por múltiplos</t>
  </si>
  <si>
    <t xml:space="preserve">Precio por acción — múltiplos (MXN)</t>
  </si>
  <si>
    <t xml:space="preserve">Múltiplo EV/EBITDA implícito en Gordon</t>
  </si>
  <si>
    <t xml:space="preserve">g implícita en el múltiplo aplicado</t>
  </si>
  <si>
    <t xml:space="preserve">Peso del método Gordon</t>
  </si>
  <si>
    <t xml:space="preserve">Peso del método de múltiplos</t>
  </si>
  <si>
    <t xml:space="preserve">EV ponderado (cierre 2025)</t>
  </si>
  <si>
    <t xml:space="preserve">Precio por acción ponderado al cierre 2025 (MXN)</t>
  </si>
  <si>
    <t xml:space="preserve">11. VALOR A LA FECHA DE VALUACIÓN Y PRECIO OBJETIVO FINAL</t>
  </si>
  <si>
    <t xml:space="preserve">Fecha base del descuento</t>
  </si>
  <si>
    <t xml:space="preserve">Fecha del último balance disponible (2T26)</t>
  </si>
  <si>
    <t xml:space="preserve">Fecha de valuación</t>
  </si>
  <si>
    <t xml:space="preserve">Años del cierre 2025 al 2T26</t>
  </si>
  <si>
    <t xml:space="preserve">Años del 2T26 a la fecha de valuación</t>
  </si>
  <si>
    <t xml:space="preserve">EV ponderado al cierre 2025</t>
  </si>
  <si>
    <t xml:space="preserve">EV capitalizado al 2T26 = EV × (1 + WACC)^t</t>
  </si>
  <si>
    <t xml:space="preserve">(−) FCF de 1S26 (CFO − Capex real = −1,060.5; al ser negativo, restarlo aumenta el EV)</t>
  </si>
  <si>
    <t xml:space="preserve">EV al 2T26</t>
  </si>
  <si>
    <t xml:space="preserve">(−) Deuda bursátil y bancaria 2T26</t>
  </si>
  <si>
    <t xml:space="preserve">(−) Pasivo por arrendamiento 2T26</t>
  </si>
  <si>
    <t xml:space="preserve">(+) Efectivo y equivalentes 2T26</t>
  </si>
  <si>
    <t xml:space="preserve">Equity Value al 2T26</t>
  </si>
  <si>
    <t xml:space="preserve">Equity Value a la fecha de valuación = E × (1 + Ke)^t</t>
  </si>
  <si>
    <t xml:space="preserve">PRECIO OBJETIVO FINAL POR ACCIÓN (MXN)</t>
  </si>
  <si>
    <t xml:space="preserve">Recomendación final</t>
  </si>
  <si>
    <t xml:space="preserve">Diferencia vs. consenso</t>
  </si>
  <si>
    <t xml:space="preserve">INFLACIÓN — datos, modelos de clase, escenarios y transmisión al modelo</t>
  </si>
  <si>
    <t xml:space="preserve">Fuente de datos: Banco de México, serie SP74833 (INPC, variación anual, quincenal), consulta 07/10/2026, tomada de "MODELO DE INFLACION EN LA VALUACION DE EMPRESAS.xlsx" hoja INFLACION. Unidades: % anual.</t>
  </si>
  <si>
    <t xml:space="preserve">Convención de colores: amarillo = dato o supuesto capturado (con fuente) · verde = vínculo a otra hoja o archivo fuente · azul = resultado clave · blanco = cálculo.</t>
  </si>
  <si>
    <t xml:space="preserve">1. ESCENARIO DE INFLACIÓN APLICADO AL MODELO (entra a Proyección Final Soriana, fila 10)</t>
  </si>
  <si>
    <t xml:space="preserve">Escenario oficial (1 = Cautela · 2 = Base · 3 = Alcista)  ·  0 = Trayectoria Citi — Referencia (no es escenario)</t>
  </si>
  <si>
    <t xml:space="preserve">Decisión del proyecto: tres escenarios oficiales; Base por defecto. El valor 0 aplica la trayectoria Citi solo como referencia histórica (con la beta heredada reproduce el baseline $31.16).</t>
  </si>
  <si>
    <t xml:space="preserve">Fuente / naturaleza</t>
  </si>
  <si>
    <t xml:space="preserve">0 · Trayectoria Citi — Referencia histórica (no es escenario)</t>
  </si>
  <si>
    <t xml:space="preserve">Encuesta Citi de Expectativas, 22-sep-2026: cierre 2026 3.93%, 2027 3.83%, promedio 2028–32 3.75% (comentario original de Proyección Final!C10). Pronóstico de consenso por año: REFERENCIA HISTÓRICA del modelo anterior, no escenario oficial.</t>
  </si>
  <si>
    <t xml:space="preserve">1 · Cautela (constante)</t>
  </si>
  <si>
    <t xml:space="preserve">Ver sección 4: escenario derivado de la tendencia larga (no es pronóstico de modelo).</t>
  </si>
  <si>
    <t xml:space="preserve">2 · Base (constante)</t>
  </si>
  <si>
    <t xml:space="preserve">Ver sección 4: resultado de modelo (pronóstico exponencial trimestral de clase).</t>
  </si>
  <si>
    <t xml:space="preserve">3 · Alcista (constante)</t>
  </si>
  <si>
    <t xml:space="preserve">Ver sección 4: supuesto de escenario (no es pronóstico estadístico).</t>
  </si>
  <si>
    <t xml:space="preserve">INFLACIÓN APLICADA AL MODELO</t>
  </si>
  <si>
    <t xml:space="preserve">Proyección Final Soriana!C10:G10 = esta fila. Los escenarios constantes extienden a 2026–2030 un pronóstico de un periodo: es un supuesto documentado.</t>
  </si>
  <si>
    <t xml:space="preserve">2. CADENA DE TRANSMISIÓN DOCUMENTADA (solo relaciones sustentadas en el Excel)</t>
  </si>
  <si>
    <t xml:space="preserve">Eslabón</t>
  </si>
  <si>
    <t xml:space="preserve">Fórmula / regla</t>
  </si>
  <si>
    <t xml:space="preserve">Sustento</t>
  </si>
  <si>
    <t xml:space="preserve">Inflación (fila 13) → Proyección Final!C10:G10</t>
  </si>
  <si>
    <t xml:space="preserve">Vínculo directo</t>
  </si>
  <si>
    <t xml:space="preserve">Antes: valores capturados de la Encuesta Citi.</t>
  </si>
  <si>
    <t xml:space="preserve">→ Crecimiento nominal del mercado (C14)</t>
  </si>
  <si>
    <t xml:space="preserve">Crec. mercado = Inflación + PIB × elasticidad + ajuste de consumo</t>
  </si>
  <si>
    <t xml:space="preserve">Coeficiente 1.0 sobre la inflación (fórmula existente del Excel).</t>
  </si>
  <si>
    <t xml:space="preserve">→ Crecimiento por variables externas (C23)</t>
  </si>
  <si>
    <t xml:space="preserve">C23 = C14 + Σ ajustes (filas 15–22)</t>
  </si>
  <si>
    <t xml:space="preserve">Ajustes documentados en comentarios de cada celda.</t>
  </si>
  <si>
    <t xml:space="preserve">→ Crecimiento final de ventas (C28)</t>
  </si>
  <si>
    <t xml:space="preserve">C28 = peso externo × C23 + peso MC × C27</t>
  </si>
  <si>
    <t xml:space="preserve">Traspaso a ventas = 70% / 70% / 75% / 80% / 85% (pesos de la fila 6).</t>
  </si>
  <si>
    <t xml:space="preserve">→ Costo de ventas, gastos, D&amp;A, capital de trabajo</t>
  </si>
  <si>
    <t xml:space="preserve">% de ventas / días sobre costo</t>
  </si>
  <si>
    <t xml:space="preserve">Variables Externas!E6: 'eleva ventas nominales y costo de mercancía en proporción similar; efecto casi neutral en margen'.</t>
  </si>
  <si>
    <t xml:space="preserve">→ Margen EBIT</t>
  </si>
  <si>
    <t xml:space="preserve">Sin término de inflación</t>
  </si>
  <si>
    <t xml:space="preserve">Margen neutral (documentado).</t>
  </si>
  <si>
    <t xml:space="preserve">→ Capex</t>
  </si>
  <si>
    <t xml:space="preserve">2026 = 4,000 mdp (guía de Soriana, monto fijo); 2027–30 = % de ventas</t>
  </si>
  <si>
    <t xml:space="preserve">El capex 2026 no escala con la inflación.</t>
  </si>
  <si>
    <t xml:space="preserve">→ FCFF → EV → Equity → precio</t>
  </si>
  <si>
    <t xml:space="preserve">Fórmulas existentes</t>
  </si>
  <si>
    <t xml:space="preserve">El WACC solo cambia por la iteración (peso del equity).</t>
  </si>
  <si>
    <t xml:space="preserve">NO transmitido (sin sustento documental)</t>
  </si>
  <si>
    <t xml:space="preserve">Rf / WACC, beta, g, traspaso diferencial a costos</t>
  </si>
  <si>
    <t xml:space="preserve">Limitación documentada: con WACC nominal fijo, mayor inflación eleva el valor (menor WACC real).</t>
  </si>
  <si>
    <t xml:space="preserve">3. MODELOS EXPONENCIALES DE CLASE  y = a·e^(b·x)  (calculados en esta hoja: b = SLOPE(ln y, x), a = EXP(INTERCEPT(ln y, x)))</t>
  </si>
  <si>
    <t xml:space="preserve">Modelo</t>
  </si>
  <si>
    <t xml:space="preserve">a</t>
  </si>
  <si>
    <t xml:space="preserve">b</t>
  </si>
  <si>
    <t xml:space="preserve">R²</t>
  </si>
  <si>
    <t xml:space="preserve">x siguiente</t>
  </si>
  <si>
    <t xml:space="preserve">Proyección</t>
  </si>
  <si>
    <t xml:space="preserve">Lectura</t>
  </si>
  <si>
    <t xml:space="preserve">Inmediata (quincenal, último año: sep-25 a sep-26)</t>
  </si>
  <si>
    <t xml:space="preserve">Resultado de modelo. R² bajo (tendencia de corto plazo).</t>
  </si>
  <si>
    <t xml:space="preserve">Trimestral (4 promedios trimestrales del último año)</t>
  </si>
  <si>
    <t xml:space="preserve">Resultado de modelo → define el escenario BASE. Solo 4 puntos.</t>
  </si>
  <si>
    <t xml:space="preserve">Ventana larga quincenal 2023–2026</t>
  </si>
  <si>
    <t xml:space="preserve">Resultado de modelo de tendencia larga.</t>
  </si>
  <si>
    <t xml:space="preserve">Libro de clase, ventana quincenal (coeficientes redondeados 5.8812, −0.006)</t>
  </si>
  <si>
    <t xml:space="preserve">Reproduce INFLACION!T28 = 3.427%. El exponente redondeado sobrestima la proyección frente a la fila 34.</t>
  </si>
  <si>
    <t xml:space="preserve">Construcción de clase INFLACION!S113 (5 quincenas jul–sep 2026 + proyección de la fila 35)</t>
  </si>
  <si>
    <t xml:space="preserve">Es un promedio aritmético que mezcla datos observados y una proyección, no un modelo. Es la construcción más cercana al 3.26% documentado.</t>
  </si>
  <si>
    <t xml:space="preserve">Promedios trimestrales (6 quincenas) — libro de clase D19, D25, D31, D37</t>
  </si>
  <si>
    <t xml:space="preserve">x del promedio trimestral</t>
  </si>
  <si>
    <t xml:space="preserve">ln del promedio trimestral</t>
  </si>
  <si>
    <t xml:space="preserve">4. ESCENARIOS DOCUMENTADOS Y SU NATURALEZA</t>
  </si>
  <si>
    <t xml:space="preserve">Escenario</t>
  </si>
  <si>
    <t xml:space="preserve">Naturaleza</t>
  </si>
  <si>
    <t xml:space="preserve">Origen y trazabilidad</t>
  </si>
  <si>
    <t xml:space="preserve">Cautela</t>
  </si>
  <si>
    <t xml:space="preserve">Escenario derivado de la tendencia larga (no es pronóstico de modelo)</t>
  </si>
  <si>
    <t xml:space="preserve">Valor documentado en el Dossier ("ventana 2023-2026, trimestral 3.26%") y en Avances (escenario Cautela). Construcción de clase más cercana: fila 36 (3.268%). Modelos de tendencia larga calculados aquí: fila 34.</t>
  </si>
  <si>
    <t xml:space="preserve">Base</t>
  </si>
  <si>
    <t xml:space="preserve">Forecast / resultado de modelo: modelo exponencial trimestral de clase</t>
  </si>
  <si>
    <t xml:space="preserve">Fila 33 redondeada a 2 decimales en %. Reproduce el 3.51% del Dossier ("4.0327e^(−0.028x) → 3.51%") y de Avances. Horizonte: siguiente trimestre; su extensión a 2026–30 es un supuesto.</t>
  </si>
  <si>
    <t xml:space="preserve">Alcista</t>
  </si>
  <si>
    <t xml:space="preserve">Supuesto de escenario (scenario assumption; no es pronóstico estadístico)</t>
  </si>
  <si>
    <t xml:space="preserve">Avances de valuación intrínseca: "Alcista: inflación 4.0%". No proviene de ningún modelo. Referencia de contexto: el promedio trimestral máximo del último año fue 4.33% (fila 38).</t>
  </si>
  <si>
    <t xml:space="preserve">Nota: el selector no admite valores libres. Solo existen los tres escenarios oficiales de esta tabla; la trayectoria Citi (fila 9) es una referencia histórica.</t>
  </si>
  <si>
    <t xml:space="preserve">5. DATOS: INPC variación anual quincenal (Banxico SP74833) y columnas auxiliares de los modelos</t>
  </si>
  <si>
    <t xml:space="preserve">Quincena</t>
  </si>
  <si>
    <t xml:space="preserve">Inflación %</t>
  </si>
  <si>
    <t xml:space="preserve">x (2023–26)</t>
  </si>
  <si>
    <t xml:space="preserve">ln (2023–26)</t>
  </si>
  <si>
    <t xml:space="preserve">x (último año)</t>
  </si>
  <si>
    <t xml:space="preserve">ln (último año)</t>
  </si>
  <si>
    <t xml:space="preserve">Bloque trimestral</t>
  </si>
  <si>
    <t xml:space="preserve">6. ESTUDIO DE MERCADO DE CLASE (referencia; NO alimenta el DCF) — correlaciones y beta histórica</t>
  </si>
  <si>
    <t xml:space="preserve">Mes</t>
  </si>
  <si>
    <t xml:space="preserve">Cierre mensual Soriana B (MXN)</t>
  </si>
  <si>
    <t xml:space="preserve">Inflación mensual %</t>
  </si>
  <si>
    <t xml:space="preserve">Correlación precio–inflación</t>
  </si>
  <si>
    <t xml:space="preserve">Ventana</t>
  </si>
  <si>
    <t xml:space="preserve">Toda la muestra (23 meses)</t>
  </si>
  <si>
    <t xml:space="preserve">Anual (ene–sep 2026)</t>
  </si>
  <si>
    <t xml:space="preserve">Semestral (abr–sep 2026)</t>
  </si>
  <si>
    <t xml:space="preserve">Trimestral (jul–sep 2026)</t>
  </si>
  <si>
    <t xml:space="preserve">El Dossier reporta 0.26 / 0.61 / 0.65 / 0.70; el libro de clase da los valores de esta tabla (diferencias documentadas en la auditoría).</t>
  </si>
  <si>
    <t xml:space="preserve">Rend. diario Soriana B</t>
  </si>
  <si>
    <t xml:space="preserve">Rend. diario IPC</t>
  </si>
  <si>
    <t xml:space="preserve">BETA HISTÓRICA DEL ESTUDIO (regresión de rendimientos diarios Soriana vs IPC)</t>
  </si>
  <si>
    <t xml:space="preserve">Pendiente (beta) = SLOPE</t>
  </si>
  <si>
    <t xml:space="preserve">Observaciones</t>
  </si>
  <si>
    <t xml:space="preserve">Beta reportada en el libro de clase / Dossier</t>
  </si>
  <si>
    <t xml:space="preserve">SORIANA!Y2 = SLOPE(...)*10: el factor ×10 no tiene sustento; la regresión real es la fila anterior.</t>
  </si>
  <si>
    <t xml:space="preserve">BETA USADA EN EL WACC (distinta de la beta histórica)</t>
  </si>
  <si>
    <t xml:space="preserve">Beta desapalancada usada en el WACC</t>
  </si>
  <si>
    <t xml:space="preserve">Ver hoja 'Beta y Kd': beta sectorial de Damodaran (global, enero 2026), relevered con la estructura de capital de Soriana.</t>
  </si>
  <si>
    <t xml:space="preserve">Esta regresión NO alimenta el WACC</t>
  </si>
  <si>
    <t xml:space="preserve">R² cercano a cero y 62 observaciones diarias: no es una estimación defendible del riesgo sistemático de Soriana.</t>
  </si>
  <si>
    <t xml:space="preserve">BETA Y COSTO DE LA DEUDA — insumos del WACC con fuente, tratamiento e impacto</t>
  </si>
  <si>
    <t xml:space="preserve">Beta sectorial de Damodaran (global, enero 2026) desapalancada y reapalancada con la estructura de capital de Soriana (Hamada). La beta histórica de regresión es otro concepto (hoja Inflación §6).</t>
  </si>
  <si>
    <t xml:space="preserve">1. FUENTE EXTERNA: Damodaran, "Betas by Sector (Global)" — datos de enero de 2026</t>
  </si>
  <si>
    <t xml:space="preserve">Fuente / nota</t>
  </si>
  <si>
    <t xml:space="preserve">Fuente</t>
  </si>
  <si>
    <t xml:space="preserve">Aswath Damodaran, NYU Stern — Betas by Sector (Global)</t>
  </si>
  <si>
    <t xml:space="preserve">https://pages.stern.nyu.edu/~adamodar/New_Home_Page/datafile/BetasGlobal.html</t>
  </si>
  <si>
    <t xml:space="preserve">Fecha de los datos</t>
  </si>
  <si>
    <t xml:space="preserve">Enero de 2026</t>
  </si>
  <si>
    <t xml:space="preserve">Actualización anual de enero 2026 (consulta: 08-oct-2026).</t>
  </si>
  <si>
    <t xml:space="preserve">Industria</t>
  </si>
  <si>
    <t xml:space="preserve">Retail (Grocery and Food)</t>
  </si>
  <si>
    <t xml:space="preserve">Industria de Damodaran equivalente a autoservicio / supermercados (Soriana).</t>
  </si>
  <si>
    <t xml:space="preserve">Número de empresas</t>
  </si>
  <si>
    <t xml:space="preserve">Muestra global.</t>
  </si>
  <si>
    <t xml:space="preserve">Beta apalancada promedio de la industria (βL)</t>
  </si>
  <si>
    <t xml:space="preserve">Refleja la estructura de capital PROMEDIO de la industria, no la de Soriana.</t>
  </si>
  <si>
    <t xml:space="preserve">D/E de la industria</t>
  </si>
  <si>
    <t xml:space="preserve">Deuda / capital de mercado de la industria.</t>
  </si>
  <si>
    <t xml:space="preserve">Tasa efectiva de la industria</t>
  </si>
  <si>
    <t xml:space="preserve">Referencia.</t>
  </si>
  <si>
    <t xml:space="preserve">Tasa marginal usada por Damodaran para desapalancar</t>
  </si>
  <si>
    <t xml:space="preserve">Promedio global de tasas marginales.</t>
  </si>
  <si>
    <t xml:space="preserve">Beta desapalancada de la industria (βU)</t>
  </si>
  <si>
    <t xml:space="preserve">βU = βL / [1 + (1 − t) × D/E].</t>
  </si>
  <si>
    <t xml:space="preserve">Efectivo / valor de la empresa</t>
  </si>
  <si>
    <t xml:space="preserve">Beta desapalancada corregida por caja</t>
  </si>
  <si>
    <t xml:space="preserve">βU / (1 − caja/valor). Se documenta como sensibilidad; no se usa (ver sección 2).</t>
  </si>
  <si>
    <t xml:space="preserve">Control: βU recalculada = 0.87 / [1 + (1 − 0.2537) × 0.4596]</t>
  </si>
  <si>
    <t xml:space="preserve">La βU publicada (0.65) es consistente con la βL y la D/E publicadas (diferencia de redondeo).</t>
  </si>
  <si>
    <t xml:space="preserve">2. TRATAMIENTO ELEGIDO: βU sectorial reapalancada con la estructura de capital de Soriana</t>
  </si>
  <si>
    <t xml:space="preserve">El WACC del modelo reapalanca la beta en cada paso: βL = βU × [1 + (1 − t) × D/E] (WACC!B28 a valor de mercado; Proyección Final!E214:E219 en la iteración al valor DCF).</t>
  </si>
  <si>
    <t xml:space="preserve">Por eso el insumo correcto es una beta DESAPALANCADA. Usar la βL de 0.87 en esa fórmula aplicaría el apalancamiento dos veces (el de la industria y el de Soriana).</t>
  </si>
  <si>
    <t xml:space="preserve">Se usa la βU sin corrección por caja (0.65): Damodaran la obtuvo con D/E bruta y el modelo reapalanca con deuda bruta (bancaria + arrendamientos), así el tratamiento es simétrico; el efectivo se suma por separado en el puente EV → capital.</t>
  </si>
  <si>
    <t xml:space="preserve">La beta heredada 0.80 no tenía fuente en el Excel; coincide con la βU de "Grocery and Food" del archivo de Estados Unidos de Damodaran (15 empresas), pero la muestra global (215 empresas) es más representativa para una empresa mexicana.</t>
  </si>
  <si>
    <t xml:space="preserve">Beta heredada del Excel anterior (solo para reproducir el baseline histórico)</t>
  </si>
  <si>
    <t xml:space="preserve">Input del Excel definitivo anterior y del Material Maestro ("Sesión 2"), sin fuente documentada.</t>
  </si>
  <si>
    <t xml:space="preserve">Selector de beta (1 = Damodaran global, oficial · 0 = beta heredada 0.80, histórico)</t>
  </si>
  <si>
    <t xml:space="preserve">BETA DESAPALANCADA USADA EN EL WACC (βU)</t>
  </si>
  <si>
    <t xml:space="preserve">Alimenta WACC!B9 → WACC de mercado (WACC!B28:B33) e iteración (Proyección Final!B212).</t>
  </si>
  <si>
    <t xml:space="preserve">3. REAPALANCAMIENTO CON LA ESTRUCTURA DE CAPITAL DE SORIANA (vivo, con la beta seleccionada)</t>
  </si>
  <si>
    <t xml:space="preserve">A valor de mercado</t>
  </si>
  <si>
    <t xml:space="preserve">Iterado al valor DCF</t>
  </si>
  <si>
    <t xml:space="preserve">Fórmula / origen</t>
  </si>
  <si>
    <t xml:space="preserve">Beta desapalancada βU</t>
  </si>
  <si>
    <t xml:space="preserve">Sección 2.</t>
  </si>
  <si>
    <t xml:space="preserve">D/E</t>
  </si>
  <si>
    <t xml:space="preserve">Mercado: deuda 2025 / (precio × acciones). DCF: deuda / equity del DCF (última iteración).</t>
  </si>
  <si>
    <t xml:space="preserve">Tasa fiscal para reapalancar</t>
  </si>
  <si>
    <t xml:space="preserve">Mercado: ISR 30%. Iteración: tasa proyectada 2030E (28.80%).</t>
  </si>
  <si>
    <t xml:space="preserve">Beta reapalancada βL = βU × [1 + (1 − t) × D/E]</t>
  </si>
  <si>
    <t xml:space="preserve">Fórmula de Hamada.</t>
  </si>
  <si>
    <t xml:space="preserve">Tasa libre de riesgo</t>
  </si>
  <si>
    <t xml:space="preserve">WACC!B5.</t>
  </si>
  <si>
    <t xml:space="preserve">Prima de riesgo de mercado</t>
  </si>
  <si>
    <t xml:space="preserve">WACC!B8.</t>
  </si>
  <si>
    <t xml:space="preserve">Ke = Rf + βL × PRM</t>
  </si>
  <si>
    <t xml:space="preserve">CAPM.</t>
  </si>
  <si>
    <t xml:space="preserve">WACC del modelo</t>
  </si>
  <si>
    <t xml:space="preserve">Mercado: WACC!B33 (punto de partida de la iteración). DCF: WACC final.</t>
  </si>
  <si>
    <t xml:space="preserve">Control: βL de esta hoja = βL del modelo</t>
  </si>
  <si>
    <t xml:space="preserve">Debe ser 0.</t>
  </si>
  <si>
    <t xml:space="preserve">Referencia (NO usada): Ke con la βL de la industria 0.87 sin reapalancar</t>
  </si>
  <si>
    <t xml:space="preserve">Ignora la estructura de capital propia de Soriana; se muestra solo como comparación.</t>
  </si>
  <si>
    <t xml:space="preserve">4. IMPACTO DEL CAMBIO DE BETA (escenario Base; valores registrados al recalcular el libro con cada beta, tabla A de Validación)</t>
  </si>
  <si>
    <t xml:space="preserve">βU heredada 0.80</t>
  </si>
  <si>
    <t xml:space="preserve">βU Damodaran 0.65</t>
  </si>
  <si>
    <t xml:space="preserve">Cambio</t>
  </si>
  <si>
    <t xml:space="preserve">βU</t>
  </si>
  <si>
    <t xml:space="preserve">Menor βU → menor βL y Ke → menor WACC → mayor EV y precio. El cambio no altera los flujos (FCF) ni el puente.</t>
  </si>
  <si>
    <t xml:space="preserve">βL iterada</t>
  </si>
  <si>
    <t xml:space="preserve">Ke iterado</t>
  </si>
  <si>
    <t xml:space="preserve">WACC iterado</t>
  </si>
  <si>
    <t xml:space="preserve">WACC a valor de mercado</t>
  </si>
  <si>
    <t xml:space="preserve">Ke a valor de mercado</t>
  </si>
  <si>
    <t xml:space="preserve">EV ponderado al cierre 2025 (mdp)</t>
  </si>
  <si>
    <t xml:space="preserve">Equity a la fecha de valuación (mdp)</t>
  </si>
  <si>
    <t xml:space="preserve">Precio DCF (MXN)</t>
  </si>
  <si>
    <t xml:space="preserve">Precio combinado (MXN)</t>
  </si>
  <si>
    <t xml:space="preserve">5. COSTO DE LA DEUDA (Kd) — se conserva 10% con su fuente</t>
  </si>
  <si>
    <t xml:space="preserve">Kd antes de impuestos usado en la iteración (Proyección Final!C61)</t>
  </si>
  <si>
    <t xml:space="preserve">Fuente (comentario original de la celda C61): Encuesta Citi — tasa Banxico 6.50% a fin de 2026 y 2027 (imagenradio.com.mx, 22-sep-2026) y gastos financieros 1S26 de la hoja Datos.</t>
  </si>
  <si>
    <t xml:space="preserve">Control: intereses 1S26 anualizados / deuda total 2T26</t>
  </si>
  <si>
    <t xml:space="preserve">(588 + 582) × 2 / 23,720.6 (deuda bancaria + arrendamientos al 2T26).</t>
  </si>
  <si>
    <t xml:space="preserve">Diferencia</t>
  </si>
  <si>
    <t xml:space="preserve">El 10% es consistente con el costo observado del 1S26.</t>
  </si>
  <si>
    <t xml:space="preserve">Referencia (NO usada): tasa implícita FY2025 = gastos financieros / deuda (WACC!B31)</t>
  </si>
  <si>
    <t xml:space="preserve">Incluye intereses de deuda ya amortizada en 2025; solo alimenta el WACC a valor de mercado (punto de partida).</t>
  </si>
  <si>
    <t xml:space="preserve">TRADING COMPS — múltiplos de empresas públicas comparables (metodología de clase: CIQ Valuations, diap. 4–9 y 20)</t>
  </si>
  <si>
    <t xml:space="preserve">Fuente: S&amp;P Capital IQ, "MULTIPLOS DE SORIANA Y COMPETIDORES.xls" (Quick Comparable Analysis, plantilla Capital IQ Default Comps), as-of 30-Jun-2026, USD al tipo de cambio del día de exportación. Los múltiplos no tienen unidades; las métricas de Soriana son MXN (mdp) del Excel.</t>
  </si>
  <si>
    <t xml:space="preserve">1. GRUPO COMPARABLE: datos CIQ y revisión de comparabilidad</t>
  </si>
  <si>
    <t xml:space="preserve">Empresa (CIQ)</t>
  </si>
  <si>
    <t xml:space="preserve">País</t>
  </si>
  <si>
    <t xml:space="preserve">Industria primaria (CIQ)</t>
  </si>
  <si>
    <t xml:space="preserve">Modelo de negocio</t>
  </si>
  <si>
    <t xml:space="preserve">TEV USD mm</t>
  </si>
  <si>
    <t xml:space="preserve">Ventas LTM USD mm</t>
  </si>
  <si>
    <t xml:space="preserve">Mg EBITDA</t>
  </si>
  <si>
    <t xml:space="preserve">Crec. ventas</t>
  </si>
  <si>
    <t xml:space="preserve">Deuda/ EBITDA</t>
  </si>
  <si>
    <t xml:space="preserve">Clasificación</t>
  </si>
  <si>
    <t xml:space="preserve">Incluir (1/0)</t>
  </si>
  <si>
    <t xml:space="preserve">Razón</t>
  </si>
  <si>
    <t xml:space="preserve">EV/Ventas LTM</t>
  </si>
  <si>
    <t xml:space="preserve">EV/EBITDA LTM</t>
  </si>
  <si>
    <t xml:space="preserve">EV/EBIT LTM</t>
  </si>
  <si>
    <t xml:space="preserve">P/U LTM</t>
  </si>
  <si>
    <t xml:space="preserve">P/VL tangible</t>
  </si>
  <si>
    <t xml:space="preserve">EV/EBITDA NTM</t>
  </si>
  <si>
    <t xml:space="preserve">P/U NTM</t>
  </si>
  <si>
    <t xml:space="preserve">Grupo Comercial Chedraui, S.A.B. de C.V. (BMV:CHDRAUI B)</t>
  </si>
  <si>
    <t xml:space="preserve">Mexico</t>
  </si>
  <si>
    <t xml:space="preserve">Food Retail</t>
  </si>
  <si>
    <t xml:space="preserve">Autoservicio multiformato</t>
  </si>
  <si>
    <t xml:space="preserve">Incluir</t>
  </si>
  <si>
    <t xml:space="preserve">Par más cercano: mismo formato y país; margen EBITDA (6.4%) y crecimiento (−3.4%) casi iguales a los de Soriana.</t>
  </si>
  <si>
    <t xml:space="preserve">Grupo Mateus S.A. (BOVESPA:GMAT3)</t>
  </si>
  <si>
    <t xml:space="preserve">Brazil</t>
  </si>
  <si>
    <t xml:space="preserve">Consumer Staples Merchandise Retail</t>
  </si>
  <si>
    <t xml:space="preserve">Supermercados y mayoreo</t>
  </si>
  <si>
    <t xml:space="preserve">Incluir con reserva</t>
  </si>
  <si>
    <t xml:space="preserve">Formato comparable; geografía (Brasil) y crecimiento (18.7%) distintos; P/U 4.7x atípico.</t>
  </si>
  <si>
    <t xml:space="preserve">El Puerto de Liverpool, S.A.B. de C.V. (BMV:LIVEPOL C-1)</t>
  </si>
  <si>
    <t xml:space="preserve">Broadline Retail</t>
  </si>
  <si>
    <t xml:space="preserve">Departamentales + crédito + inmobiliario</t>
  </si>
  <si>
    <t xml:space="preserve">Excluir</t>
  </si>
  <si>
    <t xml:space="preserve">Industria distinta (Broadline Retail); negocio financiero; margen EBITDA del doble (14.2%).</t>
  </si>
  <si>
    <t xml:space="preserve">Wal-Mart de México, S.A.B. de C.V. (BMV:WALMEX *)</t>
  </si>
  <si>
    <t xml:space="preserve">Autoservicio, descuento y club</t>
  </si>
  <si>
    <t xml:space="preserve">Competidor directo; 12 veces el tamaño de Soriana y líder del mercado (prima de múltiplo).</t>
  </si>
  <si>
    <t xml:space="preserve">La Comer, S.A.B. de C.V. (BMV:LACOMER UBC)</t>
  </si>
  <si>
    <t xml:space="preserve">Autoservicio premium</t>
  </si>
  <si>
    <t xml:space="preserve">Competidor directo; más pequeña, formato premium, más rentable (10.0%) y sin deuda neta.</t>
  </si>
  <si>
    <t xml:space="preserve">Sendas Distribuidora S.A. (BOVESPA:ASAI3)</t>
  </si>
  <si>
    <t xml:space="preserve">Mayoreo cash &amp; carry</t>
  </si>
  <si>
    <t xml:space="preserve">Formato comparable a City Club; Brasil; apalancamiento alto (4.0x) distorsiona P/U.</t>
  </si>
  <si>
    <t xml:space="preserve">Cencosud S.A. (SNSE:CENCOSUD)</t>
  </si>
  <si>
    <t xml:space="preserve">Chile</t>
  </si>
  <si>
    <t xml:space="preserve">Supermercados + mejoramiento del hogar + departamentales + centros comerciales</t>
  </si>
  <si>
    <t xml:space="preserve">Diversificada (Chile); EBITDA LTM −29.5% infla EV/EBITDA y EV/EBIT.</t>
  </si>
  <si>
    <t xml:space="preserve">InRetail Perú Corp. (BVL:INRETC1)</t>
  </si>
  <si>
    <t xml:space="preserve">Peru</t>
  </si>
  <si>
    <t xml:space="preserve">Supermercados, farmacias, centros comerciales</t>
  </si>
  <si>
    <t xml:space="preserve">Multiformato (Perú) con negocios no comparables (farmacia, inmobiliario).</t>
  </si>
  <si>
    <t xml:space="preserve">Fomento Económico Mexicano, S.A.B. de C.V. (BMV:FEMSA UBD)</t>
  </si>
  <si>
    <t xml:space="preserve">Soft Drinks and Non-alcoholic Beverages</t>
  </si>
  <si>
    <t xml:space="preserve">Embotellador Coca-Cola + OXXO + salud + combustible</t>
  </si>
  <si>
    <t xml:space="preserve">Industria distinta (Soft Drinks); P/U 25.9x.</t>
  </si>
  <si>
    <t xml:space="preserve">Falabella S.A. (SNSE:FALABELLA)</t>
  </si>
  <si>
    <t xml:space="preserve">Departamentales, mejoramiento del hogar, banca</t>
  </si>
  <si>
    <t xml:space="preserve">Industria distinta (Broadline Retail); negocio financiero.</t>
  </si>
  <si>
    <t xml:space="preserve">Organización Soriana, S. A. B. de C. V. (BMV:SORIANA B) — empresa objetivo (no forma parte de la muestra)</t>
  </si>
  <si>
    <t xml:space="preserve">Industria primaria CIQ: hoja Credit Health Panel. Múltiplos: hoja Trading Multiples (publicados por CIQ, 1–2 decimales). No se recalculan: el EBITDA de la hoja Financial Data no reproduce el múltiplo LTM publicado (p. ej., Chedraui 7.24x vs 5.7x); el múltiplo publicado de Soriana (6.3x) es consistente con el EBITDA reportado con arrendamientos (~11,900 mdp), el mismo del Excel.</t>
  </si>
  <si>
    <t xml:space="preserve">Control de transcripción: media de CIQ (10 empresas, hoja Trading Multiples, fila Mean)</t>
  </si>
  <si>
    <t xml:space="preserve">Media recalculada de los 10 múltiplos publicados</t>
  </si>
  <si>
    <t xml:space="preserve">2. MÉTRICAS DE SORIANA (MXN, LTM 3T25–2T26 = mismo corte que el as-of de CIQ) Y PUENTE EV → CAPITAL AL 2T26</t>
  </si>
  <si>
    <t xml:space="preserve">Ventas LTM (mdp)</t>
  </si>
  <si>
    <t xml:space="preserve">Datos!C6:F6</t>
  </si>
  <si>
    <t xml:space="preserve">EBIT LTM (mdp)</t>
  </si>
  <si>
    <t xml:space="preserve">Datos!C9:F9</t>
  </si>
  <si>
    <t xml:space="preserve">D&amp;A LTM (mdp)</t>
  </si>
  <si>
    <t xml:space="preserve">Datos!C14:F14</t>
  </si>
  <si>
    <t xml:space="preserve">EBITDA LTM (mdp) = EBIT + D&amp;A</t>
  </si>
  <si>
    <t xml:space="preserve">Cálculo (mismo EBITDA que el Excel: incluye D&amp;A de arrendamientos)</t>
  </si>
  <si>
    <t xml:space="preserve">Utilidad neta LTM (mdp)</t>
  </si>
  <si>
    <t xml:space="preserve">Datos!C13:F13</t>
  </si>
  <si>
    <t xml:space="preserve">WACC!B17</t>
  </si>
  <si>
    <t xml:space="preserve">UPA LTM (MXN)</t>
  </si>
  <si>
    <t xml:space="preserve">Cálculo</t>
  </si>
  <si>
    <t xml:space="preserve">Datos!F17</t>
  </si>
  <si>
    <t xml:space="preserve">Datos!F25:F26</t>
  </si>
  <si>
    <t xml:space="preserve">Datos!F27:F28 (arrendamientos como deuda, igual que el DCF y el TEV de CIQ)</t>
  </si>
  <si>
    <t xml:space="preserve">(−) Interés minoritario</t>
  </si>
  <si>
    <t xml:space="preserve">NA en MXN: no está en el Excel. CIQ reporta 8.4 USD mm (≈0.3% del capital); convertirlo requeriría un tipo de cambio sin fuente. Se omite, igual que en el puente del DCF.</t>
  </si>
  <si>
    <t xml:space="preserve">(−) Capital preferente</t>
  </si>
  <si>
    <t xml:space="preserve">Soriana no tiene capital preferente (CIQ: "-")</t>
  </si>
  <si>
    <t xml:space="preserve">Ajuste neto EV → capital (mdp)</t>
  </si>
  <si>
    <t xml:space="preserve">Diap. 7: caja + inversiones CP − deuda − minoritarios − preferentes</t>
  </si>
  <si>
    <t xml:space="preserve">3. MÚLTIPLOS: selección (NM = calculable pero sin utilidad analítica · NA = falta el dato)</t>
  </si>
  <si>
    <t xml:space="preserve">Múltiplo</t>
  </si>
  <si>
    <t xml:space="preserve">Tipo</t>
  </si>
  <si>
    <t xml:space="preserve">Métrica de Soriana</t>
  </si>
  <si>
    <t xml:space="preserve">Usar (1/0)</t>
  </si>
  <si>
    <t xml:space="preserve">Estado</t>
  </si>
  <si>
    <t xml:space="preserve">Justificación</t>
  </si>
  <si>
    <t xml:space="preserve">EV</t>
  </si>
  <si>
    <t xml:space="preserve">Usado</t>
  </si>
  <si>
    <t xml:space="preserve">Múltiplo central de retail; EBITDA comparable (con arrendamientos).</t>
  </si>
  <si>
    <t xml:space="preserve">Incorpora la intensidad de capital (D&amp;A).</t>
  </si>
  <si>
    <t xml:space="preserve">P</t>
  </si>
  <si>
    <t xml:space="preserve">Múltiplo de precio sobre UPA diluida (CIQ "P/Diluted EPS Before Extra").</t>
  </si>
  <si>
    <t xml:space="preserve">Excluido</t>
  </si>
  <si>
    <t xml:space="preserve">No es NM ni NA: se excluye porque ignora el margen; los pares van de 5.6% a 11.0% de margen EBITDA y Soriana es de los más bajos, lo que sobrevaloraría el resultado.</t>
  </si>
  <si>
    <t xml:space="preserve">NA</t>
  </si>
  <si>
    <t xml:space="preserve">El valor en libros tangible por acción de Soriana en MXN no está en el Excel; además el valor contable no explica el valor en retail (Sendas 17.1x).</t>
  </si>
  <si>
    <t xml:space="preserve">No existe EBITDA NTM de consenso para Soriana en MXN (CIQ lo da en USD; convertirlo requiere un tipo de cambio sin fuente).</t>
  </si>
  <si>
    <t xml:space="preserve">Ídem: UPA NTM de consenso solo en USD.</t>
  </si>
  <si>
    <t xml:space="preserve">4. ESTADÍSTICOS DE LA MUESTRA (solo empresas con Incluir = 1) Y PRECIO IMPLÍCITO POR ACCIÓN (MXN)</t>
  </si>
  <si>
    <t xml:space="preserve">Muestra filtrada (helper): múltiplo si Incluir = 1, vacío si no</t>
  </si>
  <si>
    <t xml:space="preserve">Empresa</t>
  </si>
  <si>
    <t xml:space="preserve">EV/Ventas</t>
  </si>
  <si>
    <t xml:space="preserve">EV/EBITDA</t>
  </si>
  <si>
    <t xml:space="preserve">EV/EBIT</t>
  </si>
  <si>
    <t xml:space="preserve">Estadístico (múltiplo)</t>
  </si>
  <si>
    <t xml:space="preserve">Precio: EV/Ventas</t>
  </si>
  <si>
    <t xml:space="preserve">Precio: EV/EBITDA</t>
  </si>
  <si>
    <t xml:space="preserve">Precio: EV/EBIT</t>
  </si>
  <si>
    <t xml:space="preserve">Precio: P/U</t>
  </si>
  <si>
    <t xml:space="preserve">Mínimo</t>
  </si>
  <si>
    <t xml:space="preserve">Percentil 25</t>
  </si>
  <si>
    <t xml:space="preserve">Mediana</t>
  </si>
  <si>
    <t xml:space="preserve">Percentil 75</t>
  </si>
  <si>
    <t xml:space="preserve">Máximo</t>
  </si>
  <si>
    <t xml:space="preserve">Precio implícito (múltiplos EV) = (múltiplo × métrica + ajuste neto) ÷ acciones; (múltiplos de precio) = múltiplo × UPA. "NM" si el capital implícito es ≤ 0 (diap. 20). Percentiles con interpolación inclusiva (convención del ejemplo de clase, diap. 8).</t>
  </si>
  <si>
    <t xml:space="preserve">Detalle a la MEDIA</t>
  </si>
  <si>
    <t xml:space="preserve">Métrica de Soriana (mdp o MXN/acción)</t>
  </si>
  <si>
    <t xml:space="preserve">EV implícito (mdp)</t>
  </si>
  <si>
    <t xml:space="preserve">n.a. (múltiplo de precio)</t>
  </si>
  <si>
    <t xml:space="preserve">Equity Value implícito (mdp)</t>
  </si>
  <si>
    <t xml:space="preserve">Precio implícito (MXN/acción)</t>
  </si>
  <si>
    <t xml:space="preserve">5. VALOR DE TRADING COMPS (regla de clase, diap. 9: promedio simple de los precios implícitos con la MEDIA de cada múltiplo usado)</t>
  </si>
  <si>
    <t xml:space="preserve">TRADING COMPS — precio por acción (MXN)</t>
  </si>
  <si>
    <t xml:space="preserve">Rango P25 (promedio de precios a P25 de los múltiplos usados)</t>
  </si>
  <si>
    <t xml:space="preserve">Rango P75 (promedio de precios a P75 de los múltiplos usados)</t>
  </si>
  <si>
    <t xml:space="preserve">Precio de mercado de referencia (MXN)</t>
  </si>
  <si>
    <t xml:space="preserve">Potencial vs. precio</t>
  </si>
  <si>
    <t xml:space="preserve">Número de múltiplos usados</t>
  </si>
  <si>
    <t xml:space="preserve">Fecha del valor: precios de mercado de los pares al 30-jun-2026 (as-of CIQ) y puente al 2T26. No se lleva a la fecha de valuación del DCF (01-oct-2026): la metodología de clase no lo prevé; la diferencia de fechas queda documentada.</t>
  </si>
  <si>
    <t xml:space="preserve">PRECEDENT TRANSACTIONS — múltiplos de operaciones de M&amp;A (metodología de clase: CIQ Valuations, diap. 10–11 y 20)</t>
  </si>
  <si>
    <t xml:space="preserve">Fuente: S&amp;P Capital IQ, "TRANSACCIONES INDUSTRIA RETAIL.xls" (Comparable M&amp;A Transactions para Soriana). TEV y tamaño en MXN mm; múltiplos implícitos de la transacción (publicados con 1 decimal).</t>
  </si>
  <si>
    <t xml:space="preserve">1. PARÁMETROS DE SELECCIÓN (diap. 10)</t>
  </si>
  <si>
    <t xml:space="preserve">Ventana (años)</t>
  </si>
  <si>
    <t xml:space="preserve">Diap. 10: "últimos tres años".</t>
  </si>
  <si>
    <t xml:space="preserve">Inicio de la ventana</t>
  </si>
  <si>
    <t xml:space="preserve">Geografía de la empresa objetivo</t>
  </si>
  <si>
    <t xml:space="preserve">México</t>
  </si>
  <si>
    <t xml:space="preserve">Diap. 10: "misma geografía". La ampliación de industria y luego global requiere otra búsqueda en CIQ, que no está disponible; no se inventan operaciones.</t>
  </si>
  <si>
    <t xml:space="preserve">Mínimo de múltiplos por operación</t>
  </si>
  <si>
    <t xml:space="preserve">Diap. 10: "al menos dos múltiplos de valor".</t>
  </si>
  <si>
    <t xml:space="preserve">2. OPERACIONES (datos CIQ) Y EVALUACIÓN DE CRITERIOS</t>
  </si>
  <si>
    <t xml:space="preserve">Anunciada</t>
  </si>
  <si>
    <t xml:space="preserve">ID CIQ</t>
  </si>
  <si>
    <t xml:space="preserve">Objetivo</t>
  </si>
  <si>
    <t xml:space="preserve">Comprador</t>
  </si>
  <si>
    <t xml:space="preserve">Vendedor</t>
  </si>
  <si>
    <t xml:space="preserve">TEV objetivo (MXN mm)</t>
  </si>
  <si>
    <t xml:space="preserve">Tamaño (MXN mm)</t>
  </si>
  <si>
    <t xml:space="preserve">País del objetivo</t>
  </si>
  <si>
    <t xml:space="preserve">¿Ventana?</t>
  </si>
  <si>
    <t xml:space="preserve">¿Geografía?</t>
  </si>
  <si>
    <t xml:space="preserve">¿≥2 múltiplos?</t>
  </si>
  <si>
    <t xml:space="preserve">¿Control?</t>
  </si>
  <si>
    <t xml:space="preserve">Industria del objetivo</t>
  </si>
  <si>
    <t xml:space="preserve">IQTR1859160803</t>
  </si>
  <si>
    <t xml:space="preserve">Almacenes Éxito S.A.</t>
  </si>
  <si>
    <t xml:space="preserve">Super Selectos El Salvador</t>
  </si>
  <si>
    <t xml:space="preserve">Casino, Guichard-Perrachon S.A., Companhia Brasileira De Distribuicao, GÉAnt International B.V., Segisor S.A.S., Helicco Participações Ltda., GPA 2 Empreendimentos E Participacoes LTDA.</t>
  </si>
  <si>
    <t xml:space="preserve">Colombia</t>
  </si>
  <si>
    <t xml:space="preserve">Sí</t>
  </si>
  <si>
    <t xml:space="preserve">Oferta por el control de Éxito; varios vendedores del grupo Casino. Única operación dentro de la ventana (por 15 días).</t>
  </si>
  <si>
    <t xml:space="preserve">Supermercados / autoservicio (Grupo Éxito)</t>
  </si>
  <si>
    <t xml:space="preserve">IQTR629442326</t>
  </si>
  <si>
    <t xml:space="preserve">InRetail Perú Corp.</t>
  </si>
  <si>
    <t xml:space="preserve">-</t>
  </si>
  <si>
    <t xml:space="preserve">Nexus Group</t>
  </si>
  <si>
    <t xml:space="preserve">Perú</t>
  </si>
  <si>
    <t xml:space="preserve">Dudoso</t>
  </si>
  <si>
    <t xml:space="preserve">Comprador no identificado; tamaño 4,590 = 3.9% del TEV → probable venta minoritaria o secundaria, no de control. Fuera de la ventana.</t>
  </si>
  <si>
    <t xml:space="preserve">Supermercados, farmacias y centros comerciales</t>
  </si>
  <si>
    <t xml:space="preserve">IQTR626096522</t>
  </si>
  <si>
    <t xml:space="preserve">Sendas Distribuidora S.A.</t>
  </si>
  <si>
    <t xml:space="preserve">Casino, Guichard-Perrachon S.A.</t>
  </si>
  <si>
    <t xml:space="preserve">Vendedor Casino y comprador Sendas, ambos del grupo Casino según los datos → posible reestructura intra-grupo. Tamaño 130,645 &gt; TEV 56,675 (dato inconsistente). Fuera de la ventana.</t>
  </si>
  <si>
    <t xml:space="preserve">Resumen CIQ del export (control)</t>
  </si>
  <si>
    <t xml:space="preserve">Media publicada (export, fila Mean)</t>
  </si>
  <si>
    <t xml:space="preserve">País del objetivo: dato público de las empresas (Almacenes Éxito, Colombia; InRetail Perú, Perú); el export CIQ no lo incluye. Incluir = 1 en las tres por decisión del proyecto ("usar las tres transacciones disponibles"), con sus limitaciones documentadas.</t>
  </si>
  <si>
    <t xml:space="preserve">Cumplen la ventana</t>
  </si>
  <si>
    <t xml:space="preserve">Cumplen la geografía</t>
  </si>
  <si>
    <t xml:space="preserve">Operaciones de control claras</t>
  </si>
  <si>
    <t xml:space="preserve">Margen EBITDA implícito del objetivo (EV/Ventas ÷ EV/EBITDA)</t>
  </si>
  <si>
    <t xml:space="preserve">3. ESTADÍSTICOS (operaciones con Incluir = 1) Y PRECIO IMPLÍCITO (mismo puente al 2T26 que Trading Comps)</t>
  </si>
  <si>
    <t xml:space="preserve">Muestra filtrada (helper)</t>
  </si>
  <si>
    <t xml:space="preserve">Estadístico</t>
  </si>
  <si>
    <t xml:space="preserve">Precio EV/Ventas</t>
  </si>
  <si>
    <t xml:space="preserve">Precio EV/EBITDA</t>
  </si>
  <si>
    <t xml:space="preserve">Múltiplo (media de la muestra)</t>
  </si>
  <si>
    <t xml:space="preserve">Métrica de Soriana (mdp, LTM)</t>
  </si>
  <si>
    <t xml:space="preserve">(+/−) Ajuste neto EV → capital (mdp)</t>
  </si>
  <si>
    <t xml:space="preserve">4. VALOR DE PRECEDENT TRANSACTIONS (método de REFERENCIA — muestra no defendible)</t>
  </si>
  <si>
    <t xml:space="preserve">Mismo criterio que Trading Comps.</t>
  </si>
  <si>
    <t xml:space="preserve">Mismo criterio que Trading Comps: ignora el margen; los márgenes implícitos de los objetivos van de 5.8% a 13.2% (fila de margen implícito).</t>
  </si>
  <si>
    <t xml:space="preserve">PRECEDENT TRANSACTIONS — precio por acción (MXN)</t>
  </si>
  <si>
    <t xml:space="preserve">Rango (mín–máx del EV/EBITDA)</t>
  </si>
  <si>
    <t xml:space="preserve">ADVERTENCIA: solo 1 de 3 operaciones cumple la ventana de 3 años, ninguna la geografía, y 2 tienen carácter de control dudoso. Con n = 3 (o n = 1 dentro de la ventana) el resultado no es estadísticamente defendible. El método se calcula y se muestra como referencia, con peso 0% en la valuación combinada (decisión del proyecto). Las transacciones de control incluyen una prima de control (diap. 11, nota).</t>
  </si>
  <si>
    <t xml:space="preserve">VALUACIÓN COMBINADA — DCF + Trading Comps + Precedent Transactions (metodología de clase, diap. 3 y 18)</t>
  </si>
  <si>
    <t xml:space="preserve">Precio combinado = Σ (peso × precio del método) / Σ pesos. Pesos visibles y editables (celdas amarillas).</t>
  </si>
  <si>
    <t xml:space="preserve">Método</t>
  </si>
  <si>
    <t xml:space="preserve">Peso aplicado</t>
  </si>
  <si>
    <t xml:space="preserve">Peso regla de clase</t>
  </si>
  <si>
    <t xml:space="preserve">Contribución</t>
  </si>
  <si>
    <t xml:space="preserve">Origen del precio y del peso</t>
  </si>
  <si>
    <t xml:space="preserve">¿Contribuye?</t>
  </si>
  <si>
    <t xml:space="preserve">DCF (ValuFlow, precio objetivo a la fecha de valuación)</t>
  </si>
  <si>
    <t xml:space="preserve">Proyección Final Soriana!B265. Metodología principal existente. Peso: con Transactions en 0%, se conserva la regla de clase de pesos iguales entre los métodos activos (50/50).</t>
  </si>
  <si>
    <t xml:space="preserve">Trading Comps</t>
  </si>
  <si>
    <t xml:space="preserve">Trading Comps (sección 5). Metodología complementaria. Peso igual al DCF por la regla de pesos iguales de la diap. 18.</t>
  </si>
  <si>
    <t xml:space="preserve">Precedent Transactions</t>
  </si>
  <si>
    <t xml:space="preserve">Precedent Transactions (sección 4). Peso 0% por decisión del proyecto: la muestra no es defendible. El método sigue calculándose.</t>
  </si>
  <si>
    <t xml:space="preserve">Suma de pesos</t>
  </si>
  <si>
    <t xml:space="preserve">PRECIO COMBINADO (MXN por acción)</t>
  </si>
  <si>
    <t xml:space="preserve">Regla: los pesos deben sumar exactamente 100%; un método con peso y sin precio deja el resultado en NA (no se toma como cero).</t>
  </si>
  <si>
    <t xml:space="preserve">Precio de mercado (MXN, 25-sep-2026)</t>
  </si>
  <si>
    <t xml:space="preserve">Diferencia vs. precio (MXN)</t>
  </si>
  <si>
    <t xml:space="preserve">Potencial / (baja)</t>
  </si>
  <si>
    <t xml:space="preserve">Memo: resultado con la regla de clase (⅓ cada método)</t>
  </si>
  <si>
    <t xml:space="preserve">Solo como referencia de la regla de pesos iguales: incluye la muestra de transacciones no defendible.</t>
  </si>
  <si>
    <t xml:space="preserve">RANGO POR MÉTODO (MXN por acción)</t>
  </si>
  <si>
    <t xml:space="preserve">Bajo</t>
  </si>
  <si>
    <t xml:space="preserve">Central</t>
  </si>
  <si>
    <t xml:space="preserve">Alto</t>
  </si>
  <si>
    <t xml:space="preserve">Definición del rango</t>
  </si>
  <si>
    <t xml:space="preserve">DCF</t>
  </si>
  <si>
    <t xml:space="preserve">Mínimo y máximo de los tres escenarios oficiales de inflación (Validación, tabla A; la referencia Citi no entra al rango).</t>
  </si>
  <si>
    <t xml:space="preserve">Promedio de los precios a P25 y P75 de los múltiplos usados (barra central del football field, diap. 19).</t>
  </si>
  <si>
    <t xml:space="preserve">Precedent Transactions (referencia)</t>
  </si>
  <si>
    <t xml:space="preserve">Mínimo y máximo del EV/EBITDA de las 3 operaciones.</t>
  </si>
  <si>
    <t xml:space="preserve">VALIDACIÓN — controles independientes del modelo integrado</t>
  </si>
  <si>
    <t xml:space="preserve">Cada control recalcula el resultado por una vía distinta y lo compara con el resultado del modelo. PASS = diferencia dentro de la tolerancia.</t>
  </si>
  <si>
    <t xml:space="preserve">A. TABLA DE ESCENARIOS (valores registrados al recalcular el libro con cada combinación de selectores)</t>
  </si>
  <si>
    <t xml:space="preserve">Combinación</t>
  </si>
  <si>
    <t xml:space="preserve">Celda de origen</t>
  </si>
  <si>
    <t xml:space="preserve">Histórico (Citi + βU 0.80)</t>
  </si>
  <si>
    <t xml:space="preserve">Referencia Citi (βU 0.65)</t>
  </si>
  <si>
    <t xml:space="preserve">Base (oficial)</t>
  </si>
  <si>
    <t xml:space="preserve">Base con βU 0.80</t>
  </si>
  <si>
    <t xml:space="preserve">Nota</t>
  </si>
  <si>
    <t xml:space="preserve">Inflación aplicada 2026</t>
  </si>
  <si>
    <t xml:space="preserve">'Inflación'!B13</t>
  </si>
  <si>
    <t xml:space="preserve">Valores registrados al construir el libro: se recalcula el modelo completo con cada combinación (tools/excel/scenarios.py). El control "combinación activa = tabla" verifica que el modelo vivo coincide con su columna.</t>
  </si>
  <si>
    <t xml:space="preserve">βU usada</t>
  </si>
  <si>
    <t xml:space="preserve">'Beta y Kd'!B28</t>
  </si>
  <si>
    <t xml:space="preserve">Precio DCF final (MXN)</t>
  </si>
  <si>
    <t xml:space="preserve">'Proyección Final Soriana'!B265</t>
  </si>
  <si>
    <t xml:space="preserve">'Proyección Final Soriana'!B263</t>
  </si>
  <si>
    <t xml:space="preserve">'Proyección Final Soriana'!B245</t>
  </si>
  <si>
    <t xml:space="preserve">'Proyección Final Soriana'!B126</t>
  </si>
  <si>
    <t xml:space="preserve">'Proyección Final Soriana'!B221</t>
  </si>
  <si>
    <t xml:space="preserve">'Proyección Final Soriana'!E219</t>
  </si>
  <si>
    <t xml:space="preserve">WACC!B33</t>
  </si>
  <si>
    <t xml:space="preserve">WACC!B29</t>
  </si>
  <si>
    <t xml:space="preserve">FCF 2030E (mdp)</t>
  </si>
  <si>
    <t xml:space="preserve">'Proyección Final Soriana'!G117</t>
  </si>
  <si>
    <t xml:space="preserve">Ventas 2030E (mdp)</t>
  </si>
  <si>
    <t xml:space="preserve">'Proyección Final Soriana'!G67</t>
  </si>
  <si>
    <t xml:space="preserve">'Valuación Combinada'!B11</t>
  </si>
  <si>
    <t xml:space="preserve">B. CONTROLES</t>
  </si>
  <si>
    <t xml:space="preserve">Control</t>
  </si>
  <si>
    <t xml:space="preserve">Valor del modelo</t>
  </si>
  <si>
    <t xml:space="preserve">Recalculo independiente / esperado</t>
  </si>
  <si>
    <t xml:space="preserve">Tolerancia</t>
  </si>
  <si>
    <t xml:space="preserve">Qué verifica</t>
  </si>
  <si>
    <t xml:space="preserve">DCF · balance proyectado cuadra 2025A–2030E</t>
  </si>
  <si>
    <t xml:space="preserve">Activo − pasivo − capital = 0.</t>
  </si>
  <si>
    <t xml:space="preserve">DCF · WACC &gt; g</t>
  </si>
  <si>
    <t xml:space="preserve">&gt;0</t>
  </si>
  <si>
    <t xml:space="preserve">Condición del modelo de Gordon.</t>
  </si>
  <si>
    <t xml:space="preserve">DCF · iteración del WACC convergió</t>
  </si>
  <si>
    <t xml:space="preserve">Última variación del WACC.</t>
  </si>
  <si>
    <t xml:space="preserve">DCF · Σ VP de FCF = SUMPRODUCT(FCF, factor)</t>
  </si>
  <si>
    <t xml:space="preserve">Descuento de flujos.</t>
  </si>
  <si>
    <t xml:space="preserve">DCF · factor año 5 = 1/(1+WACC)^5</t>
  </si>
  <si>
    <t xml:space="preserve">Fórmula de descuento.</t>
  </si>
  <si>
    <t xml:space="preserve">DCF · VT Gordon = FCF2030 × (1+g) / (WACC − g)</t>
  </si>
  <si>
    <t xml:space="preserve">Valor terminal.</t>
  </si>
  <si>
    <t xml:space="preserve">DCF · FCF2030 = NOPAT + D&amp;A − Capex − ΔNWC</t>
  </si>
  <si>
    <t xml:space="preserve">Identidad del FCFF.</t>
  </si>
  <si>
    <t xml:space="preserve">DCF · Equity 2T26 = EV 2T26 − deuda − arrend. + caja</t>
  </si>
  <si>
    <t xml:space="preserve">Puente EV → capital.</t>
  </si>
  <si>
    <t xml:space="preserve">DCF · FCF de 1S26 restado del EV (signo)</t>
  </si>
  <si>
    <t xml:space="preserve">B257 = −(CFO − Capex) = +1,060.5 porque el FCF de 1S26 fue negativo.</t>
  </si>
  <si>
    <t xml:space="preserve">DCF · precio = Equity / acciones</t>
  </si>
  <si>
    <t xml:space="preserve">Precio por acción.</t>
  </si>
  <si>
    <t xml:space="preserve">DCF · escenario activo = tabla de escenarios</t>
  </si>
  <si>
    <t xml:space="preserve">El modelo vivo coincide con el valor registrado del escenario seleccionado.</t>
  </si>
  <si>
    <t xml:space="preserve">DCF · baseline histórico (Citi + βU 0.80) = $31.1644</t>
  </si>
  <si>
    <t xml:space="preserve">El modelo anterior se reproduce exactamente con la trayectoria Citi y la beta heredada.</t>
  </si>
  <si>
    <t xml:space="preserve">DCF · escenarios ordenados: Cautela &lt; Base &lt; Alcista</t>
  </si>
  <si>
    <t xml:space="preserve">Con WACC nominal fijo, más inflación → más ventas nominales → más valor (limitación documentada).</t>
  </si>
  <si>
    <t xml:space="preserve">Beta · control Damodaran: 0.87 desapalancada = 0.65</t>
  </si>
  <si>
    <t xml:space="preserve">βU = βL / [1 + (1 − t) × D/E] con los datos publicados.</t>
  </si>
  <si>
    <t xml:space="preserve">Beta · βU usada = Damodaran global (selector oficial)</t>
  </si>
  <si>
    <t xml:space="preserve">WACC!B9 toma la βU seleccionada.</t>
  </si>
  <si>
    <t xml:space="preserve">Beta · βL de mercado = βU × [1 + (1 − t) × D/E]</t>
  </si>
  <si>
    <t xml:space="preserve">Reapalancamiento con la estructura de mercado.</t>
  </si>
  <si>
    <t xml:space="preserve">Beta · βL iterada = βU × [1 + (1 − t) × D/E del DCF]</t>
  </si>
  <si>
    <t xml:space="preserve">Reapalancamiento con la estructura del DCF.</t>
  </si>
  <si>
    <t xml:space="preserve">Beta · Ke iterado = Rf + βL × PRM</t>
  </si>
  <si>
    <t xml:space="preserve">Kd · 10% consistente con intereses 1S26 / deuda 2T26 (±0.5 pp)</t>
  </si>
  <si>
    <t xml:space="preserve">Fuente del comentario de C61 y control con datos observados.</t>
  </si>
  <si>
    <t xml:space="preserve">Inflación · fila 10 del DCF = inflación aplicada</t>
  </si>
  <si>
    <t xml:space="preserve">Vínculo de la inflación al modelo.</t>
  </si>
  <si>
    <t xml:space="preserve">Inflación · Base = modelo trimestral redondeado</t>
  </si>
  <si>
    <t xml:space="preserve">Base = resultado de modelo.</t>
  </si>
  <si>
    <t xml:space="preserve">Inflación · modelo trimestral reproduce el Dossier (3.51%)</t>
  </si>
  <si>
    <t xml:space="preserve">Dossier: 4.0327e^(−0.028x) → 3.51%.</t>
  </si>
  <si>
    <t xml:space="preserve">Inflación · modelo inmediato reproduce el libro de clase (3.508%)</t>
  </si>
  <si>
    <t xml:space="preserve">Libro de clase INFLACION!H37.</t>
  </si>
  <si>
    <t xml:space="preserve">Inflación · construcción de clase S113 (3.268%)</t>
  </si>
  <si>
    <t xml:space="preserve">Libro de clase INFLACION!S113.</t>
  </si>
  <si>
    <t xml:space="preserve">Mercado · beta histórica = regresión sin ×10</t>
  </si>
  <si>
    <t xml:space="preserve">SORIANA!Y2 / 10.</t>
  </si>
  <si>
    <t xml:space="preserve">Comps · media de 10 empresas ≈ media publicada por CIQ (EV/EBITDA)</t>
  </si>
  <si>
    <t xml:space="preserve">Transcripción correcta (CIQ redondea a 1 decimal).</t>
  </si>
  <si>
    <t xml:space="preserve">Comps · media de 10 empresas ≈ media publicada por CIQ (P/U)</t>
  </si>
  <si>
    <t xml:space="preserve">Ídem.</t>
  </si>
  <si>
    <t xml:space="preserve">Comps · media muestra (EV/EBITDA) = SUMPRODUCT / SUM</t>
  </si>
  <si>
    <t xml:space="preserve">Estadístico recalculado por otra vía.</t>
  </si>
  <si>
    <t xml:space="preserve">Comps · precio EV/EBITDA recalculado</t>
  </si>
  <si>
    <t xml:space="preserve">Puente al capital y división entre acciones.</t>
  </si>
  <si>
    <t xml:space="preserve">Comps · valor = promedio de 3 precios a la media</t>
  </si>
  <si>
    <t xml:space="preserve">Regla de agregación de la diap. 9.</t>
  </si>
  <si>
    <t xml:space="preserve">Comps · n de la muestra = 7</t>
  </si>
  <si>
    <t xml:space="preserve">Muestra depurada.</t>
  </si>
  <si>
    <t xml:space="preserve">Transactions · media EV/EBITDA ≈ media publicada por CIQ (7.6x)</t>
  </si>
  <si>
    <t xml:space="preserve">Transcripción correcta.</t>
  </si>
  <si>
    <t xml:space="preserve">Transactions · media EV/Ventas ≈ media publicada por CIQ (0.7x)</t>
  </si>
  <si>
    <t xml:space="preserve">Combinada · pesos suman 100%</t>
  </si>
  <si>
    <t xml:space="preserve">Pesos trazables.</t>
  </si>
  <si>
    <t xml:space="preserve">Combinada · precio = Σ peso × precio (recalculo)</t>
  </si>
  <si>
    <t xml:space="preserve">Combinación lineal con pesos que suman 100%.</t>
  </si>
  <si>
    <t xml:space="preserve">Transactions · precio EV/EBITDA = (múltiplo × EBITDA + ajuste) / acciones</t>
  </si>
  <si>
    <t xml:space="preserve">Mismo puente que Trading Comps.</t>
  </si>
  <si>
    <t xml:space="preserve">Transactions · equity implícito = EV + ajuste</t>
  </si>
  <si>
    <t xml:space="preserve">Detalle a la media.</t>
  </si>
  <si>
    <t xml:space="preserve">Comps · equity implícito (EV/EBITDA) = EV + ajuste</t>
  </si>
  <si>
    <t xml:space="preserve">Combinada · Transactions con peso 0%</t>
  </si>
  <si>
    <t xml:space="preserve">Decisión del proyecto.</t>
  </si>
  <si>
    <t xml:space="preserve">RESUMEN</t>
  </si>
  <si>
    <t xml:space="preserve">FUENTES — registro de insumos del modelo integrado</t>
  </si>
  <si>
    <t xml:space="preserve">Tipo: Observado (dato publicado) · Modelo (resultado de un modelo) · Supuesto (decisión del analista con sustento) · Referencia (comparación, no escenario) · Pendiente (input heredado sin fuente verificada).</t>
  </si>
  <si>
    <t xml:space="preserve">Insumo</t>
  </si>
  <si>
    <t xml:space="preserve">Dónde se usa</t>
  </si>
  <si>
    <t xml:space="preserve">Unidad / moneda</t>
  </si>
  <si>
    <t xml:space="preserve">Inflación INPC quincenal</t>
  </si>
  <si>
    <t xml:space="preserve">Inflación!A60:B172</t>
  </si>
  <si>
    <t xml:space="preserve">113 obs.</t>
  </si>
  <si>
    <t xml:space="preserve">07-oct-2026</t>
  </si>
  <si>
    <t xml:space="preserve">% anual</t>
  </si>
  <si>
    <t xml:space="preserve">Observado</t>
  </si>
  <si>
    <t xml:space="preserve">Banco de México, serie SP74833 (vía MODELO DE INFLACION EN LA VALUACION DE EMPRESAS.xlsx)</t>
  </si>
  <si>
    <t xml:space="preserve">Escenario Base 3.51%</t>
  </si>
  <si>
    <t xml:space="preserve">Inflación!B48</t>
  </si>
  <si>
    <t xml:space="preserve">3.51%</t>
  </si>
  <si>
    <t xml:space="preserve">Modelo exponencial trimestral de clase (calculado en Inflación!33)</t>
  </si>
  <si>
    <t xml:space="preserve">Escenario Cautela 3.26%</t>
  </si>
  <si>
    <t xml:space="preserve">Inflación!B47</t>
  </si>
  <si>
    <t xml:space="preserve">3.26%</t>
  </si>
  <si>
    <t xml:space="preserve">Supuesto</t>
  </si>
  <si>
    <t xml:space="preserve">Escenario derivado de la tendencia larga: Dossier de Soriana / Avances; construcción de clase más cercana Inflación!G36 (3.268%)</t>
  </si>
  <si>
    <t xml:space="preserve">Escenario Alcista 4.00%</t>
  </si>
  <si>
    <t xml:space="preserve">Inflación!B49</t>
  </si>
  <si>
    <t xml:space="preserve">4.00%</t>
  </si>
  <si>
    <t xml:space="preserve">Supuesto de escenario de Avances de valuación intrínseca (no es pronóstico estadístico)</t>
  </si>
  <si>
    <t xml:space="preserve">Trayectoria Citi 2026–2030 — Referencia</t>
  </si>
  <si>
    <t xml:space="preserve">Inflación!B9:F9</t>
  </si>
  <si>
    <t xml:space="preserve">3.93/3.83/3.75%</t>
  </si>
  <si>
    <t xml:space="preserve">22-sep-2026</t>
  </si>
  <si>
    <t xml:space="preserve">Referencia</t>
  </si>
  <si>
    <t xml:space="preserve">Encuesta Citi de Expectativas (comentario original de Proyección Final!C10). Referencia histórica del modelo anterior; no es escenario.</t>
  </si>
  <si>
    <t xml:space="preserve">Beta desapalancada sectorial (βU)</t>
  </si>
  <si>
    <t xml:space="preserve">WACC!B9 ← 'Beta y Kd'!B28</t>
  </si>
  <si>
    <t xml:space="preserve">0.65</t>
  </si>
  <si>
    <t xml:space="preserve">ene-2026</t>
  </si>
  <si>
    <t xml:space="preserve">x</t>
  </si>
  <si>
    <t xml:space="preserve">Damodaran, Betas by Sector (Global), Retail (Grocery and Food): βL 0.87, D/E 45.96%, t marginal 25.37% → βU 0.65; reapalancada con la estructura de Soriana (Hamada).</t>
  </si>
  <si>
    <t xml:space="preserve">Beta heredada (histórico)</t>
  </si>
  <si>
    <t xml:space="preserve">'Beta y Kd'!B26</t>
  </si>
  <si>
    <t xml:space="preserve">0.80</t>
  </si>
  <si>
    <t xml:space="preserve">Excel anterior / Material Maestro; solo para reproducir el baseline $31.16.</t>
  </si>
  <si>
    <t xml:space="preserve">Kd antes de impuestos (iteración)</t>
  </si>
  <si>
    <t xml:space="preserve">Proyección Final!C61</t>
  </si>
  <si>
    <t xml:space="preserve">10.00%</t>
  </si>
  <si>
    <t xml:space="preserve">%</t>
  </si>
  <si>
    <t xml:space="preserve">Comentario original de C61: Encuesta Citi (tasa Banxico 6.50% a fin de 2026 y 2027) y gastos financieros 1S26. Control: intereses 1S26 anualizados / deuda 2T26 = 9.87% ('Beta y Kd'!B58).</t>
  </si>
  <si>
    <t xml:space="preserve">Rf Bono M 10 años</t>
  </si>
  <si>
    <t xml:space="preserve">WACC!B5</t>
  </si>
  <si>
    <t xml:space="preserve">9.517%</t>
  </si>
  <si>
    <t xml:space="preserve">Pendiente</t>
  </si>
  <si>
    <t xml:space="preserve">Input heredado; fecha y fuente exacta pendientes.</t>
  </si>
  <si>
    <t xml:space="preserve">WACC!B6</t>
  </si>
  <si>
    <t xml:space="preserve">4.23%</t>
  </si>
  <si>
    <t xml:space="preserve">Input heredado ("madura"); fecha y fuente exacta pendientes.</t>
  </si>
  <si>
    <t xml:space="preserve">Crecimiento perpetuo g</t>
  </si>
  <si>
    <t xml:space="preserve">Proyección Final!B123</t>
  </si>
  <si>
    <t xml:space="preserve">3.50%</t>
  </si>
  <si>
    <t xml:space="preserve">Input heredado; no ligado a la inflación (sin sustento documental).</t>
  </si>
  <si>
    <t xml:space="preserve">Múltiplos de comparables</t>
  </si>
  <si>
    <t xml:space="preserve">10 empresas</t>
  </si>
  <si>
    <t xml:space="preserve">30-jun-2026</t>
  </si>
  <si>
    <t xml:space="preserve">S&amp;P Capital IQ, MULTIPLOS DE SORIANA Y COMPETIDORES.xls</t>
  </si>
  <si>
    <t xml:space="preserve">Transacciones</t>
  </si>
  <si>
    <t xml:space="preserve">3 operaciones</t>
  </si>
  <si>
    <t xml:space="preserve">x / MXN mm</t>
  </si>
  <si>
    <t xml:space="preserve">S&amp;P Capital IQ, TRANSACCIONES INDUSTRIA RETAIL.xls</t>
  </si>
  <si>
    <t xml:space="preserve">Métricas LTM y balance 2T26 de Soriana</t>
  </si>
  <si>
    <t xml:space="preserve">Trading Comps sección 2</t>
  </si>
  <si>
    <t xml:space="preserve">mdp</t>
  </si>
  <si>
    <t xml:space="preserve">MXN</t>
  </si>
  <si>
    <t xml:space="preserve">Hoja Datos (reportes trimestrales de Soriana)</t>
  </si>
  <si>
    <t xml:space="preserve">Pesos de la combinada</t>
  </si>
  <si>
    <t xml:space="preserve">Valuación Combinada!C6:C8</t>
  </si>
  <si>
    <t xml:space="preserve">50/50/0</t>
  </si>
  <si>
    <t xml:space="preserve">Regla de pesos iguales de la diap. 18 entre métodos activos; Transactions 0% por decisión del proyecto.</t>
  </si>
  <si>
    <t xml:space="preserve">NOTAS METODOLÓGICAS</t>
  </si>
  <si>
    <t xml:space="preserve">DCF principal: el DCF de ValuFlow (Proyección Final Soriana): descuento de fin de periodo, valor terminal 50% Gordon / 50% múltiplo de salida, WACC iterado al valor DCF y traslado a la fecha de valuación.</t>
  </si>
  <si>
    <t xml:space="preserve">Referencia de Capital IQ (no reemplaza el DCF principal): la metodología de clase de CIQ usa convención de medio año (mid-year) y valor terminal por múltiplo de salida. Se documenta solo como referencia metodológica.</t>
  </si>
  <si>
    <t xml:space="preserve">Trading Comps y Precedent Transactions: metodología de la presentación de clase (CIQ Valuations): 6 estadísticos, percentiles inclusivos, puente EV → capital, NM/NA y promedio de precios implícitos a la media.</t>
  </si>
  <si>
    <t xml:space="preserve">Valuación combinada: DCF 50% + Trading Comps 50% + Precedent Transactions 0% (referencia). Los pesos son editables y deben sumar 100%.</t>
  </si>
</sst>
</file>

<file path=xl/styles.xml><?xml version="1.0" encoding="utf-8"?>
<styleSheet xmlns="http://schemas.openxmlformats.org/spreadsheetml/2006/main">
  <numFmts count="38">
    <numFmt numFmtId="164" formatCode="General"/>
    <numFmt numFmtId="165" formatCode="0.00%"/>
    <numFmt numFmtId="166" formatCode="#,##0.0;\(#,##0.0\);\-"/>
    <numFmt numFmtId="167" formatCode="\$#,##0.00"/>
    <numFmt numFmtId="168" formatCode="0.0%;\(0.0%\);\-"/>
    <numFmt numFmtId="169" formatCode="0.00\x"/>
    <numFmt numFmtId="170" formatCode="0.0%"/>
    <numFmt numFmtId="171" formatCode="0.0"/>
    <numFmt numFmtId="172" formatCode="#,##0"/>
    <numFmt numFmtId="173" formatCode="#,##0.0"/>
    <numFmt numFmtId="174" formatCode="\$#,##0.0000"/>
    <numFmt numFmtId="175" formatCode="@"/>
    <numFmt numFmtId="176" formatCode="0.0%;\(0.0%\)"/>
    <numFmt numFmtId="177" formatCode="0.000"/>
    <numFmt numFmtId="178" formatCode="0.00"/>
    <numFmt numFmtId="179" formatCode="#,##0.00"/>
    <numFmt numFmtId="180" formatCode="d\-mmm\-yy"/>
    <numFmt numFmtId="181" formatCode="mmm\-yy"/>
    <numFmt numFmtId="182" formatCode="0.000\x"/>
    <numFmt numFmtId="183" formatCode="0"/>
    <numFmt numFmtId="184" formatCode="0.0000"/>
    <numFmt numFmtId="185" formatCode="\$#,##0.00;&quot;($&quot;#,##0.00\);\-"/>
    <numFmt numFmtId="186" formatCode="0.00%;\(0.00%\);\-"/>
    <numFmt numFmtId="187" formatCode="0.0;\(0.0\);0.0"/>
    <numFmt numFmtId="188" formatCode="0.0%;\(0.0%\);\-"/>
    <numFmt numFmtId="189" formatCode="0.00%;\(0.00%\);\-"/>
    <numFmt numFmtId="190" formatCode="0.00\x"/>
    <numFmt numFmtId="191" formatCode="#,##0;\(#,##0\);\-"/>
    <numFmt numFmtId="192" formatCode="#,##0.0;\(#,##0.0\);\-"/>
    <numFmt numFmtId="193" formatCode="\$0.00"/>
    <numFmt numFmtId="194" formatCode="0.0\x"/>
    <numFmt numFmtId="195" formatCode="dd\-mmm\-yyyy"/>
    <numFmt numFmtId="196" formatCode="0.000000"/>
    <numFmt numFmtId="197" formatCode="0.0000%"/>
    <numFmt numFmtId="198" formatCode="0.00000"/>
    <numFmt numFmtId="199" formatCode="mmm\-yyyy"/>
    <numFmt numFmtId="200" formatCode="0%"/>
    <numFmt numFmtId="201" formatCode="0.00000000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b val="true"/>
      <sz val="14"/>
      <color theme="1"/>
      <name val="Calibri"/>
      <family val="2"/>
      <charset val="1"/>
    </font>
    <font>
      <i val="true"/>
      <sz val="9"/>
      <color theme="1"/>
      <name val="Calibri"/>
      <family val="2"/>
      <charset val="1"/>
    </font>
    <font>
      <sz val="11"/>
      <name val="Calibri"/>
      <family val="2"/>
      <charset val="1"/>
    </font>
    <font>
      <sz val="9"/>
      <color theme="1"/>
      <name val="Calibri"/>
      <family val="2"/>
      <charset val="1"/>
    </font>
    <font>
      <sz val="9"/>
      <color rgb="FF595959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i val="true"/>
      <sz val="11"/>
      <color theme="1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Arial"/>
      <family val="2"/>
    </font>
    <font>
      <b val="true"/>
      <sz val="14"/>
      <color rgb="FF000000"/>
      <name val="Aptos Narrow"/>
      <family val="2"/>
      <charset val="1"/>
    </font>
    <font>
      <sz val="11"/>
      <color rgb="FF000000"/>
      <name val="Aptos Narrow"/>
      <family val="2"/>
      <charset val="1"/>
    </font>
    <font>
      <b val="true"/>
      <sz val="11"/>
      <name val="Aptos Narrow"/>
      <family val="2"/>
      <charset val="1"/>
    </font>
    <font>
      <sz val="11"/>
      <name val="Aptos Narrow"/>
      <family val="2"/>
      <charset val="1"/>
    </font>
    <font>
      <b val="true"/>
      <sz val="14"/>
      <color rgb="FF00276F"/>
      <name val="Cambria"/>
      <family val="0"/>
      <charset val="1"/>
    </font>
    <font>
      <i val="true"/>
      <sz val="9"/>
      <color rgb="FF5D5D6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B42318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0.7999"/>
        <bgColor rgb="FFD8E3F8"/>
      </patternFill>
    </fill>
    <fill>
      <patternFill patternType="solid">
        <fgColor rgb="FFFFFF00"/>
        <bgColor rgb="FFFFFF00"/>
      </patternFill>
    </fill>
    <fill>
      <patternFill patternType="solid">
        <fgColor rgb="FF0039A6"/>
        <bgColor rgb="FF00276F"/>
      </patternFill>
    </fill>
    <fill>
      <patternFill patternType="solid">
        <fgColor rgb="FFFFF2CC"/>
        <bgColor rgb="FFE2EFDA"/>
      </patternFill>
    </fill>
    <fill>
      <patternFill patternType="solid">
        <fgColor rgb="FFEEF3FC"/>
        <bgColor rgb="FFFFFFFF"/>
      </patternFill>
    </fill>
    <fill>
      <patternFill patternType="solid">
        <fgColor rgb="FFD8E3F8"/>
        <bgColor rgb="FFDAE3F3"/>
      </patternFill>
    </fill>
    <fill>
      <patternFill patternType="solid">
        <fgColor rgb="FFE2EFDA"/>
        <bgColor rgb="FFDAE3F3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8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3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6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1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9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1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2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2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3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3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3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6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5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9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2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0" fontId="2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0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EF3FC"/>
      <rgbColor rgb="FF660066"/>
      <rgbColor rgb="FFFF8080"/>
      <rgbColor rgb="FF0066CC"/>
      <rgbColor rgb="FFD8E3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5D60"/>
      <rgbColor rgb="FF969696"/>
      <rgbColor rgb="FF00276F"/>
      <rgbColor rgb="FF339966"/>
      <rgbColor rgb="FF003300"/>
      <rgbColor rgb="FF333300"/>
      <rgbColor rgb="FFB42318"/>
      <rgbColor rgb="FF993366"/>
      <rgbColor rgb="FF0039A6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1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J49"/>
  <sheetViews>
    <sheetView showFormulas="false" showGridLines="true" showRowColHeaders="true" showZeros="true" rightToLeft="false" tabSelected="false" showOutlineSymbols="true" defaultGridColor="true" view="normal" topLeftCell="A1" colorId="64" zoomScale="99" zoomScaleNormal="99" zoomScalePageLayoutView="100" workbookViewId="0">
      <selection pane="topLeft" activeCell="D11" activeCellId="0" sqref="D11"/>
    </sheetView>
  </sheetViews>
  <sheetFormatPr defaultColWidth="11.5078125" defaultRowHeight="15" zeroHeight="false" outlineLevelRow="0" outlineLevelCol="0"/>
  <cols>
    <col collapsed="false" customWidth="true" hidden="false" outlineLevel="0" max="1" min="1" style="0" width="61.16"/>
    <col collapsed="false" customWidth="true" hidden="false" outlineLevel="0" max="5" min="2" style="0" width="22.16"/>
  </cols>
  <sheetData>
    <row r="4" customFormat="false" ht="15" hidden="false" customHeight="false" outlineLevel="0" collapsed="false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2"/>
      <c r="G4" s="2"/>
      <c r="H4" s="2"/>
      <c r="I4" s="2"/>
      <c r="J4" s="2"/>
    </row>
    <row r="5" customFormat="false" ht="15" hidden="false" customHeight="false" outlineLevel="0" collapsed="false">
      <c r="A5" s="3" t="s">
        <v>5</v>
      </c>
      <c r="B5" s="4" t="n">
        <f aca="false">Valuación!B15</f>
        <v>0.119198962792971</v>
      </c>
      <c r="C5" s="4" t="n">
        <f aca="false">Valuación!B53</f>
        <v>0.122289471513545</v>
      </c>
      <c r="D5" s="4" t="n">
        <f aca="false">Valuación!B91</f>
        <v>0.100912937683063</v>
      </c>
      <c r="E5" s="4" t="n">
        <f aca="false">Valuación!B129</f>
        <v>0.120853587694298</v>
      </c>
    </row>
    <row r="6" customFormat="false" ht="15" hidden="false" customHeight="false" outlineLevel="0" collapsed="false">
      <c r="A6" s="3" t="s">
        <v>6</v>
      </c>
      <c r="B6" s="4" t="n">
        <f aca="false">Valuación!B16</f>
        <v>0.035</v>
      </c>
      <c r="C6" s="4" t="n">
        <f aca="false">Valuación!B54</f>
        <v>0.035</v>
      </c>
      <c r="D6" s="4" t="n">
        <f aca="false">Valuación!B92</f>
        <v>0.035</v>
      </c>
      <c r="E6" s="4" t="n">
        <f aca="false">Valuación!B130</f>
        <v>0.035</v>
      </c>
    </row>
    <row r="7" customFormat="false" ht="15" hidden="false" customHeight="false" outlineLevel="0" collapsed="false">
      <c r="A7" s="3" t="s">
        <v>7</v>
      </c>
      <c r="B7" s="5" t="n">
        <f aca="false">Valuación!B27</f>
        <v>6761.4</v>
      </c>
      <c r="C7" s="5" t="n">
        <f aca="false">Valuación!B65</f>
        <v>40916.76</v>
      </c>
      <c r="D7" s="5" t="n">
        <f aca="false">Valuación!B103</f>
        <v>12113.9</v>
      </c>
      <c r="E7" s="5" t="n">
        <f aca="false">Valuación!B141</f>
        <v>302.924418660537</v>
      </c>
    </row>
    <row r="8" customFormat="false" ht="15" hidden="false" customHeight="false" outlineLevel="0" collapsed="false">
      <c r="A8" s="3" t="s">
        <v>8</v>
      </c>
      <c r="B8" s="5" t="n">
        <f aca="false">Valuación!B31</f>
        <v>26403.8239280414</v>
      </c>
      <c r="C8" s="5" t="n">
        <f aca="false">Valuación!B69</f>
        <v>161517.967154604</v>
      </c>
      <c r="D8" s="5" t="n">
        <f aca="false">Valuación!B107</f>
        <v>50520.7877622278</v>
      </c>
      <c r="E8" s="5" t="n">
        <f aca="false">Valuación!B145</f>
        <v>1200.14250161543</v>
      </c>
    </row>
    <row r="9" customFormat="false" ht="15" hidden="false" customHeight="false" outlineLevel="0" collapsed="false">
      <c r="A9" s="3" t="s">
        <v>9</v>
      </c>
      <c r="B9" s="5" t="n">
        <f aca="false">Valuación!B33</f>
        <v>96890.2161919725</v>
      </c>
      <c r="C9" s="5" t="n">
        <f aca="false">Valuación!B71</f>
        <v>576210.902582394</v>
      </c>
      <c r="D9" s="5" t="n">
        <f aca="false">Valuación!B109</f>
        <v>225920.382572045</v>
      </c>
      <c r="E9" s="5" t="n">
        <f aca="false">Valuación!B147</f>
        <v>4337.28473228394</v>
      </c>
    </row>
    <row r="10" customFormat="false" ht="15" hidden="false" customHeight="false" outlineLevel="0" collapsed="false">
      <c r="A10" s="3" t="s">
        <v>10</v>
      </c>
      <c r="B10" s="5" t="n">
        <f aca="false">Valuación!B34</f>
        <v>55175.1382367207</v>
      </c>
      <c r="C10" s="5" t="n">
        <f aca="false">Valuación!B72</f>
        <v>323636.151271103</v>
      </c>
      <c r="D10" s="5" t="n">
        <f aca="false">Valuación!B110</f>
        <v>139698.112209846</v>
      </c>
      <c r="E10" s="5" t="n">
        <f aca="false">Valuación!B148</f>
        <v>2451.7348599928</v>
      </c>
    </row>
    <row r="11" customFormat="false" ht="15" hidden="false" customHeight="false" outlineLevel="0" collapsed="false">
      <c r="A11" s="3" t="s">
        <v>11</v>
      </c>
      <c r="B11" s="5" t="n">
        <f aca="false">Valuación!B35</f>
        <v>81578.9621647621</v>
      </c>
      <c r="C11" s="5" t="n">
        <f aca="false">Valuación!B73</f>
        <v>485154.118425707</v>
      </c>
      <c r="D11" s="5" t="n">
        <f aca="false">Valuación!B111</f>
        <v>190218.899972074</v>
      </c>
      <c r="E11" s="5" t="n">
        <f aca="false">Valuación!B149</f>
        <v>3651.87736160823</v>
      </c>
    </row>
    <row r="12" customFormat="false" ht="15" hidden="false" customHeight="false" outlineLevel="0" collapsed="false">
      <c r="A12" s="3" t="s">
        <v>12</v>
      </c>
      <c r="B12" s="5" t="n">
        <f aca="false">-Valuación!B36</f>
        <v>23618</v>
      </c>
      <c r="C12" s="5" t="n">
        <f aca="false">-Valuación!B74</f>
        <v>80848.1</v>
      </c>
      <c r="D12" s="5" t="n">
        <f aca="false">-Valuación!B112</f>
        <v>56744.34</v>
      </c>
      <c r="E12" s="5" t="n">
        <f aca="false">-Valuación!B150</f>
        <v>2441.8</v>
      </c>
    </row>
    <row r="13" customFormat="false" ht="15" hidden="false" customHeight="false" outlineLevel="0" collapsed="false">
      <c r="A13" s="3" t="s">
        <v>13</v>
      </c>
      <c r="B13" s="5" t="n">
        <f aca="false">Valuación!B37</f>
        <v>9295</v>
      </c>
      <c r="C13" s="5" t="n">
        <f aca="false">Valuación!B75</f>
        <v>28591.2</v>
      </c>
      <c r="D13" s="5" t="n">
        <f aca="false">Valuación!B113</f>
        <v>14640.16</v>
      </c>
      <c r="E13" s="5" t="n">
        <f aca="false">Valuación!B151</f>
        <v>2962.8</v>
      </c>
    </row>
    <row r="14" customFormat="false" ht="15" hidden="false" customHeight="false" outlineLevel="0" collapsed="false">
      <c r="A14" s="3" t="s">
        <v>14</v>
      </c>
      <c r="B14" s="5" t="n">
        <f aca="false">Valuación!B39</f>
        <v>67255.9621647621</v>
      </c>
      <c r="C14" s="5" t="n">
        <f aca="false">Valuación!B77</f>
        <v>432897.218425707</v>
      </c>
      <c r="D14" s="5" t="n">
        <f aca="false">Valuación!B115</f>
        <v>148114.719972074</v>
      </c>
      <c r="E14" s="5" t="n">
        <f aca="false">Valuación!B153</f>
        <v>4172.87736160823</v>
      </c>
    </row>
    <row r="15" customFormat="false" ht="15" hidden="false" customHeight="false" outlineLevel="0" collapsed="false">
      <c r="A15" s="3" t="s">
        <v>15</v>
      </c>
      <c r="B15" s="6" t="n">
        <f aca="false">Valuación!B41</f>
        <v>37.3644234248678</v>
      </c>
      <c r="C15" s="6" t="n">
        <f aca="false">Valuación!B79</f>
        <v>24.7940633241141</v>
      </c>
      <c r="D15" s="6" t="n">
        <f aca="false">Valuación!B117</f>
        <v>154.24532363665</v>
      </c>
      <c r="E15" s="6" t="n">
        <f aca="false">Valuación!B155</f>
        <v>3.91535261071635</v>
      </c>
    </row>
    <row r="16" customFormat="false" ht="15" hidden="false" customHeight="false" outlineLevel="0" collapsed="false">
      <c r="A16" s="3" t="s">
        <v>16</v>
      </c>
      <c r="B16" s="6" t="n">
        <f aca="false">Valuación!B42</f>
        <v>33.48</v>
      </c>
      <c r="C16" s="6" t="n">
        <f aca="false">Valuación!B80</f>
        <v>46.6</v>
      </c>
      <c r="D16" s="6" t="n">
        <f aca="false">Valuación!B118</f>
        <v>92.94</v>
      </c>
      <c r="E16" s="6" t="n">
        <f aca="false">Valuación!B156</f>
        <v>32.08</v>
      </c>
    </row>
    <row r="17" customFormat="false" ht="15" hidden="false" customHeight="false" outlineLevel="0" collapsed="false">
      <c r="A17" s="3" t="s">
        <v>17</v>
      </c>
      <c r="B17" s="7" t="n">
        <f aca="false">Valuación!B43</f>
        <v>0.116022205043842</v>
      </c>
      <c r="C17" s="7" t="n">
        <f aca="false">Valuación!B81</f>
        <v>-0.467938555276522</v>
      </c>
      <c r="D17" s="7" t="n">
        <f aca="false">Valuación!B119</f>
        <v>0.65962259131321</v>
      </c>
      <c r="E17" s="7" t="n">
        <f aca="false">Valuación!B157</f>
        <v>-0.877950355027545</v>
      </c>
    </row>
    <row r="18" customFormat="false" ht="15" hidden="false" customHeight="false" outlineLevel="0" collapsed="false">
      <c r="A18" s="3" t="s">
        <v>18</v>
      </c>
      <c r="B18" s="6" t="n">
        <f aca="false">Generales!B24</f>
        <v>23.357</v>
      </c>
      <c r="C18" s="6" t="n">
        <v>60.094</v>
      </c>
      <c r="D18" s="6" t="n">
        <v>128.933</v>
      </c>
      <c r="E18" s="6" t="n">
        <v>47.67</v>
      </c>
    </row>
    <row r="19" customFormat="false" ht="15" hidden="false" customHeight="false" outlineLevel="0" collapsed="false">
      <c r="A19" s="3" t="s">
        <v>19</v>
      </c>
      <c r="B19" s="8" t="s">
        <v>20</v>
      </c>
      <c r="C19" s="8" t="s">
        <v>21</v>
      </c>
      <c r="D19" s="8" t="s">
        <v>22</v>
      </c>
      <c r="E19" s="8" t="s">
        <v>23</v>
      </c>
    </row>
    <row r="20" customFormat="false" ht="15" hidden="false" customHeight="false" outlineLevel="0" collapsed="false">
      <c r="B20" s="9"/>
      <c r="C20" s="9"/>
      <c r="D20" s="9"/>
      <c r="E20" s="9"/>
    </row>
    <row r="21" customFormat="false" ht="15" hidden="false" customHeight="false" outlineLevel="0" collapsed="false">
      <c r="A21" s="1" t="s">
        <v>24</v>
      </c>
      <c r="B21" s="1" t="s">
        <v>1</v>
      </c>
      <c r="C21" s="1" t="s">
        <v>2</v>
      </c>
      <c r="D21" s="1" t="s">
        <v>3</v>
      </c>
      <c r="E21" s="1" t="s">
        <v>4</v>
      </c>
      <c r="F21" s="2"/>
      <c r="G21" s="2"/>
      <c r="H21" s="2"/>
      <c r="I21" s="2"/>
      <c r="J21" s="2"/>
    </row>
    <row r="22" customFormat="false" ht="15" hidden="false" customHeight="false" outlineLevel="0" collapsed="false">
      <c r="A22" s="3" t="s">
        <v>25</v>
      </c>
      <c r="B22" s="10" t="n">
        <f aca="false">Razones!G7</f>
        <v>1.25418892001401</v>
      </c>
      <c r="C22" s="10" t="n">
        <f aca="false">Razones!G23</f>
        <v>0.976875895293384</v>
      </c>
      <c r="D22" s="10" t="n">
        <f aca="false">Razones!G39</f>
        <v>0.933732004803489</v>
      </c>
      <c r="E22" s="10" t="n">
        <f aca="false">Razones!G55</f>
        <v>1.22904633256153</v>
      </c>
    </row>
    <row r="23" customFormat="false" ht="15" hidden="false" customHeight="false" outlineLevel="0" collapsed="false">
      <c r="A23" s="3" t="s">
        <v>26</v>
      </c>
      <c r="B23" s="10" t="n">
        <f aca="false">Razones!G8</f>
        <v>0.354737814602396</v>
      </c>
      <c r="C23" s="10" t="n">
        <f aca="false">Razones!G24</f>
        <v>0.347045108009281</v>
      </c>
      <c r="D23" s="10" t="n">
        <f aca="false">Razones!G40</f>
        <v>0.406756413708896</v>
      </c>
      <c r="E23" s="10" t="n">
        <f aca="false">Razones!G56</f>
        <v>0.480415765868067</v>
      </c>
    </row>
    <row r="24" customFormat="false" ht="15" hidden="false" customHeight="false" outlineLevel="0" collapsed="false">
      <c r="A24" s="3" t="s">
        <v>27</v>
      </c>
      <c r="B24" s="11" t="n">
        <f aca="false">Razones!G9</f>
        <v>0.455053782765908</v>
      </c>
      <c r="C24" s="11" t="n">
        <f aca="false">Razones!G25</f>
        <v>0.528557762871997</v>
      </c>
      <c r="D24" s="11" t="n">
        <f aca="false">Razones!G41</f>
        <v>0.663102687084851</v>
      </c>
      <c r="E24" s="11" t="n">
        <f aca="false">Razones!G57</f>
        <v>0.257837797646854</v>
      </c>
    </row>
    <row r="25" customFormat="false" ht="15" hidden="false" customHeight="false" outlineLevel="0" collapsed="false">
      <c r="A25" s="3" t="s">
        <v>28</v>
      </c>
      <c r="B25" s="11" t="n">
        <f aca="false">Razones!G10</f>
        <v>0.206542067671418</v>
      </c>
      <c r="C25" s="11" t="n">
        <f aca="false">Razones!G26</f>
        <v>0.18040972193492</v>
      </c>
      <c r="D25" s="11" t="n">
        <f aca="false">Razones!G42</f>
        <v>0.380129883946277</v>
      </c>
      <c r="E25" s="11" t="n">
        <f aca="false">Razones!G58</f>
        <v>0.0645470020444197</v>
      </c>
    </row>
    <row r="26" customFormat="false" ht="15" hidden="false" customHeight="false" outlineLevel="0" collapsed="false">
      <c r="A26" s="3" t="s">
        <v>29</v>
      </c>
      <c r="B26" s="10" t="n">
        <f aca="false">Razones!G11</f>
        <v>2.89841957405126</v>
      </c>
      <c r="C26" s="10" t="n">
        <f aca="false">Razones!G27</f>
        <v>6.64533154492505</v>
      </c>
      <c r="D26" s="10" t="n">
        <f aca="false">Razones!G43</f>
        <v>4.15041856863133</v>
      </c>
      <c r="E26" s="10" t="n">
        <f aca="false">Razones!G59</f>
        <v>11.8447463750953</v>
      </c>
    </row>
    <row r="27" customFormat="false" ht="15" hidden="false" customHeight="false" outlineLevel="0" collapsed="false">
      <c r="A27" s="3" t="s">
        <v>30</v>
      </c>
      <c r="B27" s="10" t="n">
        <f aca="false">Razones!G12</f>
        <v>0.95612726248195</v>
      </c>
      <c r="C27" s="10" t="n">
        <f aca="false">Razones!G28</f>
        <v>1.77521332887847</v>
      </c>
      <c r="D27" s="10" t="n">
        <f aca="false">Razones!G44</f>
        <v>2.38335037627841</v>
      </c>
      <c r="E27" s="10" t="n">
        <f aca="false">Razones!G60</f>
        <v>1.34886945490829</v>
      </c>
    </row>
    <row r="28" customFormat="false" ht="15" hidden="false" customHeight="false" outlineLevel="0" collapsed="false">
      <c r="A28" s="3" t="s">
        <v>31</v>
      </c>
      <c r="B28" s="12" t="n">
        <f aca="false">Razones!G13</f>
        <v>96.0324359169449</v>
      </c>
      <c r="C28" s="12" t="n">
        <f aca="false">Razones!G29</f>
        <v>51.6580422556317</v>
      </c>
      <c r="D28" s="12" t="n">
        <f aca="false">Razones!G45</f>
        <v>38.3800881212528</v>
      </c>
      <c r="E28" s="12" t="n">
        <f aca="false">Razones!G61</f>
        <v>67.8506811030141</v>
      </c>
    </row>
    <row r="29" customFormat="false" ht="15" hidden="false" customHeight="false" outlineLevel="0" collapsed="false">
      <c r="A29" s="3" t="s">
        <v>32</v>
      </c>
      <c r="B29" s="10" t="n">
        <f aca="false">Razones!G14</f>
        <v>0.281664068510104</v>
      </c>
      <c r="C29" s="10" t="n">
        <f aca="false">Razones!G30</f>
        <v>0.51157675075635</v>
      </c>
      <c r="D29" s="10" t="n">
        <f aca="false">Razones!G46</f>
        <v>0.463653361438474</v>
      </c>
      <c r="E29" s="10" t="n">
        <f aca="false">Razones!G62</f>
        <v>0.27644939756534</v>
      </c>
    </row>
    <row r="30" customFormat="false" ht="15" hidden="false" customHeight="false" outlineLevel="0" collapsed="false">
      <c r="A30" s="3" t="s">
        <v>33</v>
      </c>
      <c r="B30" s="11" t="n">
        <f aca="false">Razones!G15</f>
        <v>0.245661529453551</v>
      </c>
      <c r="C30" s="11" t="n">
        <f aca="false">Razones!G31</f>
        <v>0.242350153950201</v>
      </c>
      <c r="D30" s="11" t="n">
        <f aca="false">Razones!G47</f>
        <v>0.235275479519844</v>
      </c>
      <c r="E30" s="11" t="n">
        <f aca="false">Razones!G63</f>
        <v>0.296720686789468</v>
      </c>
    </row>
    <row r="31" customFormat="false" ht="15" hidden="false" customHeight="false" outlineLevel="0" collapsed="false">
      <c r="A31" s="3" t="s">
        <v>34</v>
      </c>
      <c r="B31" s="11" t="n">
        <f aca="false">Razones!G16</f>
        <v>0.0206059352199188</v>
      </c>
      <c r="C31" s="11" t="n">
        <f aca="false">Razones!G32</f>
        <v>0.0482605376650122</v>
      </c>
      <c r="D31" s="11" t="n">
        <f aca="false">Razones!G48</f>
        <v>0.0234187860283346</v>
      </c>
      <c r="E31" s="11" t="n">
        <f aca="false">Razones!G64</f>
        <v>0.054882539722843</v>
      </c>
    </row>
    <row r="32" customFormat="false" ht="15" hidden="false" customHeight="false" outlineLevel="0" collapsed="false">
      <c r="A32" s="3" t="s">
        <v>35</v>
      </c>
      <c r="B32" s="4" t="n">
        <f aca="false">Razones!G17</f>
        <v>0.00584301903428532</v>
      </c>
      <c r="C32" s="4" t="n">
        <f aca="false">Razones!G33</f>
        <v>0.0247284817302854</v>
      </c>
      <c r="D32" s="4" t="n">
        <f aca="false">Razones!G49</f>
        <v>0.0108672015701412</v>
      </c>
      <c r="E32" s="4" t="n">
        <f aca="false">Razones!G65</f>
        <v>0.0151568685075889</v>
      </c>
    </row>
    <row r="33" customFormat="false" ht="15" hidden="false" customHeight="false" outlineLevel="0" collapsed="false">
      <c r="A33" s="3" t="s">
        <v>36</v>
      </c>
      <c r="B33" s="4" t="n">
        <f aca="false">Razones!G18</f>
        <v>0.0107033889520413</v>
      </c>
      <c r="C33" s="4" t="n">
        <f aca="false">Razones!G34</f>
        <v>0.0524769212384537</v>
      </c>
      <c r="D33" s="4" t="n">
        <f aca="false">Razones!G50</f>
        <v>0.0322403315207314</v>
      </c>
      <c r="E33" s="4" t="n">
        <f aca="false">Razones!G66</f>
        <v>0.0204396504412437</v>
      </c>
    </row>
    <row r="34" customFormat="false" ht="15" hidden="false" customHeight="false" outlineLevel="0" collapsed="false">
      <c r="A34" s="3" t="s">
        <v>37</v>
      </c>
      <c r="B34" s="4" t="n">
        <f aca="false">Razones!G19</f>
        <v>0.0120314355406303</v>
      </c>
      <c r="C34" s="4" t="n">
        <f aca="false">Razones!G35</f>
        <v>0.0424320224854647</v>
      </c>
      <c r="D34" s="4" t="n">
        <f aca="false">Razones!G51</f>
        <v>0.0242902936444572</v>
      </c>
      <c r="E34" s="4" t="n">
        <f aca="false">Razones!G67</f>
        <v>0.0178614151514322</v>
      </c>
    </row>
    <row r="35" customFormat="false" ht="15" hidden="false" customHeight="false" outlineLevel="0" collapsed="false">
      <c r="B35" s="9"/>
      <c r="C35" s="9"/>
      <c r="D35" s="9"/>
      <c r="E35" s="9"/>
    </row>
    <row r="36" customFormat="false" ht="15" hidden="false" customHeight="false" outlineLevel="0" collapsed="false">
      <c r="A36" s="1" t="s">
        <v>38</v>
      </c>
      <c r="B36" s="1" t="s">
        <v>1</v>
      </c>
      <c r="C36" s="1" t="s">
        <v>2</v>
      </c>
      <c r="D36" s="1" t="s">
        <v>3</v>
      </c>
      <c r="E36" s="1" t="s">
        <v>4</v>
      </c>
      <c r="F36" s="2"/>
      <c r="G36" s="2"/>
      <c r="H36" s="2"/>
      <c r="I36" s="2"/>
      <c r="J36" s="2"/>
    </row>
    <row r="37" customFormat="false" ht="15" hidden="false" customHeight="false" outlineLevel="0" collapsed="false">
      <c r="A37" s="3" t="s">
        <v>25</v>
      </c>
      <c r="B37" s="10" t="n">
        <f aca="false">IFERROR(Datos!G19/Datos!G21,"n.d.")</f>
        <v>1.23738494097249</v>
      </c>
      <c r="C37" s="10" t="n">
        <f aca="false">IFERROR(Datos!G45/Datos!G47,"n.d.")</f>
        <v>0.966960823537106</v>
      </c>
      <c r="D37" s="10" t="n">
        <f aca="false">IFERROR(Datos!G71/Datos!G73,"n.d.")</f>
        <v>0.920796669614483</v>
      </c>
      <c r="E37" s="10" t="n">
        <f aca="false">IFERROR(Datos!G97/Datos!G99,"n.d.")</f>
        <v>1.20703724410292</v>
      </c>
    </row>
    <row r="38" customFormat="false" ht="15" hidden="false" customHeight="false" outlineLevel="0" collapsed="false">
      <c r="A38" s="3" t="s">
        <v>26</v>
      </c>
      <c r="B38" s="10" t="n">
        <f aca="false">IFERROR((Datos!G19-Datos!G18)/Datos!G21,"n.d.")</f>
        <v>0.414237996889263</v>
      </c>
      <c r="C38" s="10" t="n">
        <f aca="false">IFERROR((Datos!G45-Datos!G44)/Datos!G47,"n.d.")</f>
        <v>0.333841631377466</v>
      </c>
      <c r="D38" s="10" t="n">
        <f aca="false">IFERROR((Datos!G71-Datos!G70)/Datos!G73,"n.d.")</f>
        <v>0.437355231355408</v>
      </c>
      <c r="E38" s="10" t="n">
        <f aca="false">IFERROR((Datos!G97-Datos!G96)/Datos!G99,"n.d.")</f>
        <v>0.500089214555057</v>
      </c>
    </row>
    <row r="39" customFormat="false" ht="15" hidden="false" customHeight="false" outlineLevel="0" collapsed="false">
      <c r="A39" s="3" t="s">
        <v>27</v>
      </c>
      <c r="B39" s="11" t="n">
        <f aca="false">IFERROR(Datos!G23/Datos!G20,"n.d.")</f>
        <v>0.45697842833156</v>
      </c>
      <c r="C39" s="11" t="n">
        <f aca="false">IFERROR(Datos!G49/Datos!G46,"n.d.")</f>
        <v>0.52434322625508</v>
      </c>
      <c r="D39" s="11" t="n">
        <f aca="false">IFERROR(Datos!G75/Datos!G72,"n.d.")</f>
        <v>0.673566388163133</v>
      </c>
      <c r="E39" s="11" t="n">
        <f aca="false">IFERROR(Datos!G101/Datos!G98,"n.d.")</f>
        <v>0.254482501103228</v>
      </c>
    </row>
    <row r="40" customFormat="false" ht="15" hidden="false" customHeight="false" outlineLevel="0" collapsed="false">
      <c r="A40" s="3" t="s">
        <v>28</v>
      </c>
      <c r="B40" s="11" t="n">
        <f aca="false">IFERROR(Datos!G22/Datos!G20,"n.d.")</f>
        <v>0.205629397967162</v>
      </c>
      <c r="C40" s="11" t="n">
        <f aca="false">IFERROR(Datos!G48/Datos!G46,"n.d.")</f>
        <v>0.181670402987603</v>
      </c>
      <c r="D40" s="11" t="n">
        <f aca="false">IFERROR(Datos!G74/Datos!G72,"n.d.")</f>
        <v>0.371348721647642</v>
      </c>
      <c r="E40" s="11" t="n">
        <f aca="false">IFERROR(Datos!G100/Datos!G98,"n.d.")</f>
        <v>0.0642361700442423</v>
      </c>
    </row>
    <row r="41" customFormat="false" ht="15" hidden="false" customHeight="false" outlineLevel="0" collapsed="false">
      <c r="A41" s="3" t="s">
        <v>29</v>
      </c>
      <c r="B41" s="10" t="n">
        <f aca="false">IFERROR(Datos!G9/Datos!G10,"n.d.")</f>
        <v>2.45673389720234</v>
      </c>
      <c r="C41" s="10" t="n">
        <f aca="false">IFERROR(Datos!G35/Datos!G36,"n.d.")</f>
        <v>6.84656380018666</v>
      </c>
      <c r="D41" s="10" t="n">
        <f aca="false">IFERROR(Datos!G61/Datos!G62,"n.d.")</f>
        <v>3.92470281188181</v>
      </c>
      <c r="E41" s="10" t="n">
        <f aca="false">IFERROR(Datos!G87/Datos!G88,"n.d.")</f>
        <v>13.4007369529253</v>
      </c>
    </row>
    <row r="42" customFormat="false" ht="15" hidden="false" customHeight="false" outlineLevel="0" collapsed="false">
      <c r="A42" s="3" t="s">
        <v>39</v>
      </c>
      <c r="B42" s="10" t="n">
        <f aca="false">IFERROR(Datos!G7/Datos!G18,"n.d.")</f>
        <v>4.17408543196109</v>
      </c>
      <c r="C42" s="10" t="n">
        <f aca="false">IFERROR(Datos!G33/Datos!G44,"n.d.")</f>
        <v>7.13256008092999</v>
      </c>
      <c r="D42" s="10" t="n">
        <f aca="false">IFERROR(Datos!G59/Datos!G70,"n.d.")</f>
        <v>9.71023018879762</v>
      </c>
      <c r="E42" s="10" t="n">
        <f aca="false">IFERROR(Datos!G85/Datos!G96,"n.d.")</f>
        <v>5.62686308492201</v>
      </c>
    </row>
    <row r="43" customFormat="false" ht="15" hidden="false" customHeight="false" outlineLevel="0" collapsed="false">
      <c r="A43" s="3" t="s">
        <v>40</v>
      </c>
      <c r="B43" s="12" t="n">
        <f aca="false">IFERROR(365*Datos!G18/Datos!G7,"n.d.")</f>
        <v>87.4443050938019</v>
      </c>
      <c r="C43" s="12" t="n">
        <f aca="false">IFERROR(365*Datos!G44/Datos!G33,"n.d.")</f>
        <v>51.1737715292276</v>
      </c>
      <c r="D43" s="12" t="n">
        <f aca="false">IFERROR(365*Datos!G70/Datos!G59,"n.d.")</f>
        <v>37.5892221814771</v>
      </c>
      <c r="E43" s="12" t="n">
        <f aca="false">IFERROR(365*Datos!G96/Datos!G85,"n.d.")</f>
        <v>64.8674038254227</v>
      </c>
    </row>
    <row r="44" customFormat="false" ht="15" hidden="false" customHeight="false" outlineLevel="0" collapsed="false">
      <c r="A44" s="3" t="s">
        <v>41</v>
      </c>
      <c r="B44" s="10" t="n">
        <f aca="false">IFERROR(Datos!G6/Datos!G20,"n.d.")</f>
        <v>1.13763954934055</v>
      </c>
      <c r="C44" s="10" t="n">
        <f aca="false">IFERROR(Datos!G32/Datos!G46,"n.d.")</f>
        <v>2.04250441120085</v>
      </c>
      <c r="D44" s="10" t="n">
        <f aca="false">IFERROR(Datos!G58/Datos!G72,"n.d.")</f>
        <v>1.84150466113609</v>
      </c>
      <c r="E44" s="10" t="n">
        <f aca="false">IFERROR(Datos!G84/Datos!G98,"n.d.")</f>
        <v>1.07554318431266</v>
      </c>
    </row>
    <row r="45" customFormat="false" ht="15" hidden="false" customHeight="false" outlineLevel="0" collapsed="false">
      <c r="A45" s="3" t="s">
        <v>33</v>
      </c>
      <c r="B45" s="11" t="n">
        <f aca="false">IFERROR(Datos!G8/Datos!G6,"n.d.")</f>
        <v>0.240903585612483</v>
      </c>
      <c r="C45" s="11" t="n">
        <f aca="false">IFERROR(Datos!G34/Datos!G32,"n.d.")</f>
        <v>0.242386723025028</v>
      </c>
      <c r="D45" s="11" t="n">
        <f aca="false">IFERROR(Datos!G60/Datos!G58,"n.d.")</f>
        <v>0.229592638200097</v>
      </c>
      <c r="E45" s="11" t="n">
        <f aca="false">IFERROR(Datos!G86/Datos!G84,"n.d.")</f>
        <v>0.296373360288041</v>
      </c>
    </row>
    <row r="46" customFormat="false" ht="15" hidden="false" customHeight="false" outlineLevel="0" collapsed="false">
      <c r="A46" s="3" t="s">
        <v>34</v>
      </c>
      <c r="B46" s="11" t="n">
        <f aca="false">IFERROR(Datos!G13/Datos!G6,"n.d.")</f>
        <v>0.01878151142157</v>
      </c>
      <c r="C46" s="11" t="n">
        <f aca="false">IFERROR(Datos!G39/Datos!G32,"n.d.")</f>
        <v>0.0493187065730366</v>
      </c>
      <c r="D46" s="11" t="n">
        <f aca="false">IFERROR(Datos!G65/Datos!G58,"n.d.")</f>
        <v>0.0224170132332183</v>
      </c>
      <c r="E46" s="11" t="n">
        <f aca="false">IFERROR(Datos!G91/Datos!G84,"n.d.")</f>
        <v>0.0564887397888847</v>
      </c>
    </row>
    <row r="47" customFormat="false" ht="15" hidden="false" customHeight="false" outlineLevel="0" collapsed="false">
      <c r="A47" s="3" t="s">
        <v>42</v>
      </c>
      <c r="B47" s="4" t="n">
        <f aca="false">IFERROR(Datos!G13/Datos!G20,"n.d.")</f>
        <v>0.0213665901895692</v>
      </c>
      <c r="C47" s="4" t="n">
        <f aca="false">IFERROR(Datos!G39/Datos!G46,"n.d.")</f>
        <v>0.100733675730147</v>
      </c>
      <c r="D47" s="4" t="n">
        <f aca="false">IFERROR(Datos!G65/Datos!G72,"n.d.")</f>
        <v>0.0412810343577209</v>
      </c>
      <c r="E47" s="4" t="n">
        <f aca="false">IFERROR(Datos!G91/Datos!G98,"n.d.")</f>
        <v>0.0607560790703464</v>
      </c>
    </row>
    <row r="48" customFormat="false" ht="15" hidden="false" customHeight="false" outlineLevel="0" collapsed="false">
      <c r="A48" s="3" t="s">
        <v>43</v>
      </c>
      <c r="B48" s="4" t="n">
        <f aca="false">IFERROR(Datos!G13/Datos!G24,"n.d.")</f>
        <v>0.0393475900486239</v>
      </c>
      <c r="C48" s="4" t="n">
        <f aca="false">IFERROR(Datos!G39/Datos!G50,"n.d.")</f>
        <v>0.211778074633638</v>
      </c>
      <c r="D48" s="4" t="n">
        <f aca="false">IFERROR(Datos!G65/Datos!G76,"n.d.")</f>
        <v>0.126460734620523</v>
      </c>
      <c r="E48" s="4" t="n">
        <f aca="false">IFERROR(Datos!G91/Datos!G102,"n.d.")</f>
        <v>0.0814951750431802</v>
      </c>
    </row>
    <row r="49" customFormat="false" ht="15" hidden="false" customHeight="false" outlineLevel="0" collapsed="false">
      <c r="A49" s="3" t="s">
        <v>44</v>
      </c>
      <c r="B49" s="4" t="n">
        <f aca="false">IFERROR(Datos!G9*(1-WACC!$B$10)/(Datos!G24+Datos!G29),"n.d.")</f>
        <v>0.0487900323027227</v>
      </c>
      <c r="C49" s="4" t="n">
        <f aca="false">IFERROR(Datos!G35*(1-WACC!$B$10)/(Datos!G50+Datos!G55),"n.d.")</f>
        <v>0.173643373125404</v>
      </c>
      <c r="D49" s="4" t="n">
        <f aca="false">IFERROR(Datos!G61*(1-WACC!$B$10)/(Datos!G76+Datos!G81),"n.d.")</f>
        <v>0.0968763348702483</v>
      </c>
      <c r="E49" s="4" t="n">
        <f aca="false">IFERROR(Datos!G87*(1-WACC!$B$10)/(Datos!G102+Datos!G107),"n.d.")</f>
        <v>0.0705054387298609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8"/>
  <sheetViews>
    <sheetView showFormulas="false" showGridLines="true" showRowColHeaders="true" showZeros="true" rightToLeft="false" tabSelected="false" showOutlineSymbols="true" defaultGridColor="true" view="normal" topLeftCell="A16" colorId="64" zoomScale="76" zoomScaleNormal="76" zoomScalePageLayoutView="100" workbookViewId="0">
      <selection pane="topLeft" activeCell="B107" activeCellId="0" sqref="B107"/>
    </sheetView>
  </sheetViews>
  <sheetFormatPr defaultColWidth="11.5078125" defaultRowHeight="15" zeroHeight="false" outlineLevelRow="0" outlineLevelCol="0"/>
  <cols>
    <col collapsed="false" customWidth="true" hidden="false" outlineLevel="0" max="1" min="1" style="0" width="61.16"/>
    <col collapsed="false" customWidth="true" hidden="false" outlineLevel="0" max="2" min="2" style="0" width="50.67"/>
    <col collapsed="false" customWidth="true" hidden="false" outlineLevel="0" max="3" min="3" style="0" width="70.33"/>
    <col collapsed="false" customWidth="true" hidden="false" outlineLevel="0" max="5" min="4" style="0" width="22.16"/>
  </cols>
  <sheetData>
    <row r="1" customFormat="false" ht="18.75" hidden="false" customHeight="true" outlineLevel="0" collapsed="false">
      <c r="A1" s="13"/>
    </row>
    <row r="2" customFormat="false" ht="15" hidden="false" customHeight="false" outlineLevel="0" collapsed="false">
      <c r="A2" s="14"/>
    </row>
    <row r="4" customFormat="false" ht="15" hidden="false" customHeight="false" outlineLevel="0" collapsed="false">
      <c r="A4" s="1" t="s">
        <v>45</v>
      </c>
      <c r="B4" s="1" t="s">
        <v>46</v>
      </c>
      <c r="C4" s="2"/>
      <c r="D4" s="2"/>
      <c r="E4" s="2"/>
      <c r="F4" s="2"/>
      <c r="G4" s="2"/>
      <c r="H4" s="2"/>
      <c r="I4" s="2"/>
      <c r="J4" s="2"/>
    </row>
    <row r="5" customFormat="false" ht="15" hidden="false" customHeight="false" outlineLevel="0" collapsed="false">
      <c r="A5" s="3" t="s">
        <v>47</v>
      </c>
      <c r="B5" s="3" t="s">
        <v>48</v>
      </c>
    </row>
    <row r="6" customFormat="false" ht="15" hidden="false" customHeight="false" outlineLevel="0" collapsed="false">
      <c r="A6" s="3" t="s">
        <v>49</v>
      </c>
      <c r="B6" s="3" t="s">
        <v>50</v>
      </c>
    </row>
    <row r="7" customFormat="false" ht="15" hidden="false" customHeight="false" outlineLevel="0" collapsed="false">
      <c r="A7" s="3" t="s">
        <v>51</v>
      </c>
      <c r="B7" s="3" t="s">
        <v>52</v>
      </c>
    </row>
    <row r="8" customFormat="false" ht="15" hidden="false" customHeight="false" outlineLevel="0" collapsed="false">
      <c r="A8" s="3" t="s">
        <v>53</v>
      </c>
      <c r="B8" s="3" t="s">
        <v>54</v>
      </c>
    </row>
    <row r="9" customFormat="false" ht="15" hidden="false" customHeight="false" outlineLevel="0" collapsed="false">
      <c r="A9" s="3" t="s">
        <v>55</v>
      </c>
      <c r="B9" s="15" t="n">
        <v>812</v>
      </c>
    </row>
    <row r="10" customFormat="false" ht="15" hidden="false" customHeight="false" outlineLevel="0" collapsed="false">
      <c r="A10" s="3" t="s">
        <v>56</v>
      </c>
      <c r="B10" s="15" t="n">
        <v>82064</v>
      </c>
    </row>
    <row r="11" customFormat="false" ht="15" hidden="false" customHeight="false" outlineLevel="0" collapsed="false">
      <c r="A11" s="3" t="s">
        <v>57</v>
      </c>
      <c r="B11" s="16" t="n">
        <f aca="false">WACC!B17</f>
        <v>1800</v>
      </c>
    </row>
    <row r="12" customFormat="false" ht="15" hidden="false" customHeight="false" outlineLevel="0" collapsed="false">
      <c r="A12" s="3" t="s">
        <v>58</v>
      </c>
      <c r="B12" s="16" t="n">
        <f aca="false">WACC!B18</f>
        <v>60264</v>
      </c>
    </row>
    <row r="13" customFormat="false" ht="15" hidden="false" customHeight="false" outlineLevel="0" collapsed="false">
      <c r="B13" s="9"/>
    </row>
    <row r="14" customFormat="false" ht="15" hidden="false" customHeight="false" outlineLevel="0" collapsed="false">
      <c r="A14" s="1" t="s">
        <v>59</v>
      </c>
      <c r="B14" s="17" t="s">
        <v>60</v>
      </c>
      <c r="C14" s="2"/>
      <c r="D14" s="2"/>
      <c r="E14" s="2"/>
      <c r="F14" s="2"/>
      <c r="G14" s="2"/>
      <c r="H14" s="2"/>
      <c r="I14" s="2"/>
      <c r="J14" s="2"/>
    </row>
    <row r="15" customFormat="false" ht="15" hidden="false" customHeight="false" outlineLevel="0" collapsed="false">
      <c r="A15" s="3" t="s">
        <v>61</v>
      </c>
      <c r="B15" s="16" t="s">
        <v>62</v>
      </c>
    </row>
    <row r="16" customFormat="false" ht="15" hidden="false" customHeight="false" outlineLevel="0" collapsed="false">
      <c r="A16" s="3" t="s">
        <v>63</v>
      </c>
      <c r="B16" s="16" t="s">
        <v>64</v>
      </c>
    </row>
    <row r="17" customFormat="false" ht="15" hidden="false" customHeight="false" outlineLevel="0" collapsed="false">
      <c r="A17" s="3" t="s">
        <v>65</v>
      </c>
      <c r="B17" s="16" t="s">
        <v>66</v>
      </c>
    </row>
    <row r="18" customFormat="false" ht="15" hidden="false" customHeight="false" outlineLevel="0" collapsed="false">
      <c r="A18" s="3" t="s">
        <v>67</v>
      </c>
      <c r="B18" s="16" t="s">
        <v>68</v>
      </c>
    </row>
    <row r="19" customFormat="false" ht="15" hidden="false" customHeight="false" outlineLevel="0" collapsed="false">
      <c r="A19" s="3" t="s">
        <v>69</v>
      </c>
      <c r="B19" s="16" t="s">
        <v>70</v>
      </c>
    </row>
    <row r="20" customFormat="false" ht="15" hidden="false" customHeight="false" outlineLevel="0" collapsed="false">
      <c r="A20" s="18"/>
      <c r="B20" s="19"/>
    </row>
    <row r="21" customFormat="false" ht="15" hidden="false" customHeight="false" outlineLevel="0" collapsed="false">
      <c r="A21" s="1" t="s">
        <v>71</v>
      </c>
      <c r="B21" s="1" t="s">
        <v>46</v>
      </c>
      <c r="C21" s="2"/>
      <c r="D21" s="2"/>
      <c r="E21" s="2"/>
      <c r="F21" s="2"/>
      <c r="G21" s="2"/>
      <c r="H21" s="2"/>
      <c r="I21" s="2"/>
      <c r="J21" s="2"/>
    </row>
    <row r="22" customFormat="false" ht="15" hidden="false" customHeight="false" outlineLevel="0" collapsed="false">
      <c r="A22" s="3" t="s">
        <v>72</v>
      </c>
      <c r="B22" s="3" t="s">
        <v>73</v>
      </c>
    </row>
    <row r="23" customFormat="false" ht="15" hidden="false" customHeight="false" outlineLevel="0" collapsed="false">
      <c r="A23" s="3" t="s">
        <v>74</v>
      </c>
      <c r="B23" s="3" t="s">
        <v>75</v>
      </c>
    </row>
    <row r="24" customFormat="false" ht="15" hidden="false" customHeight="false" outlineLevel="0" collapsed="false">
      <c r="A24" s="3" t="s">
        <v>76</v>
      </c>
      <c r="B24" s="3" t="n">
        <v>23.357</v>
      </c>
    </row>
    <row r="25" customFormat="false" ht="15" hidden="false" customHeight="false" outlineLevel="0" collapsed="false">
      <c r="A25" s="18"/>
      <c r="B25" s="18"/>
    </row>
    <row r="26" customFormat="false" ht="15" hidden="false" customHeight="false" outlineLevel="0" collapsed="false">
      <c r="A26" s="1" t="s">
        <v>77</v>
      </c>
      <c r="B26" s="1" t="s">
        <v>78</v>
      </c>
      <c r="C26" s="2"/>
      <c r="D26" s="2"/>
      <c r="E26" s="2"/>
      <c r="F26" s="2"/>
      <c r="G26" s="2"/>
      <c r="H26" s="2"/>
      <c r="I26" s="2"/>
      <c r="J26" s="2"/>
    </row>
    <row r="27" customFormat="false" ht="15" hidden="false" customHeight="false" outlineLevel="0" collapsed="false">
      <c r="A27" s="3" t="s">
        <v>79</v>
      </c>
      <c r="B27" s="5" t="n">
        <f aca="false">Datos!G6</f>
        <v>177515</v>
      </c>
    </row>
    <row r="28" customFormat="false" ht="15" hidden="false" customHeight="false" outlineLevel="0" collapsed="false">
      <c r="A28" s="3" t="s">
        <v>80</v>
      </c>
      <c r="B28" s="5" t="n">
        <f aca="false">Datos!G8</f>
        <v>42764</v>
      </c>
    </row>
    <row r="29" customFormat="false" ht="15" hidden="false" customHeight="false" outlineLevel="0" collapsed="false">
      <c r="A29" s="3" t="s">
        <v>81</v>
      </c>
      <c r="B29" s="5" t="n">
        <f aca="false">Datos!G9</f>
        <v>7552</v>
      </c>
    </row>
    <row r="30" customFormat="false" ht="15" hidden="false" customHeight="false" outlineLevel="0" collapsed="false">
      <c r="A30" s="3" t="s">
        <v>82</v>
      </c>
      <c r="B30" s="5" t="n">
        <f aca="false">Datos!G13</f>
        <v>3334</v>
      </c>
    </row>
    <row r="31" customFormat="false" ht="15" hidden="false" customHeight="false" outlineLevel="0" collapsed="false">
      <c r="A31" s="3" t="s">
        <v>33</v>
      </c>
      <c r="B31" s="11" t="n">
        <f aca="false">Datos!G8/Datos!G6</f>
        <v>0.240903585612483</v>
      </c>
    </row>
    <row r="32" customFormat="false" ht="15" hidden="false" customHeight="false" outlineLevel="0" collapsed="false">
      <c r="A32" s="3" t="s">
        <v>83</v>
      </c>
      <c r="B32" s="11" t="n">
        <f aca="false">Datos!G9/Datos!G6</f>
        <v>0.042542883699969</v>
      </c>
    </row>
    <row r="33" customFormat="false" ht="15" hidden="false" customHeight="false" outlineLevel="0" collapsed="false">
      <c r="A33" s="3" t="s">
        <v>34</v>
      </c>
      <c r="B33" s="11" t="n">
        <f aca="false">Datos!G13/Datos!G6</f>
        <v>0.01878151142157</v>
      </c>
    </row>
    <row r="34" customFormat="false" ht="15" hidden="false" customHeight="false" outlineLevel="0" collapsed="false">
      <c r="B34" s="9"/>
    </row>
    <row r="35" customFormat="false" ht="15" hidden="false" customHeight="false" outlineLevel="0" collapsed="false">
      <c r="A35" s="1" t="s">
        <v>84</v>
      </c>
      <c r="B35" s="1" t="s">
        <v>85</v>
      </c>
      <c r="C35" s="2"/>
      <c r="D35" s="2"/>
      <c r="E35" s="2"/>
      <c r="F35" s="2"/>
      <c r="G35" s="2"/>
      <c r="H35" s="2"/>
      <c r="I35" s="2"/>
      <c r="J35" s="2"/>
    </row>
    <row r="36" customFormat="false" ht="15" hidden="false" customHeight="false" outlineLevel="0" collapsed="false">
      <c r="A36" s="3" t="s">
        <v>79</v>
      </c>
      <c r="B36" s="5" t="n">
        <f aca="false">Datos!F6</f>
        <v>43559</v>
      </c>
    </row>
    <row r="37" customFormat="false" ht="15" hidden="false" customHeight="false" outlineLevel="0" collapsed="false">
      <c r="A37" s="3" t="s">
        <v>86</v>
      </c>
      <c r="B37" s="5" t="n">
        <f aca="false">Datos!F7</f>
        <v>32919</v>
      </c>
    </row>
    <row r="38" customFormat="false" ht="15" hidden="false" customHeight="false" outlineLevel="0" collapsed="false">
      <c r="A38" s="3" t="s">
        <v>80</v>
      </c>
      <c r="B38" s="5" t="n">
        <f aca="false">Datos!F8</f>
        <v>10640</v>
      </c>
    </row>
    <row r="39" customFormat="false" ht="15" hidden="false" customHeight="false" outlineLevel="0" collapsed="false">
      <c r="A39" s="3" t="s">
        <v>87</v>
      </c>
      <c r="B39" s="5" t="n">
        <f aca="false">Datos!F9</f>
        <v>1855</v>
      </c>
    </row>
    <row r="40" customFormat="false" ht="15" hidden="false" customHeight="false" outlineLevel="0" collapsed="false">
      <c r="A40" s="3" t="s">
        <v>88</v>
      </c>
      <c r="B40" s="5" t="n">
        <f aca="false">Datos!F10</f>
        <v>582</v>
      </c>
    </row>
    <row r="41" customFormat="false" ht="15" hidden="false" customHeight="false" outlineLevel="0" collapsed="false">
      <c r="A41" s="3" t="s">
        <v>89</v>
      </c>
      <c r="B41" s="5" t="n">
        <f aca="false">Datos!F13</f>
        <v>1090</v>
      </c>
    </row>
    <row r="42" customFormat="false" ht="15" hidden="false" customHeight="false" outlineLevel="0" collapsed="false">
      <c r="B42" s="9"/>
    </row>
    <row r="43" customFormat="false" ht="15" hidden="false" customHeight="false" outlineLevel="0" collapsed="false">
      <c r="A43" s="1" t="s">
        <v>90</v>
      </c>
      <c r="B43" s="1" t="s">
        <v>91</v>
      </c>
      <c r="C43" s="2"/>
      <c r="D43" s="2"/>
      <c r="E43" s="2"/>
      <c r="F43" s="2"/>
      <c r="G43" s="2"/>
      <c r="H43" s="2"/>
      <c r="I43" s="2"/>
      <c r="J43" s="2"/>
    </row>
    <row r="44" customFormat="false" ht="15" hidden="false" customHeight="false" outlineLevel="0" collapsed="false">
      <c r="A44" s="3" t="s">
        <v>92</v>
      </c>
      <c r="B44" s="5" t="n">
        <f aca="false">Datos!G20</f>
        <v>156038</v>
      </c>
    </row>
    <row r="45" customFormat="false" ht="15" hidden="false" customHeight="false" outlineLevel="0" collapsed="false">
      <c r="A45" s="3" t="s">
        <v>93</v>
      </c>
      <c r="B45" s="5" t="n">
        <f aca="false">Datos!G23</f>
        <v>71306</v>
      </c>
    </row>
    <row r="46" customFormat="false" ht="15" hidden="false" customHeight="false" outlineLevel="0" collapsed="false">
      <c r="A46" s="3" t="s">
        <v>94</v>
      </c>
      <c r="B46" s="5" t="n">
        <f aca="false">Datos!G24</f>
        <v>84732</v>
      </c>
    </row>
    <row r="47" customFormat="false" ht="15" hidden="false" customHeight="false" outlineLevel="0" collapsed="false">
      <c r="A47" s="3" t="s">
        <v>95</v>
      </c>
      <c r="B47" s="5" t="n">
        <f aca="false">Datos!G25+Datos!G26</f>
        <v>11500</v>
      </c>
    </row>
    <row r="48" customFormat="false" ht="15" hidden="false" customHeight="false" outlineLevel="0" collapsed="false">
      <c r="A48" s="3" t="s">
        <v>96</v>
      </c>
      <c r="B48" s="5" t="n">
        <f aca="false">Datos!G17</f>
        <v>9295</v>
      </c>
    </row>
    <row r="49" customFormat="false" ht="15" hidden="false" customHeight="false" outlineLevel="0" collapsed="false">
      <c r="B49" s="9"/>
    </row>
    <row r="50" customFormat="false" ht="15" hidden="false" customHeight="false" outlineLevel="0" collapsed="false">
      <c r="A50" s="1" t="s">
        <v>97</v>
      </c>
      <c r="B50" s="1" t="s">
        <v>78</v>
      </c>
      <c r="C50" s="2"/>
      <c r="D50" s="2"/>
      <c r="E50" s="2"/>
      <c r="F50" s="2"/>
      <c r="G50" s="2"/>
      <c r="H50" s="2"/>
      <c r="I50" s="2"/>
      <c r="J50" s="2"/>
    </row>
    <row r="51" customFormat="false" ht="15" hidden="false" customHeight="false" outlineLevel="0" collapsed="false">
      <c r="A51" s="3" t="s">
        <v>98</v>
      </c>
      <c r="B51" s="5" t="n">
        <f aca="false">Datos!G15</f>
        <v>13738</v>
      </c>
    </row>
    <row r="52" customFormat="false" ht="15" hidden="false" customHeight="false" outlineLevel="0" collapsed="false">
      <c r="A52" s="3" t="s">
        <v>99</v>
      </c>
      <c r="B52" s="5" t="n">
        <f aca="false">Datos!G16</f>
        <v>2867</v>
      </c>
    </row>
    <row r="53" customFormat="false" ht="15" hidden="false" customHeight="false" outlineLevel="0" collapsed="false">
      <c r="A53" s="3" t="s">
        <v>100</v>
      </c>
      <c r="B53" s="5" t="n">
        <f aca="false">B51-B52</f>
        <v>10871</v>
      </c>
    </row>
    <row r="54" customFormat="false" ht="15" hidden="false" customHeight="false" outlineLevel="0" collapsed="false">
      <c r="B54" s="9"/>
    </row>
    <row r="55" customFormat="false" ht="15" hidden="false" customHeight="false" outlineLevel="0" collapsed="false">
      <c r="A55" s="1" t="s">
        <v>101</v>
      </c>
      <c r="B55" s="1" t="s">
        <v>78</v>
      </c>
      <c r="C55" s="2"/>
      <c r="D55" s="2"/>
      <c r="E55" s="2"/>
      <c r="F55" s="2"/>
      <c r="G55" s="2"/>
      <c r="H55" s="2"/>
      <c r="I55" s="2"/>
      <c r="J55" s="2"/>
    </row>
    <row r="56" customFormat="false" ht="15" hidden="false" customHeight="false" outlineLevel="0" collapsed="false">
      <c r="A56" s="3" t="s">
        <v>102</v>
      </c>
      <c r="B56" s="10" t="n">
        <f aca="false">WACC!B13/(Datos!G13/WACC!B17)</f>
        <v>18.0755848830234</v>
      </c>
    </row>
    <row r="57" customFormat="false" ht="15" hidden="false" customHeight="false" outlineLevel="0" collapsed="false">
      <c r="A57" s="3" t="s">
        <v>103</v>
      </c>
      <c r="B57" s="6" t="n">
        <f aca="false">Datos!G24/WACC!B17</f>
        <v>47.0733333333333</v>
      </c>
    </row>
    <row r="58" customFormat="false" ht="15" hidden="false" customHeight="false" outlineLevel="0" collapsed="false">
      <c r="A58" s="3" t="s">
        <v>104</v>
      </c>
      <c r="B58" s="10" t="n">
        <f aca="false">WACC!B13/B57</f>
        <v>0.711230703866308</v>
      </c>
    </row>
    <row r="59" customFormat="false" ht="15" hidden="false" customHeight="false" outlineLevel="0" collapsed="false">
      <c r="A59" s="3" t="s">
        <v>105</v>
      </c>
      <c r="B59" s="11" t="n">
        <f aca="false">Comparativo!B48</f>
        <v>0.0393475900486239</v>
      </c>
    </row>
    <row r="60" customFormat="false" ht="15" hidden="false" customHeight="false" outlineLevel="0" collapsed="false">
      <c r="B60" s="9"/>
    </row>
    <row r="61" customFormat="false" ht="15" hidden="false" customHeight="false" outlineLevel="0" collapsed="false">
      <c r="A61" s="1" t="s">
        <v>106</v>
      </c>
      <c r="B61" s="1" t="s">
        <v>78</v>
      </c>
      <c r="C61" s="2"/>
      <c r="D61" s="2"/>
      <c r="E61" s="2"/>
      <c r="F61" s="2"/>
      <c r="G61" s="2"/>
      <c r="H61" s="2"/>
      <c r="I61" s="2"/>
      <c r="J61" s="2"/>
    </row>
    <row r="62" customFormat="false" ht="15" hidden="false" customHeight="false" outlineLevel="0" collapsed="false">
      <c r="A62" s="3" t="s">
        <v>107</v>
      </c>
      <c r="B62" s="20" t="n">
        <v>0.5556</v>
      </c>
    </row>
    <row r="63" customFormat="false" ht="15" hidden="false" customHeight="false" outlineLevel="0" collapsed="false">
      <c r="A63" s="3" t="s">
        <v>108</v>
      </c>
      <c r="B63" s="4" t="n">
        <f aca="false">B62/WACC!B13</f>
        <v>0.016594982078853</v>
      </c>
    </row>
    <row r="64" customFormat="false" ht="15" hidden="false" customHeight="false" outlineLevel="0" collapsed="false">
      <c r="B64" s="9"/>
    </row>
    <row r="65" customFormat="false" ht="15" hidden="false" customHeight="false" outlineLevel="0" collapsed="false">
      <c r="A65" s="1" t="s">
        <v>109</v>
      </c>
      <c r="B65" s="1"/>
      <c r="C65" s="2"/>
      <c r="D65" s="2"/>
      <c r="E65" s="2"/>
      <c r="F65" s="2"/>
      <c r="G65" s="2"/>
      <c r="H65" s="2"/>
      <c r="I65" s="2"/>
      <c r="J65" s="2"/>
    </row>
    <row r="66" customFormat="false" ht="15" hidden="false" customHeight="false" outlineLevel="0" collapsed="false">
      <c r="A66" s="3" t="s">
        <v>110</v>
      </c>
      <c r="B66" s="3" t="s">
        <v>111</v>
      </c>
    </row>
    <row r="67" customFormat="false" ht="15" hidden="false" customHeight="false" outlineLevel="0" collapsed="false">
      <c r="A67" s="3" t="s">
        <v>112</v>
      </c>
      <c r="B67" s="11" t="n">
        <f aca="false">Datos!F8/Datos!F6</f>
        <v>0.244266397300214</v>
      </c>
    </row>
    <row r="68" customFormat="false" ht="15" hidden="false" customHeight="false" outlineLevel="0" collapsed="false">
      <c r="A68" s="3" t="s">
        <v>113</v>
      </c>
      <c r="B68" s="15" t="n">
        <v>477</v>
      </c>
    </row>
    <row r="69" customFormat="false" ht="15" hidden="false" customHeight="false" outlineLevel="0" collapsed="false">
      <c r="A69" s="3" t="s">
        <v>114</v>
      </c>
      <c r="B69" s="15" t="n">
        <f aca="false">Datos!F25+Datos!F26-Datos!F17</f>
        <v>4624.616</v>
      </c>
    </row>
    <row r="70" customFormat="false" ht="15" hidden="false" customHeight="false" outlineLevel="0" collapsed="false">
      <c r="A70" s="3" t="s">
        <v>115</v>
      </c>
      <c r="B70" s="15" t="n">
        <f aca="false">Datos!E16+Datos!F16</f>
        <v>1410.9</v>
      </c>
    </row>
    <row r="71" customFormat="false" ht="15" hidden="false" customHeight="false" outlineLevel="0" collapsed="false">
      <c r="B71" s="9"/>
    </row>
    <row r="72" customFormat="false" ht="15" hidden="false" customHeight="false" outlineLevel="0" collapsed="false">
      <c r="A72" s="1" t="s">
        <v>116</v>
      </c>
      <c r="B72" s="1" t="s">
        <v>78</v>
      </c>
      <c r="C72" s="2"/>
      <c r="D72" s="2"/>
      <c r="E72" s="2"/>
      <c r="F72" s="2"/>
      <c r="G72" s="2"/>
      <c r="H72" s="2"/>
      <c r="I72" s="2"/>
      <c r="J72" s="2"/>
    </row>
    <row r="73" customFormat="false" ht="15" hidden="false" customHeight="false" outlineLevel="0" collapsed="false">
      <c r="A73" s="3" t="s">
        <v>117</v>
      </c>
      <c r="B73" s="21" t="s">
        <v>118</v>
      </c>
    </row>
    <row r="74" customFormat="false" ht="15" hidden="false" customHeight="false" outlineLevel="0" collapsed="false">
      <c r="A74" s="3" t="s">
        <v>119</v>
      </c>
      <c r="B74" s="22" t="n">
        <f aca="false">B24/WACC!B13-1</f>
        <v>-0.302359617682198</v>
      </c>
    </row>
    <row r="75" customFormat="false" ht="15" hidden="false" customHeight="false" outlineLevel="0" collapsed="false">
      <c r="A75" s="3" t="s">
        <v>120</v>
      </c>
      <c r="B75" s="15" t="n">
        <v>196480</v>
      </c>
    </row>
    <row r="76" customFormat="false" ht="15" hidden="false" customHeight="false" outlineLevel="0" collapsed="false">
      <c r="B76" s="9"/>
    </row>
    <row r="77" customFormat="false" ht="15" hidden="false" customHeight="false" outlineLevel="0" collapsed="false">
      <c r="A77" s="1" t="s">
        <v>121</v>
      </c>
      <c r="B77" s="1" t="s">
        <v>78</v>
      </c>
      <c r="C77" s="2"/>
      <c r="D77" s="2"/>
      <c r="E77" s="2"/>
      <c r="F77" s="2"/>
      <c r="G77" s="2"/>
      <c r="H77" s="2"/>
      <c r="I77" s="2"/>
      <c r="J77" s="2"/>
    </row>
    <row r="78" customFormat="false" ht="15" hidden="false" customHeight="false" outlineLevel="0" collapsed="false">
      <c r="A78" s="3" t="s">
        <v>122</v>
      </c>
      <c r="B78" s="6" t="n">
        <f aca="false">WACC!B13</f>
        <v>33.48</v>
      </c>
    </row>
    <row r="79" customFormat="false" ht="15" hidden="false" customHeight="false" outlineLevel="0" collapsed="false">
      <c r="A79" s="3" t="s">
        <v>123</v>
      </c>
      <c r="B79" s="3" t="s">
        <v>124</v>
      </c>
    </row>
    <row r="80" customFormat="false" ht="15" hidden="false" customHeight="false" outlineLevel="0" collapsed="false">
      <c r="A80" s="3" t="s">
        <v>125</v>
      </c>
      <c r="B80" s="11" t="n">
        <v>0.2127</v>
      </c>
    </row>
    <row r="81" customFormat="false" ht="15" hidden="false" customHeight="false" outlineLevel="0" collapsed="false">
      <c r="A81" s="3" t="s">
        <v>126</v>
      </c>
      <c r="B81" s="3" t="s">
        <v>127</v>
      </c>
    </row>
    <row r="82" customFormat="false" ht="15" hidden="false" customHeight="false" outlineLevel="0" collapsed="false">
      <c r="A82" s="3" t="s">
        <v>128</v>
      </c>
      <c r="B82" s="12" t="n">
        <v>75</v>
      </c>
    </row>
    <row r="83" customFormat="false" ht="15" hidden="false" customHeight="false" outlineLevel="0" collapsed="false">
      <c r="A83" s="3" t="s">
        <v>129</v>
      </c>
      <c r="B83" s="23" t="n">
        <v>1.154</v>
      </c>
    </row>
    <row r="84" customFormat="false" ht="15" hidden="false" customHeight="false" outlineLevel="0" collapsed="false">
      <c r="A84" s="3" t="s">
        <v>130</v>
      </c>
      <c r="B84" s="6" t="n">
        <v>29.68</v>
      </c>
    </row>
    <row r="85" customFormat="false" ht="15" hidden="false" customHeight="false" outlineLevel="0" collapsed="false">
      <c r="A85" s="3" t="s">
        <v>131</v>
      </c>
      <c r="B85" s="6" t="n">
        <v>29.71</v>
      </c>
    </row>
    <row r="88" customFormat="false" ht="15" hidden="false" customHeight="false" outlineLevel="0" collapsed="false">
      <c r="A88" s="1" t="s">
        <v>132</v>
      </c>
      <c r="B88" s="1" t="s">
        <v>1</v>
      </c>
      <c r="C88" s="1" t="s">
        <v>2</v>
      </c>
      <c r="D88" s="1" t="s">
        <v>3</v>
      </c>
      <c r="E88" s="1" t="s">
        <v>4</v>
      </c>
      <c r="F88" s="2"/>
      <c r="G88" s="2"/>
      <c r="H88" s="2"/>
      <c r="I88" s="2"/>
      <c r="J88" s="2"/>
    </row>
    <row r="89" customFormat="false" ht="15" hidden="false" customHeight="false" outlineLevel="0" collapsed="false">
      <c r="A89" s="3" t="s">
        <v>133</v>
      </c>
      <c r="B89" s="6" t="n">
        <f aca="false">WACC!B13</f>
        <v>33.48</v>
      </c>
      <c r="C89" s="6" t="n">
        <f aca="false">WACC!C13</f>
        <v>46.6</v>
      </c>
      <c r="D89" s="6" t="n">
        <f aca="false">WACC!D13</f>
        <v>92.94</v>
      </c>
      <c r="E89" s="6" t="n">
        <f aca="false">WACC!E13</f>
        <v>32.08</v>
      </c>
    </row>
    <row r="90" customFormat="false" ht="15" hidden="false" customHeight="false" outlineLevel="0" collapsed="false">
      <c r="A90" s="3" t="s">
        <v>134</v>
      </c>
      <c r="B90" s="10" t="n">
        <f aca="false">B56</f>
        <v>18.0755848830234</v>
      </c>
      <c r="C90" s="10" t="n">
        <f aca="false">WACC!C13/(Datos!G39/WACC!C17)</f>
        <v>16.3081016006914</v>
      </c>
      <c r="D90" s="10" t="n">
        <f aca="false">WACC!D13/(Datos!G65/WACC!D17)</f>
        <v>13.4811709005336</v>
      </c>
      <c r="E90" s="10" t="n">
        <f aca="false">WACC!E13/(Datos!G91/WACC!E17)</f>
        <v>12.7350338210316</v>
      </c>
    </row>
    <row r="91" customFormat="false" ht="15" hidden="false" customHeight="false" outlineLevel="0" collapsed="false">
      <c r="A91" s="3" t="s">
        <v>135</v>
      </c>
      <c r="B91" s="11" t="n">
        <f aca="false">B63</f>
        <v>0.016594982078853</v>
      </c>
      <c r="C91" s="11" t="n">
        <v>0.0253</v>
      </c>
      <c r="D91" s="11" t="n">
        <v>0.0249</v>
      </c>
      <c r="E91" s="11" t="n">
        <v>0.0088</v>
      </c>
    </row>
    <row r="92" customFormat="false" ht="15" hidden="false" customHeight="false" outlineLevel="0" collapsed="false">
      <c r="A92" s="3" t="s">
        <v>125</v>
      </c>
      <c r="B92" s="11" t="n">
        <f aca="false">B80</f>
        <v>0.2127</v>
      </c>
      <c r="C92" s="11" t="n">
        <v>-0.1686</v>
      </c>
      <c r="D92" s="11" t="n">
        <v>-0.4125</v>
      </c>
      <c r="E92" s="11" t="n">
        <v>-0.2051</v>
      </c>
    </row>
    <row r="93" customFormat="false" ht="15" hidden="false" customHeight="false" outlineLevel="0" collapsed="false">
      <c r="A93" s="3" t="s">
        <v>136</v>
      </c>
      <c r="B93" s="24" t="n">
        <v>-0.24</v>
      </c>
      <c r="C93" s="24" t="n">
        <v>0.03</v>
      </c>
      <c r="D93" s="24" t="n">
        <v>-0.06</v>
      </c>
      <c r="E93" s="24" t="n">
        <v>0.17</v>
      </c>
    </row>
    <row r="94" customFormat="false" ht="15" hidden="false" customHeight="false" outlineLevel="0" collapsed="false">
      <c r="A94" s="3" t="s">
        <v>137</v>
      </c>
      <c r="B94" s="3" t="s">
        <v>127</v>
      </c>
      <c r="C94" s="3" t="s">
        <v>127</v>
      </c>
      <c r="D94" s="3" t="s">
        <v>127</v>
      </c>
      <c r="E94" s="3" t="s">
        <v>127</v>
      </c>
    </row>
    <row r="95" customFormat="false" ht="15" hidden="false" customHeight="false" outlineLevel="0" collapsed="false">
      <c r="A95" s="3" t="s">
        <v>128</v>
      </c>
      <c r="B95" s="12" t="n">
        <f aca="false">B82</f>
        <v>75</v>
      </c>
      <c r="C95" s="12" t="n">
        <v>41.07</v>
      </c>
      <c r="D95" s="12" t="n">
        <v>60.23</v>
      </c>
      <c r="E95" s="12" t="n">
        <v>40.03</v>
      </c>
    </row>
    <row r="96" customFormat="false" ht="15" hidden="false" customHeight="false" outlineLevel="0" collapsed="false">
      <c r="A96" s="3" t="s">
        <v>74</v>
      </c>
      <c r="B96" s="3" t="s">
        <v>75</v>
      </c>
      <c r="C96" s="3" t="s">
        <v>138</v>
      </c>
      <c r="D96" s="3" t="s">
        <v>138</v>
      </c>
      <c r="E96" s="3" t="s">
        <v>139</v>
      </c>
    </row>
    <row r="97" customFormat="false" ht="15" hidden="false" customHeight="false" outlineLevel="0" collapsed="false">
      <c r="A97" s="3" t="s">
        <v>140</v>
      </c>
      <c r="B97" s="6" t="n">
        <f aca="false">Comparativo!B18</f>
        <v>23.357</v>
      </c>
      <c r="C97" s="6" t="n">
        <f aca="false">Comparativo!C18</f>
        <v>60.094</v>
      </c>
      <c r="D97" s="6" t="n">
        <f aca="false">Comparativo!D18</f>
        <v>128.933</v>
      </c>
      <c r="E97" s="6" t="n">
        <f aca="false">Comparativo!E18</f>
        <v>47.67</v>
      </c>
    </row>
    <row r="98" customFormat="false" ht="15" hidden="false" customHeight="false" outlineLevel="0" collapsed="false">
      <c r="A98" s="3" t="s">
        <v>141</v>
      </c>
      <c r="B98" s="3" t="s">
        <v>142</v>
      </c>
      <c r="C98" s="3" t="s">
        <v>143</v>
      </c>
      <c r="D98" s="3" t="s">
        <v>144</v>
      </c>
      <c r="E98" s="3" t="s">
        <v>143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1"/>
  <sheetViews>
    <sheetView showFormulas="false" showGridLines="true" showRowColHeaders="true" showZeros="true" rightToLeft="false" tabSelected="false" showOutlineSymbols="true" defaultGridColor="true" view="normal" topLeftCell="A19" colorId="64" zoomScale="87" zoomScaleNormal="87" zoomScalePageLayoutView="100" workbookViewId="0">
      <selection pane="topLeft" activeCell="I6" activeCellId="0" sqref="I6"/>
    </sheetView>
  </sheetViews>
  <sheetFormatPr defaultColWidth="11.5078125" defaultRowHeight="15" zeroHeight="false" outlineLevelRow="0" outlineLevelCol="0"/>
  <cols>
    <col collapsed="false" customWidth="true" hidden="false" outlineLevel="0" max="1" min="1" style="0" width="48.16"/>
    <col collapsed="false" customWidth="true" hidden="false" outlineLevel="0" max="9" min="2" style="0" width="14.51"/>
    <col collapsed="false" customWidth="true" hidden="false" outlineLevel="0" max="10" min="10" style="0" width="48.16"/>
  </cols>
  <sheetData>
    <row r="1" customFormat="false" ht="18.75" hidden="false" customHeight="true" outlineLevel="0" collapsed="false">
      <c r="A1" s="13"/>
    </row>
    <row r="2" customFormat="false" ht="15" hidden="false" customHeight="false" outlineLevel="0" collapsed="false">
      <c r="A2" s="14"/>
    </row>
    <row r="5" customFormat="false" ht="15" hidden="false" customHeight="false" outlineLevel="0" collapsed="false">
      <c r="A5" s="1" t="s">
        <v>145</v>
      </c>
      <c r="B5" s="1" t="s">
        <v>146</v>
      </c>
      <c r="C5" s="1" t="s">
        <v>147</v>
      </c>
      <c r="D5" s="1" t="s">
        <v>148</v>
      </c>
      <c r="E5" s="1" t="s">
        <v>149</v>
      </c>
      <c r="F5" s="1" t="s">
        <v>85</v>
      </c>
      <c r="G5" s="1" t="s">
        <v>150</v>
      </c>
      <c r="H5" s="2"/>
      <c r="I5" s="2"/>
      <c r="J5" s="2"/>
    </row>
    <row r="6" customFormat="false" ht="15" hidden="false" customHeight="false" outlineLevel="0" collapsed="false">
      <c r="A6" s="3" t="s">
        <v>79</v>
      </c>
      <c r="B6" s="5" t="n">
        <v>45810</v>
      </c>
      <c r="C6" s="5" t="n">
        <v>42683</v>
      </c>
      <c r="D6" s="5" t="n">
        <v>47592</v>
      </c>
      <c r="E6" s="5" t="n">
        <v>40444</v>
      </c>
      <c r="F6" s="5" t="n">
        <v>43559</v>
      </c>
      <c r="G6" s="5" t="n">
        <v>177515</v>
      </c>
    </row>
    <row r="7" customFormat="false" ht="15" hidden="false" customHeight="false" outlineLevel="0" collapsed="false">
      <c r="A7" s="3" t="s">
        <v>86</v>
      </c>
      <c r="B7" s="5" t="n">
        <v>34856</v>
      </c>
      <c r="C7" s="5" t="n">
        <v>31998</v>
      </c>
      <c r="D7" s="5" t="n">
        <v>35795</v>
      </c>
      <c r="E7" s="5" t="n">
        <v>30466</v>
      </c>
      <c r="F7" s="5" t="n">
        <v>32919</v>
      </c>
      <c r="G7" s="5" t="n">
        <v>134752</v>
      </c>
      <c r="H7" s="9"/>
      <c r="I7" s="9"/>
    </row>
    <row r="8" customFormat="false" ht="15" hidden="false" customHeight="false" outlineLevel="0" collapsed="false">
      <c r="A8" s="3" t="s">
        <v>80</v>
      </c>
      <c r="B8" s="5" t="n">
        <v>10954</v>
      </c>
      <c r="C8" s="5" t="n">
        <v>10685</v>
      </c>
      <c r="D8" s="5" t="n">
        <v>11797</v>
      </c>
      <c r="E8" s="5" t="n">
        <v>9978</v>
      </c>
      <c r="F8" s="5" t="n">
        <v>10640</v>
      </c>
      <c r="G8" s="5" t="n">
        <v>42764</v>
      </c>
      <c r="H8" s="9"/>
      <c r="I8" s="9"/>
    </row>
    <row r="9" customFormat="false" ht="15" hidden="false" customHeight="false" outlineLevel="0" collapsed="false">
      <c r="A9" s="3" t="s">
        <v>81</v>
      </c>
      <c r="B9" s="5" t="n">
        <v>1909</v>
      </c>
      <c r="C9" s="5" t="n">
        <v>1468</v>
      </c>
      <c r="D9" s="5" t="n">
        <v>2486</v>
      </c>
      <c r="E9" s="5" t="n">
        <v>1822</v>
      </c>
      <c r="F9" s="5" t="n">
        <v>1855</v>
      </c>
      <c r="G9" s="5" t="n">
        <v>7552</v>
      </c>
      <c r="H9" s="9"/>
      <c r="I9" s="9"/>
    </row>
    <row r="10" customFormat="false" ht="15" hidden="false" customHeight="false" outlineLevel="0" collapsed="false">
      <c r="A10" s="3" t="s">
        <v>151</v>
      </c>
      <c r="B10" s="5" t="n">
        <v>829</v>
      </c>
      <c r="C10" s="5" t="n">
        <v>786</v>
      </c>
      <c r="D10" s="5" t="n">
        <v>616</v>
      </c>
      <c r="E10" s="5" t="n">
        <v>588</v>
      </c>
      <c r="F10" s="5" t="n">
        <v>582</v>
      </c>
      <c r="G10" s="5" t="n">
        <v>3074</v>
      </c>
      <c r="H10" s="9"/>
      <c r="I10" s="9"/>
    </row>
    <row r="11" customFormat="false" ht="15" hidden="false" customHeight="false" outlineLevel="0" collapsed="false">
      <c r="A11" s="3" t="s">
        <v>152</v>
      </c>
      <c r="B11" s="5" t="n">
        <v>1203</v>
      </c>
      <c r="C11" s="5" t="n">
        <v>764</v>
      </c>
      <c r="D11" s="5" t="n">
        <v>1763</v>
      </c>
      <c r="E11" s="5" t="n">
        <v>1326</v>
      </c>
      <c r="F11" s="5" t="n">
        <v>1372</v>
      </c>
      <c r="G11" s="5" t="n">
        <v>4766</v>
      </c>
      <c r="H11" s="9"/>
      <c r="I11" s="9"/>
    </row>
    <row r="12" customFormat="false" ht="15" hidden="false" customHeight="false" outlineLevel="0" collapsed="false">
      <c r="A12" s="3" t="s">
        <v>153</v>
      </c>
      <c r="B12" s="5" t="n">
        <v>461</v>
      </c>
      <c r="C12" s="5" t="n">
        <v>179</v>
      </c>
      <c r="D12" s="5" t="n">
        <v>455</v>
      </c>
      <c r="E12" s="5" t="n">
        <v>492</v>
      </c>
      <c r="F12" s="5" t="n">
        <v>282</v>
      </c>
      <c r="G12" s="5" t="n">
        <v>1433</v>
      </c>
      <c r="H12" s="9"/>
      <c r="I12" s="9"/>
    </row>
    <row r="13" customFormat="false" ht="15" hidden="false" customHeight="false" outlineLevel="0" collapsed="false">
      <c r="A13" s="3" t="s">
        <v>82</v>
      </c>
      <c r="B13" s="5" t="n">
        <v>743</v>
      </c>
      <c r="C13" s="5" t="n">
        <v>584</v>
      </c>
      <c r="D13" s="5" t="n">
        <v>1308</v>
      </c>
      <c r="E13" s="5" t="n">
        <v>834</v>
      </c>
      <c r="F13" s="5" t="n">
        <v>1090</v>
      </c>
      <c r="G13" s="5" t="n">
        <v>3334</v>
      </c>
      <c r="H13" s="9"/>
      <c r="I13" s="9"/>
    </row>
    <row r="14" customFormat="false" ht="15" hidden="false" customHeight="false" outlineLevel="0" collapsed="false">
      <c r="A14" s="3" t="s">
        <v>154</v>
      </c>
      <c r="B14" s="5" t="n">
        <v>1105.905</v>
      </c>
      <c r="C14" s="5" t="n">
        <v>1049.349</v>
      </c>
      <c r="D14" s="5" t="n">
        <v>1051</v>
      </c>
      <c r="E14" s="5" t="n">
        <v>1048.889</v>
      </c>
      <c r="F14" s="5" t="n">
        <v>1030.633</v>
      </c>
      <c r="G14" s="5" t="n">
        <v>4342</v>
      </c>
      <c r="H14" s="9"/>
      <c r="I14" s="9"/>
    </row>
    <row r="15" customFormat="false" ht="15" hidden="false" customHeight="false" outlineLevel="0" collapsed="false">
      <c r="A15" s="3" t="s">
        <v>98</v>
      </c>
      <c r="B15" s="5" t="n">
        <v>4013.113</v>
      </c>
      <c r="C15" s="5" t="n">
        <v>-205.9</v>
      </c>
      <c r="D15" s="5" t="n">
        <v>13017</v>
      </c>
      <c r="E15" s="5" t="n">
        <v>-3565.6</v>
      </c>
      <c r="F15" s="5" t="n">
        <v>3916.003</v>
      </c>
      <c r="G15" s="5" t="n">
        <v>13738</v>
      </c>
      <c r="H15" s="9"/>
      <c r="I15" s="9"/>
    </row>
    <row r="16" customFormat="false" ht="15" hidden="false" customHeight="false" outlineLevel="0" collapsed="false">
      <c r="A16" s="3" t="s">
        <v>155</v>
      </c>
      <c r="B16" s="5" t="n">
        <f aca="false">SUM(B110:B112)</f>
        <v>663.2</v>
      </c>
      <c r="C16" s="5" t="n">
        <f aca="false">SUM(C110:C112)</f>
        <v>775.2</v>
      </c>
      <c r="D16" s="5" t="n">
        <f aca="false">SUM(D110:D112)</f>
        <v>816</v>
      </c>
      <c r="E16" s="5" t="n">
        <f aca="false">SUM(E110:E112)</f>
        <v>501</v>
      </c>
      <c r="F16" s="5" t="n">
        <f aca="false">SUM(F110:F112)</f>
        <v>909.9</v>
      </c>
      <c r="G16" s="5" t="n">
        <v>2867</v>
      </c>
      <c r="H16" s="9"/>
      <c r="I16" s="9"/>
    </row>
    <row r="17" customFormat="false" ht="15" hidden="false" customHeight="false" outlineLevel="0" collapsed="false">
      <c r="A17" s="3" t="s">
        <v>13</v>
      </c>
      <c r="B17" s="5" t="n">
        <v>7540</v>
      </c>
      <c r="C17" s="5" t="n">
        <v>5798</v>
      </c>
      <c r="D17" s="5" t="n">
        <v>9295</v>
      </c>
      <c r="E17" s="5" t="n">
        <v>4589</v>
      </c>
      <c r="F17" s="5" t="n">
        <v>6875.384</v>
      </c>
      <c r="G17" s="5" t="n">
        <f aca="false">D17</f>
        <v>9295</v>
      </c>
      <c r="H17" s="9"/>
      <c r="I17" s="9"/>
    </row>
    <row r="18" customFormat="false" ht="15" hidden="false" customHeight="false" outlineLevel="0" collapsed="false">
      <c r="A18" s="3" t="s">
        <v>156</v>
      </c>
      <c r="B18" s="5" t="n">
        <v>37421</v>
      </c>
      <c r="C18" s="5" t="n">
        <v>36394</v>
      </c>
      <c r="D18" s="5" t="n">
        <v>32283</v>
      </c>
      <c r="E18" s="5" t="n">
        <v>32635</v>
      </c>
      <c r="F18" s="5" t="n">
        <v>35486.661</v>
      </c>
      <c r="G18" s="5" t="n">
        <f aca="false">D18</f>
        <v>32283</v>
      </c>
      <c r="H18" s="9"/>
      <c r="I18" s="9"/>
    </row>
    <row r="19" customFormat="false" ht="15" hidden="false" customHeight="false" outlineLevel="0" collapsed="false">
      <c r="A19" s="3" t="s">
        <v>157</v>
      </c>
      <c r="B19" s="5" t="n">
        <v>52131</v>
      </c>
      <c r="C19" s="5" t="n">
        <v>49767</v>
      </c>
      <c r="D19" s="5" t="n">
        <v>48529</v>
      </c>
      <c r="E19" s="5" t="n">
        <v>43562</v>
      </c>
      <c r="F19" s="5" t="n">
        <v>49259.847</v>
      </c>
      <c r="G19" s="5" t="n">
        <f aca="false">D19</f>
        <v>48529</v>
      </c>
      <c r="H19" s="9"/>
      <c r="I19" s="9"/>
    </row>
    <row r="20" customFormat="false" ht="15" hidden="false" customHeight="false" outlineLevel="0" collapsed="false">
      <c r="A20" s="3" t="s">
        <v>92</v>
      </c>
      <c r="B20" s="5" t="n">
        <v>159842</v>
      </c>
      <c r="C20" s="5" t="n">
        <v>157502</v>
      </c>
      <c r="D20" s="5" t="n">
        <v>156038</v>
      </c>
      <c r="E20" s="5" t="n">
        <v>150941</v>
      </c>
      <c r="F20" s="5" t="n">
        <f aca="false">F23+F24</f>
        <v>156813</v>
      </c>
      <c r="G20" s="5" t="n">
        <f aca="false">D20</f>
        <v>156038</v>
      </c>
      <c r="H20" s="9"/>
      <c r="I20" s="9"/>
    </row>
    <row r="21" customFormat="false" ht="15" hidden="false" customHeight="false" outlineLevel="0" collapsed="false">
      <c r="A21" s="3" t="s">
        <v>158</v>
      </c>
      <c r="B21" s="5" t="n">
        <v>41065</v>
      </c>
      <c r="C21" s="5" t="n">
        <v>38190</v>
      </c>
      <c r="D21" s="5" t="n">
        <v>39219</v>
      </c>
      <c r="E21" s="5" t="n">
        <v>33850</v>
      </c>
      <c r="F21" s="5" t="n">
        <v>41957.933</v>
      </c>
      <c r="G21" s="5" t="n">
        <f aca="false">D21</f>
        <v>39219</v>
      </c>
      <c r="H21" s="9"/>
      <c r="I21" s="9"/>
    </row>
    <row r="22" customFormat="false" ht="15" hidden="false" customHeight="false" outlineLevel="0" collapsed="false">
      <c r="A22" s="3" t="s">
        <v>159</v>
      </c>
      <c r="B22" s="5" t="n">
        <v>34801</v>
      </c>
      <c r="C22" s="5" t="n">
        <v>34753</v>
      </c>
      <c r="D22" s="5" t="n">
        <v>32086</v>
      </c>
      <c r="E22" s="5" t="n">
        <v>31527</v>
      </c>
      <c r="F22" s="5" t="n">
        <f aca="false">F23-F21</f>
        <v>28201.067</v>
      </c>
      <c r="G22" s="5" t="n">
        <f aca="false">D22</f>
        <v>32086</v>
      </c>
      <c r="H22" s="9"/>
      <c r="I22" s="9"/>
    </row>
    <row r="23" customFormat="false" ht="15" hidden="false" customHeight="false" outlineLevel="0" collapsed="false">
      <c r="A23" s="3" t="s">
        <v>93</v>
      </c>
      <c r="B23" s="5" t="n">
        <v>75866</v>
      </c>
      <c r="C23" s="5" t="n">
        <v>72943</v>
      </c>
      <c r="D23" s="5" t="n">
        <v>71306</v>
      </c>
      <c r="E23" s="5" t="n">
        <v>65377</v>
      </c>
      <c r="F23" s="5" t="n">
        <v>70159</v>
      </c>
      <c r="G23" s="5" t="n">
        <f aca="false">D23</f>
        <v>71306</v>
      </c>
      <c r="H23" s="9"/>
      <c r="I23" s="9"/>
    </row>
    <row r="24" customFormat="false" ht="15" hidden="false" customHeight="false" outlineLevel="0" collapsed="false">
      <c r="A24" s="3" t="s">
        <v>94</v>
      </c>
      <c r="B24" s="5" t="n">
        <v>83976</v>
      </c>
      <c r="C24" s="5" t="n">
        <v>84559</v>
      </c>
      <c r="D24" s="5" t="n">
        <v>84732</v>
      </c>
      <c r="E24" s="5" t="n">
        <v>85564</v>
      </c>
      <c r="F24" s="5" t="n">
        <v>86654</v>
      </c>
      <c r="G24" s="5" t="n">
        <f aca="false">D24</f>
        <v>84732</v>
      </c>
      <c r="H24" s="9"/>
      <c r="I24" s="9"/>
    </row>
    <row r="25" customFormat="false" ht="15" hidden="false" customHeight="false" outlineLevel="0" collapsed="false">
      <c r="A25" s="3" t="s">
        <v>160</v>
      </c>
      <c r="B25" s="5" t="n">
        <v>6627</v>
      </c>
      <c r="C25" s="5" t="n">
        <v>6553</v>
      </c>
      <c r="D25" s="5" t="n">
        <v>3000</v>
      </c>
      <c r="E25" s="5" t="n">
        <v>3000</v>
      </c>
      <c r="F25" s="5" t="n">
        <v>6500</v>
      </c>
      <c r="G25" s="5" t="n">
        <f aca="false">D25</f>
        <v>3000</v>
      </c>
      <c r="H25" s="9"/>
      <c r="I25" s="9"/>
    </row>
    <row r="26" customFormat="false" ht="15" hidden="false" customHeight="false" outlineLevel="0" collapsed="false">
      <c r="A26" s="3" t="s">
        <v>161</v>
      </c>
      <c r="B26" s="5" t="n">
        <v>11500</v>
      </c>
      <c r="C26" s="5" t="n">
        <v>11500</v>
      </c>
      <c r="D26" s="5" t="n">
        <v>8500</v>
      </c>
      <c r="E26" s="5" t="n">
        <v>8500</v>
      </c>
      <c r="F26" s="5" t="n">
        <v>5000</v>
      </c>
      <c r="G26" s="5" t="n">
        <f aca="false">D26</f>
        <v>8500</v>
      </c>
      <c r="H26" s="9"/>
      <c r="I26" s="9"/>
    </row>
    <row r="27" customFormat="false" ht="15" hidden="false" customHeight="false" outlineLevel="0" collapsed="false">
      <c r="A27" s="3" t="s">
        <v>162</v>
      </c>
      <c r="B27" s="5" t="n">
        <v>638</v>
      </c>
      <c r="C27" s="5" t="n">
        <v>659</v>
      </c>
      <c r="D27" s="5" t="n">
        <v>676</v>
      </c>
      <c r="E27" s="5" t="n">
        <v>683</v>
      </c>
      <c r="F27" s="5" t="n">
        <v>639.968</v>
      </c>
      <c r="G27" s="5" t="n">
        <f aca="false">D27</f>
        <v>676</v>
      </c>
      <c r="H27" s="9"/>
      <c r="I27" s="9"/>
    </row>
    <row r="28" customFormat="false" ht="15" hidden="false" customHeight="false" outlineLevel="0" collapsed="false">
      <c r="A28" s="3" t="s">
        <v>163</v>
      </c>
      <c r="B28" s="5" t="n">
        <v>11389</v>
      </c>
      <c r="C28" s="5" t="n">
        <v>11506</v>
      </c>
      <c r="D28" s="5" t="n">
        <v>11442</v>
      </c>
      <c r="E28" s="5" t="n">
        <v>11540</v>
      </c>
      <c r="F28" s="5" t="n">
        <v>11580.62</v>
      </c>
      <c r="G28" s="5" t="n">
        <f aca="false">D28</f>
        <v>11442</v>
      </c>
      <c r="H28" s="9"/>
      <c r="I28" s="9"/>
    </row>
    <row r="29" customFormat="false" ht="15" hidden="false" customHeight="false" outlineLevel="0" collapsed="false">
      <c r="A29" s="3" t="s">
        <v>164</v>
      </c>
      <c r="B29" s="5" t="n">
        <f aca="false">IF(COUNT(B25:B28)=4,SUM(B25:B28),"n.d.")</f>
        <v>30154</v>
      </c>
      <c r="C29" s="5" t="n">
        <f aca="false">IF(COUNT(C25:C28)=4,SUM(C25:C28),"n.d.")</f>
        <v>30218</v>
      </c>
      <c r="D29" s="5" t="n">
        <f aca="false">IF(COUNT(D25:D28)=4,SUM(D25:D28),"n.d.")</f>
        <v>23618</v>
      </c>
      <c r="E29" s="5" t="n">
        <f aca="false">IF(COUNT(E25:E28)=4,SUM(E25:E28),"n.d.")</f>
        <v>23723</v>
      </c>
      <c r="F29" s="5" t="n">
        <f aca="false">IF(COUNT(F25:F28)=4,SUM(F25:F28),"n.d.")</f>
        <v>23720.588</v>
      </c>
      <c r="G29" s="5" t="n">
        <f aca="false">IF(COUNT(G25:G28)=4,SUM(G25:G28),"n.d.")</f>
        <v>23618</v>
      </c>
      <c r="H29" s="9"/>
      <c r="I29" s="9"/>
    </row>
    <row r="30" customFormat="false" ht="15" hidden="false" customHeight="false" outlineLevel="0" collapsed="false">
      <c r="B30" s="9"/>
      <c r="C30" s="9"/>
      <c r="D30" s="9"/>
      <c r="E30" s="9"/>
      <c r="F30" s="9"/>
      <c r="G30" s="9"/>
      <c r="H30" s="9"/>
      <c r="I30" s="9"/>
    </row>
    <row r="31" customFormat="false" ht="15" hidden="false" customHeight="false" outlineLevel="0" collapsed="false">
      <c r="A31" s="3" t="s">
        <v>165</v>
      </c>
      <c r="B31" s="3" t="s">
        <v>146</v>
      </c>
      <c r="C31" s="3" t="s">
        <v>147</v>
      </c>
      <c r="D31" s="3" t="s">
        <v>148</v>
      </c>
      <c r="E31" s="3" t="s">
        <v>149</v>
      </c>
      <c r="F31" s="3" t="s">
        <v>85</v>
      </c>
      <c r="G31" s="3" t="s">
        <v>150</v>
      </c>
    </row>
    <row r="32" customFormat="false" ht="15" hidden="false" customHeight="false" outlineLevel="0" collapsed="false">
      <c r="A32" s="1" t="s">
        <v>79</v>
      </c>
      <c r="B32" s="25" t="n">
        <v>246253.8</v>
      </c>
      <c r="C32" s="25" t="n">
        <v>241520.2</v>
      </c>
      <c r="D32" s="25" t="n">
        <v>282849.3</v>
      </c>
      <c r="E32" s="25" t="n">
        <v>245018.5</v>
      </c>
      <c r="F32" s="25" t="n">
        <v>250947.8</v>
      </c>
      <c r="G32" s="25" t="n">
        <v>1011597.9</v>
      </c>
      <c r="H32" s="2"/>
      <c r="I32" s="2"/>
      <c r="J32" s="2"/>
    </row>
    <row r="33" customFormat="false" ht="15" hidden="false" customHeight="false" outlineLevel="0" collapsed="false">
      <c r="A33" s="3" t="s">
        <v>86</v>
      </c>
      <c r="B33" s="5" t="n">
        <v>186848.1</v>
      </c>
      <c r="C33" s="5" t="n">
        <v>181746.3</v>
      </c>
      <c r="D33" s="5" t="n">
        <v>214905.4</v>
      </c>
      <c r="E33" s="5" t="n">
        <v>185425.3</v>
      </c>
      <c r="F33" s="5" t="n">
        <v>190822.8</v>
      </c>
      <c r="G33" s="5" t="n">
        <v>766400</v>
      </c>
      <c r="H33" s="9"/>
      <c r="I33" s="9"/>
    </row>
    <row r="34" customFormat="false" ht="15" hidden="false" customHeight="false" outlineLevel="0" collapsed="false">
      <c r="A34" s="3" t="s">
        <v>80</v>
      </c>
      <c r="B34" s="5" t="n">
        <v>59405.7</v>
      </c>
      <c r="C34" s="5" t="n">
        <v>59773.8</v>
      </c>
      <c r="D34" s="5" t="n">
        <v>67943.9</v>
      </c>
      <c r="E34" s="5" t="n">
        <v>59593.2</v>
      </c>
      <c r="F34" s="5" t="n">
        <v>60125</v>
      </c>
      <c r="G34" s="5" t="n">
        <v>245197.9</v>
      </c>
      <c r="H34" s="9"/>
      <c r="I34" s="9"/>
    </row>
    <row r="35" customFormat="false" ht="15" hidden="false" customHeight="false" outlineLevel="0" collapsed="false">
      <c r="A35" s="3" t="s">
        <v>81</v>
      </c>
      <c r="B35" s="5" t="n">
        <v>17267.1</v>
      </c>
      <c r="C35" s="5" t="n">
        <v>19020.8</v>
      </c>
      <c r="D35" s="5" t="n">
        <v>23317</v>
      </c>
      <c r="E35" s="5" t="n">
        <v>18471.6</v>
      </c>
      <c r="F35" s="5" t="n">
        <v>17019.7</v>
      </c>
      <c r="G35" s="5" t="n">
        <v>78493.8</v>
      </c>
      <c r="H35" s="9"/>
      <c r="I35" s="9"/>
    </row>
    <row r="36" customFormat="false" ht="15" hidden="false" customHeight="false" outlineLevel="0" collapsed="false">
      <c r="A36" s="3" t="s">
        <v>151</v>
      </c>
      <c r="B36" s="5" t="n">
        <v>2646.3</v>
      </c>
      <c r="C36" s="5" t="n">
        <v>3223.3</v>
      </c>
      <c r="D36" s="5" t="n">
        <v>2795.1</v>
      </c>
      <c r="E36" s="5" t="n">
        <v>2895.6</v>
      </c>
      <c r="F36" s="5" t="n">
        <v>2799.6</v>
      </c>
      <c r="G36" s="5" t="n">
        <v>11464.7</v>
      </c>
      <c r="H36" s="9"/>
      <c r="I36" s="9"/>
    </row>
    <row r="37" customFormat="false" ht="15" hidden="false" customHeight="false" outlineLevel="0" collapsed="false">
      <c r="A37" s="3" t="s">
        <v>152</v>
      </c>
      <c r="B37" s="5" t="n">
        <v>15076.8</v>
      </c>
      <c r="C37" s="5" t="n">
        <v>16328</v>
      </c>
      <c r="D37" s="5" t="n">
        <v>21053.3</v>
      </c>
      <c r="E37" s="5" t="n">
        <v>16176.4</v>
      </c>
      <c r="F37" s="5" t="n">
        <v>14754.6</v>
      </c>
      <c r="G37" s="5" t="n">
        <v>68876.6</v>
      </c>
      <c r="H37" s="9"/>
      <c r="I37" s="9"/>
    </row>
    <row r="38" customFormat="false" ht="15" hidden="false" customHeight="false" outlineLevel="0" collapsed="false">
      <c r="A38" s="3" t="s">
        <v>153</v>
      </c>
      <c r="B38" s="5" t="n">
        <v>3849.9</v>
      </c>
      <c r="C38" s="5" t="n">
        <v>4580.7</v>
      </c>
      <c r="D38" s="5" t="n">
        <v>6453.5</v>
      </c>
      <c r="E38" s="5" t="n">
        <v>3676.9</v>
      </c>
      <c r="F38" s="5" t="n">
        <v>3602.2</v>
      </c>
      <c r="G38" s="5" t="n">
        <v>18985.9</v>
      </c>
      <c r="H38" s="9"/>
      <c r="I38" s="9"/>
    </row>
    <row r="39" customFormat="false" ht="15" hidden="false" customHeight="false" outlineLevel="0" collapsed="false">
      <c r="A39" s="3" t="s">
        <v>82</v>
      </c>
      <c r="B39" s="5" t="n">
        <v>11226.9</v>
      </c>
      <c r="C39" s="5" t="n">
        <v>11747.3</v>
      </c>
      <c r="D39" s="5" t="n">
        <v>14599.8</v>
      </c>
      <c r="E39" s="5" t="n">
        <v>12499.6</v>
      </c>
      <c r="F39" s="5" t="n">
        <v>11152.4</v>
      </c>
      <c r="G39" s="5" t="n">
        <v>49890.7</v>
      </c>
      <c r="H39" s="9"/>
      <c r="I39" s="9"/>
    </row>
    <row r="40" customFormat="false" ht="15" hidden="false" customHeight="false" outlineLevel="0" collapsed="false">
      <c r="A40" s="3" t="s">
        <v>154</v>
      </c>
      <c r="B40" s="5" t="n">
        <v>6227.732</v>
      </c>
      <c r="C40" s="5" t="n">
        <v>6245.37</v>
      </c>
      <c r="D40" s="5" t="n">
        <v>6277.929</v>
      </c>
      <c r="E40" s="5" t="n">
        <v>6506.919</v>
      </c>
      <c r="F40" s="5" t="n">
        <v>6620.741</v>
      </c>
      <c r="G40" s="5" t="n">
        <v>24953.1</v>
      </c>
      <c r="H40" s="9"/>
      <c r="I40" s="9"/>
    </row>
    <row r="41" customFormat="false" ht="15" hidden="false" customHeight="false" outlineLevel="0" collapsed="false">
      <c r="A41" s="3" t="s">
        <v>98</v>
      </c>
      <c r="B41" s="5" t="n">
        <v>21549.377</v>
      </c>
      <c r="C41" s="5" t="n">
        <v>22017.152</v>
      </c>
      <c r="D41" s="5" t="n">
        <v>43314.63</v>
      </c>
      <c r="E41" s="5" t="n">
        <v>4955.647</v>
      </c>
      <c r="F41" s="5" t="n">
        <v>18326.104</v>
      </c>
      <c r="G41" s="5" t="n">
        <v>82437.7</v>
      </c>
      <c r="H41" s="9"/>
      <c r="I41" s="9"/>
    </row>
    <row r="42" customFormat="false" ht="15" hidden="false" customHeight="false" outlineLevel="0" collapsed="false">
      <c r="A42" s="3" t="s">
        <v>155</v>
      </c>
      <c r="B42" s="5" t="n">
        <f aca="false">SUM(B113:B115)</f>
        <v>7989.7</v>
      </c>
      <c r="C42" s="5" t="n">
        <f aca="false">SUM(C113:C115)</f>
        <v>11746.3</v>
      </c>
      <c r="D42" s="5" t="n">
        <f aca="false">SUM(D113:D115)</f>
        <v>15831.8</v>
      </c>
      <c r="E42" s="5" t="n">
        <f aca="false">SUM(E113:E115)</f>
        <v>2436.5</v>
      </c>
      <c r="F42" s="5" t="n">
        <f aca="false">SUM(F113:F115)</f>
        <v>9264.9</v>
      </c>
      <c r="G42" s="5" t="n">
        <v>38982</v>
      </c>
      <c r="H42" s="9"/>
      <c r="I42" s="9"/>
    </row>
    <row r="43" customFormat="false" ht="15" hidden="false" customHeight="false" outlineLevel="0" collapsed="false">
      <c r="A43" s="3" t="s">
        <v>13</v>
      </c>
      <c r="B43" s="5" t="n">
        <v>32443.8</v>
      </c>
      <c r="C43" s="5" t="n">
        <v>35181.7</v>
      </c>
      <c r="D43" s="5" t="n">
        <v>28591.2</v>
      </c>
      <c r="E43" s="5" t="n">
        <v>28085.1</v>
      </c>
      <c r="F43" s="5" t="n">
        <v>30118.3</v>
      </c>
      <c r="G43" s="5" t="n">
        <f aca="false">D43</f>
        <v>28591.2</v>
      </c>
      <c r="H43" s="9"/>
      <c r="I43" s="9"/>
    </row>
    <row r="44" customFormat="false" ht="15" hidden="false" customHeight="false" outlineLevel="0" collapsed="false">
      <c r="A44" s="3" t="s">
        <v>156</v>
      </c>
      <c r="B44" s="5" t="n">
        <v>106742.4</v>
      </c>
      <c r="C44" s="5" t="n">
        <v>113238.4</v>
      </c>
      <c r="D44" s="5" t="n">
        <v>107450.9</v>
      </c>
      <c r="E44" s="5" t="n">
        <v>106202</v>
      </c>
      <c r="F44" s="5" t="n">
        <v>107528.9</v>
      </c>
      <c r="G44" s="5" t="n">
        <f aca="false">D44</f>
        <v>107450.9</v>
      </c>
      <c r="H44" s="9"/>
      <c r="I44" s="9"/>
    </row>
    <row r="45" customFormat="false" ht="15" hidden="false" customHeight="false" outlineLevel="0" collapsed="false">
      <c r="A45" s="3" t="s">
        <v>157</v>
      </c>
      <c r="B45" s="5" t="n">
        <v>166663.9</v>
      </c>
      <c r="C45" s="5" t="n">
        <v>176974.1</v>
      </c>
      <c r="D45" s="5" t="n">
        <v>164109.4</v>
      </c>
      <c r="E45" s="5" t="n">
        <v>163317.9</v>
      </c>
      <c r="F45" s="5" t="n">
        <v>168653.5</v>
      </c>
      <c r="G45" s="5" t="n">
        <f aca="false">D45</f>
        <v>164109.4</v>
      </c>
      <c r="H45" s="9"/>
      <c r="I45" s="9"/>
    </row>
    <row r="46" customFormat="false" ht="15" hidden="false" customHeight="false" outlineLevel="0" collapsed="false">
      <c r="A46" s="3" t="s">
        <v>92</v>
      </c>
      <c r="B46" s="5" t="n">
        <v>480957.5</v>
      </c>
      <c r="C46" s="5" t="n">
        <v>497334.5</v>
      </c>
      <c r="D46" s="5" t="n">
        <v>495273.3</v>
      </c>
      <c r="E46" s="5" t="n">
        <v>496840.7</v>
      </c>
      <c r="F46" s="5" t="n">
        <v>505946.6</v>
      </c>
      <c r="G46" s="5" t="n">
        <f aca="false">D46</f>
        <v>495273.3</v>
      </c>
      <c r="H46" s="9"/>
      <c r="I46" s="9"/>
    </row>
    <row r="47" customFormat="false" ht="15" hidden="false" customHeight="false" outlineLevel="0" collapsed="false">
      <c r="A47" s="3" t="s">
        <v>158</v>
      </c>
      <c r="B47" s="5" t="n">
        <v>177161.4</v>
      </c>
      <c r="C47" s="5" t="n">
        <v>186356.5</v>
      </c>
      <c r="D47" s="5" t="n">
        <v>169716.7</v>
      </c>
      <c r="E47" s="5" t="n">
        <v>153660.1</v>
      </c>
      <c r="F47" s="5" t="n">
        <v>174921.4</v>
      </c>
      <c r="G47" s="5" t="n">
        <f aca="false">D47</f>
        <v>169716.7</v>
      </c>
      <c r="H47" s="9"/>
      <c r="I47" s="9"/>
    </row>
    <row r="48" customFormat="false" ht="15" hidden="false" customHeight="false" outlineLevel="0" collapsed="false">
      <c r="A48" s="3" t="s">
        <v>159</v>
      </c>
      <c r="B48" s="5" t="n">
        <v>86252.9</v>
      </c>
      <c r="C48" s="5" t="n">
        <v>87538.9</v>
      </c>
      <c r="D48" s="5" t="n">
        <v>89976.5</v>
      </c>
      <c r="E48" s="5" t="n">
        <v>90611.7</v>
      </c>
      <c r="F48" s="5" t="n">
        <v>92411.4</v>
      </c>
      <c r="G48" s="5" t="n">
        <f aca="false">D48</f>
        <v>89976.5</v>
      </c>
      <c r="H48" s="9"/>
      <c r="I48" s="9"/>
    </row>
    <row r="49" customFormat="false" ht="15" hidden="false" customHeight="false" outlineLevel="0" collapsed="false">
      <c r="A49" s="3" t="s">
        <v>93</v>
      </c>
      <c r="B49" s="5" t="n">
        <v>263414.3</v>
      </c>
      <c r="C49" s="5" t="n">
        <v>273895.4</v>
      </c>
      <c r="D49" s="5" t="n">
        <v>259693.2</v>
      </c>
      <c r="E49" s="5" t="n">
        <v>244271.8</v>
      </c>
      <c r="F49" s="5" t="n">
        <v>267332.8</v>
      </c>
      <c r="G49" s="5" t="n">
        <f aca="false">D49</f>
        <v>259693.2</v>
      </c>
      <c r="H49" s="9"/>
      <c r="I49" s="9"/>
    </row>
    <row r="50" customFormat="false" ht="15" hidden="false" customHeight="false" outlineLevel="0" collapsed="false">
      <c r="A50" s="3" t="s">
        <v>94</v>
      </c>
      <c r="B50" s="5" t="n">
        <v>217543.2</v>
      </c>
      <c r="C50" s="5" t="n">
        <v>223439.1</v>
      </c>
      <c r="D50" s="5" t="n">
        <v>235580.1</v>
      </c>
      <c r="E50" s="5" t="n">
        <v>252568.9</v>
      </c>
      <c r="F50" s="5" t="n">
        <v>238613.8</v>
      </c>
      <c r="G50" s="5" t="n">
        <f aca="false">D50</f>
        <v>235580.1</v>
      </c>
      <c r="H50" s="9"/>
      <c r="I50" s="9"/>
    </row>
    <row r="51" customFormat="false" ht="15" hidden="false" customHeight="false" outlineLevel="0" collapsed="false">
      <c r="A51" s="3" t="s">
        <v>160</v>
      </c>
      <c r="B51" s="5" t="n">
        <v>0</v>
      </c>
      <c r="C51" s="5" t="n">
        <v>0</v>
      </c>
      <c r="D51" s="5" t="n">
        <v>0</v>
      </c>
      <c r="E51" s="5" t="n">
        <v>0</v>
      </c>
      <c r="F51" s="5" t="n">
        <v>0</v>
      </c>
      <c r="G51" s="5" t="n">
        <f aca="false">D51</f>
        <v>0</v>
      </c>
      <c r="H51" s="9"/>
      <c r="I51" s="9"/>
    </row>
    <row r="52" customFormat="false" ht="15" hidden="false" customHeight="false" outlineLevel="0" collapsed="false">
      <c r="A52" s="3" t="s">
        <v>161</v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f aca="false">D52</f>
        <v>0</v>
      </c>
      <c r="H52" s="9"/>
      <c r="I52" s="9"/>
    </row>
    <row r="53" customFormat="false" ht="15" hidden="false" customHeight="false" outlineLevel="0" collapsed="false">
      <c r="A53" s="3" t="s">
        <v>162</v>
      </c>
      <c r="B53" s="5" t="n">
        <v>4917.5</v>
      </c>
      <c r="C53" s="5" t="n">
        <v>4981.5</v>
      </c>
      <c r="D53" s="5" t="n">
        <v>5186.9</v>
      </c>
      <c r="E53" s="5" t="n">
        <v>5317.6</v>
      </c>
      <c r="F53" s="5" t="n">
        <v>5495.2</v>
      </c>
      <c r="G53" s="5" t="n">
        <f aca="false">D53</f>
        <v>5186.9</v>
      </c>
      <c r="H53" s="9"/>
      <c r="I53" s="9"/>
    </row>
    <row r="54" customFormat="false" ht="15" hidden="false" customHeight="false" outlineLevel="0" collapsed="false">
      <c r="A54" s="3" t="s">
        <v>163</v>
      </c>
      <c r="B54" s="5" t="n">
        <v>73863</v>
      </c>
      <c r="C54" s="5" t="n">
        <v>74013.7</v>
      </c>
      <c r="D54" s="5" t="n">
        <v>75661.2</v>
      </c>
      <c r="E54" s="5" t="n">
        <v>75952.9</v>
      </c>
      <c r="F54" s="5" t="n">
        <v>77602.9</v>
      </c>
      <c r="G54" s="5" t="n">
        <f aca="false">D54</f>
        <v>75661.2</v>
      </c>
      <c r="H54" s="9"/>
      <c r="I54" s="9"/>
    </row>
    <row r="55" customFormat="false" ht="15" hidden="false" customHeight="false" outlineLevel="0" collapsed="false">
      <c r="A55" s="3" t="s">
        <v>164</v>
      </c>
      <c r="B55" s="5" t="n">
        <f aca="false">IF(COUNT(B51:B54)=4,SUM(B51:B54),"n.d.")</f>
        <v>78780.5</v>
      </c>
      <c r="C55" s="5" t="n">
        <f aca="false">IF(COUNT(C51:C54)=4,SUM(C51:C54),"n.d.")</f>
        <v>78995.2</v>
      </c>
      <c r="D55" s="5" t="n">
        <f aca="false">IF(COUNT(D51:D54)=4,SUM(D51:D54),"n.d.")</f>
        <v>80848.1</v>
      </c>
      <c r="E55" s="5" t="n">
        <f aca="false">IF(COUNT(E51:E54)=4,SUM(E51:E54),"n.d.")</f>
        <v>81270.5</v>
      </c>
      <c r="F55" s="5" t="n">
        <f aca="false">IF(COUNT(F51:F54)=4,SUM(F51:F54),"n.d.")</f>
        <v>83098.1</v>
      </c>
      <c r="G55" s="5" t="n">
        <f aca="false">IF(COUNT(G51:G54)=4,SUM(G51:G54),"n.d.")</f>
        <v>80848.1</v>
      </c>
      <c r="H55" s="9"/>
      <c r="I55" s="9"/>
    </row>
    <row r="56" customFormat="false" ht="15" hidden="false" customHeight="false" outlineLevel="0" collapsed="false">
      <c r="B56" s="9"/>
      <c r="C56" s="9"/>
      <c r="D56" s="9"/>
      <c r="E56" s="9"/>
      <c r="F56" s="9"/>
      <c r="G56" s="9"/>
      <c r="H56" s="9"/>
      <c r="I56" s="9"/>
    </row>
    <row r="57" customFormat="false" ht="15" hidden="false" customHeight="false" outlineLevel="0" collapsed="false">
      <c r="A57" s="3" t="s">
        <v>166</v>
      </c>
      <c r="B57" s="3" t="s">
        <v>146</v>
      </c>
      <c r="C57" s="3" t="s">
        <v>147</v>
      </c>
      <c r="D57" s="3" t="s">
        <v>148</v>
      </c>
      <c r="E57" s="3" t="s">
        <v>149</v>
      </c>
      <c r="F57" s="26" t="s">
        <v>85</v>
      </c>
      <c r="G57" s="3" t="s">
        <v>150</v>
      </c>
      <c r="H57" s="27"/>
      <c r="I57" s="27" t="s">
        <v>167</v>
      </c>
      <c r="J57" s="27"/>
    </row>
    <row r="58" customFormat="false" ht="15" hidden="false" customHeight="false" outlineLevel="0" collapsed="false">
      <c r="A58" s="3" t="s">
        <v>79</v>
      </c>
      <c r="B58" s="5" t="n">
        <v>73883.849</v>
      </c>
      <c r="C58" s="5" t="n">
        <v>71768.073</v>
      </c>
      <c r="D58" s="5" t="n">
        <v>75221.137</v>
      </c>
      <c r="E58" s="5" t="n">
        <v>69795.808</v>
      </c>
      <c r="F58" s="28" t="n">
        <v>71034.917</v>
      </c>
      <c r="G58" s="5" t="n">
        <v>295313.65</v>
      </c>
      <c r="H58" s="27"/>
      <c r="I58" s="27"/>
      <c r="J58" s="27"/>
    </row>
    <row r="59" customFormat="false" ht="15" hidden="false" customHeight="false" outlineLevel="0" collapsed="false">
      <c r="A59" s="1" t="s">
        <v>86</v>
      </c>
      <c r="B59" s="25" t="n">
        <v>56049.956</v>
      </c>
      <c r="C59" s="25" t="n">
        <v>54122.158</v>
      </c>
      <c r="D59" s="25" t="n">
        <v>60335.176</v>
      </c>
      <c r="E59" s="25" t="n">
        <v>52843.176</v>
      </c>
      <c r="F59" s="29" t="n">
        <v>53394.045</v>
      </c>
      <c r="G59" s="25" t="n">
        <v>227511.81</v>
      </c>
      <c r="H59" s="30"/>
      <c r="I59" s="30"/>
      <c r="J59" s="30"/>
    </row>
    <row r="60" customFormat="false" ht="15" hidden="false" customHeight="false" outlineLevel="0" collapsed="false">
      <c r="A60" s="3" t="s">
        <v>80</v>
      </c>
      <c r="B60" s="5" t="n">
        <v>17833.893</v>
      </c>
      <c r="C60" s="5" t="n">
        <v>17645.915</v>
      </c>
      <c r="D60" s="5" t="n">
        <v>14885.961</v>
      </c>
      <c r="E60" s="5" t="n">
        <v>16952.632</v>
      </c>
      <c r="F60" s="28" t="n">
        <v>17640.872</v>
      </c>
      <c r="G60" s="5" t="n">
        <v>67801.84</v>
      </c>
      <c r="H60" s="27"/>
      <c r="I60" s="27"/>
      <c r="J60" s="27"/>
    </row>
    <row r="61" customFormat="false" ht="15" hidden="false" customHeight="false" outlineLevel="0" collapsed="false">
      <c r="A61" s="3" t="s">
        <v>81</v>
      </c>
      <c r="B61" s="5" t="n">
        <v>4247.997</v>
      </c>
      <c r="C61" s="5" t="n">
        <v>3745.26</v>
      </c>
      <c r="D61" s="5" t="n">
        <v>3402.984</v>
      </c>
      <c r="E61" s="5" t="n">
        <v>3680.616</v>
      </c>
      <c r="F61" s="28" t="n">
        <v>4016.894</v>
      </c>
      <c r="G61" s="5" t="n">
        <v>15097.9</v>
      </c>
      <c r="H61" s="27"/>
      <c r="I61" s="27"/>
      <c r="J61" s="27"/>
    </row>
    <row r="62" customFormat="false" ht="15" hidden="false" customHeight="false" outlineLevel="0" collapsed="false">
      <c r="A62" s="3" t="s">
        <v>151</v>
      </c>
      <c r="B62" s="5" t="n">
        <v>880.6</v>
      </c>
      <c r="C62" s="5" t="n">
        <v>944.2</v>
      </c>
      <c r="D62" s="5" t="n">
        <v>1003.1</v>
      </c>
      <c r="E62" s="5" t="n">
        <v>904.7</v>
      </c>
      <c r="F62" s="28" t="n">
        <v>892.5</v>
      </c>
      <c r="G62" s="5" t="n">
        <v>3846.89</v>
      </c>
      <c r="H62" s="27"/>
      <c r="I62" s="27"/>
      <c r="J62" s="27"/>
    </row>
    <row r="63" customFormat="false" ht="15" hidden="false" customHeight="false" outlineLevel="0" collapsed="false">
      <c r="A63" s="3" t="s">
        <v>152</v>
      </c>
      <c r="B63" s="5" t="n">
        <v>2986.855</v>
      </c>
      <c r="C63" s="5" t="n">
        <v>2417.756</v>
      </c>
      <c r="D63" s="5" t="n">
        <v>1813.805</v>
      </c>
      <c r="E63" s="5" t="n">
        <v>2306.498</v>
      </c>
      <c r="F63" s="28" t="n">
        <v>2653.783</v>
      </c>
      <c r="G63" s="5" t="n">
        <v>9508.62</v>
      </c>
      <c r="H63" s="27"/>
      <c r="I63" s="27"/>
      <c r="J63" s="27"/>
    </row>
    <row r="64" customFormat="false" ht="15" hidden="false" customHeight="false" outlineLevel="0" collapsed="false">
      <c r="A64" s="3" t="s">
        <v>153</v>
      </c>
      <c r="B64" s="5" t="n">
        <v>924.533</v>
      </c>
      <c r="C64" s="5" t="n">
        <v>771.393</v>
      </c>
      <c r="D64" s="5" t="n">
        <v>469.642</v>
      </c>
      <c r="E64" s="5" t="n">
        <v>723.238</v>
      </c>
      <c r="F64" s="28" t="n">
        <v>829.095</v>
      </c>
      <c r="G64" s="5" t="n">
        <v>2888.58</v>
      </c>
      <c r="H64" s="27"/>
      <c r="I64" s="27"/>
      <c r="J64" s="27"/>
    </row>
    <row r="65" customFormat="false" ht="15" hidden="false" customHeight="false" outlineLevel="0" collapsed="false">
      <c r="A65" s="3" t="s">
        <v>82</v>
      </c>
      <c r="B65" s="5" t="n">
        <v>2062.322</v>
      </c>
      <c r="C65" s="5" t="n">
        <v>1646.363</v>
      </c>
      <c r="D65" s="5" t="n">
        <v>1344.163</v>
      </c>
      <c r="E65" s="5" t="n">
        <v>1583.26</v>
      </c>
      <c r="F65" s="28" t="n">
        <v>1824.688</v>
      </c>
      <c r="G65" s="5" t="n">
        <v>6620.05</v>
      </c>
      <c r="H65" s="27"/>
      <c r="I65" s="27"/>
      <c r="J65" s="27"/>
    </row>
    <row r="66" customFormat="false" ht="15" hidden="false" customHeight="false" outlineLevel="0" collapsed="false">
      <c r="A66" s="3" t="s">
        <v>154</v>
      </c>
      <c r="B66" s="5" t="n">
        <v>2303.668</v>
      </c>
      <c r="C66" s="5" t="n">
        <v>2297.228</v>
      </c>
      <c r="D66" s="5" t="n">
        <v>2308.71</v>
      </c>
      <c r="E66" s="5" t="n">
        <v>2258.954</v>
      </c>
      <c r="F66" s="28" t="n">
        <v>2312.731</v>
      </c>
      <c r="G66" s="5" t="n">
        <v>9293.25</v>
      </c>
      <c r="H66" s="27"/>
      <c r="I66" s="27"/>
      <c r="J66" s="27"/>
    </row>
    <row r="67" customFormat="false" ht="15" hidden="false" customHeight="false" outlineLevel="0" collapsed="false">
      <c r="A67" s="3" t="s">
        <v>98</v>
      </c>
      <c r="B67" s="5" t="n">
        <v>5617.816</v>
      </c>
      <c r="C67" s="5" t="n">
        <v>4366.019</v>
      </c>
      <c r="D67" s="5" t="n">
        <v>10197.404</v>
      </c>
      <c r="E67" s="5" t="n">
        <v>-756.9</v>
      </c>
      <c r="F67" s="28" t="n">
        <v>5978.777</v>
      </c>
      <c r="G67" s="5" t="n">
        <v>18240.86</v>
      </c>
      <c r="H67" s="27"/>
      <c r="I67" s="27"/>
      <c r="J67" s="27"/>
    </row>
    <row r="68" customFormat="false" ht="15" hidden="false" customHeight="false" outlineLevel="0" collapsed="false">
      <c r="A68" s="3" t="s">
        <v>155</v>
      </c>
      <c r="B68" s="5" t="n">
        <f aca="false">SUM(B116:B118)</f>
        <v>2185.9</v>
      </c>
      <c r="C68" s="5" t="n">
        <f aca="false">SUM(C116:C118)</f>
        <v>2286.1</v>
      </c>
      <c r="D68" s="5" t="n">
        <f aca="false">SUM(D116:D118)</f>
        <v>2688.875</v>
      </c>
      <c r="E68" s="5" t="n">
        <f aca="false">SUM(E116:E118)</f>
        <v>2195.6</v>
      </c>
      <c r="F68" s="28" t="n">
        <f aca="false">SUM(F116:F118)</f>
        <v>2859.1</v>
      </c>
      <c r="G68" s="5" t="n">
        <f aca="false">I68</f>
        <v>7747.88</v>
      </c>
      <c r="H68" s="27"/>
      <c r="I68" s="31" t="n">
        <v>7747.88</v>
      </c>
      <c r="J68" s="27" t="s">
        <v>168</v>
      </c>
    </row>
    <row r="69" customFormat="false" ht="15" hidden="false" customHeight="false" outlineLevel="0" collapsed="false">
      <c r="A69" s="3" t="s">
        <v>13</v>
      </c>
      <c r="B69" s="5" t="n">
        <v>9740.315</v>
      </c>
      <c r="C69" s="5" t="n">
        <v>9638.014</v>
      </c>
      <c r="D69" s="5" t="n">
        <v>14640.162</v>
      </c>
      <c r="E69" s="5" t="n">
        <v>10487.937</v>
      </c>
      <c r="F69" s="28" t="n">
        <v>8499.778</v>
      </c>
      <c r="G69" s="5" t="n">
        <v>14640.16</v>
      </c>
      <c r="H69" s="27"/>
      <c r="I69" s="27"/>
      <c r="J69" s="27"/>
    </row>
    <row r="70" customFormat="false" ht="15" hidden="false" customHeight="false" outlineLevel="0" collapsed="false">
      <c r="A70" s="3" t="s">
        <v>156</v>
      </c>
      <c r="B70" s="5" t="n">
        <v>22914.705</v>
      </c>
      <c r="C70" s="5" t="n">
        <v>23527.624</v>
      </c>
      <c r="D70" s="5" t="n">
        <v>23430.115</v>
      </c>
      <c r="E70" s="5" t="n">
        <v>23660.893</v>
      </c>
      <c r="F70" s="28" t="n">
        <v>22606.468</v>
      </c>
      <c r="G70" s="5" t="n">
        <f aca="false">D70</f>
        <v>23430.115</v>
      </c>
      <c r="H70" s="27"/>
      <c r="I70" s="27"/>
      <c r="J70" s="27"/>
    </row>
    <row r="71" customFormat="false" ht="15" hidden="false" customHeight="false" outlineLevel="0" collapsed="false">
      <c r="A71" s="3" t="s">
        <v>157</v>
      </c>
      <c r="B71" s="5" t="n">
        <v>39608.185</v>
      </c>
      <c r="C71" s="5" t="n">
        <v>41642.553</v>
      </c>
      <c r="D71" s="5" t="n">
        <v>44626.647</v>
      </c>
      <c r="E71" s="5" t="n">
        <v>41294.339</v>
      </c>
      <c r="F71" s="28" t="n">
        <v>38968.064</v>
      </c>
      <c r="G71" s="5" t="n">
        <v>44626.65</v>
      </c>
      <c r="H71" s="27"/>
      <c r="I71" s="27"/>
      <c r="J71" s="27"/>
    </row>
    <row r="72" customFormat="false" ht="15" hidden="false" customHeight="false" outlineLevel="0" collapsed="false">
      <c r="A72" s="3" t="s">
        <v>92</v>
      </c>
      <c r="B72" s="5" t="n">
        <v>154895.839</v>
      </c>
      <c r="C72" s="5" t="n">
        <v>155620.701</v>
      </c>
      <c r="D72" s="5" t="n">
        <v>160365.41</v>
      </c>
      <c r="E72" s="5" t="n">
        <v>156233.205</v>
      </c>
      <c r="F72" s="28" t="n">
        <v>152993.188</v>
      </c>
      <c r="G72" s="5" t="n">
        <v>160365.41</v>
      </c>
      <c r="H72" s="27"/>
      <c r="I72" s="27"/>
      <c r="J72" s="27"/>
    </row>
    <row r="73" customFormat="false" ht="15" hidden="false" customHeight="false" outlineLevel="0" collapsed="false">
      <c r="A73" s="3" t="s">
        <v>158</v>
      </c>
      <c r="B73" s="5" t="n">
        <v>42247.697</v>
      </c>
      <c r="C73" s="5" t="n">
        <v>43507.303</v>
      </c>
      <c r="D73" s="5" t="n">
        <v>48465.257</v>
      </c>
      <c r="E73" s="5" t="n">
        <v>43264.981</v>
      </c>
      <c r="F73" s="28" t="n">
        <v>43358.105</v>
      </c>
      <c r="G73" s="5" t="n">
        <v>48465.26</v>
      </c>
      <c r="H73" s="27"/>
      <c r="I73" s="27"/>
      <c r="J73" s="27"/>
    </row>
    <row r="74" customFormat="false" ht="15" hidden="false" customHeight="false" outlineLevel="0" collapsed="false">
      <c r="A74" s="3" t="s">
        <v>159</v>
      </c>
      <c r="B74" s="5" t="n">
        <f aca="false">B75-B73</f>
        <v>61262.859</v>
      </c>
      <c r="C74" s="5" t="n">
        <f aca="false">C75-C73</f>
        <v>60415.588</v>
      </c>
      <c r="D74" s="5" t="n">
        <f aca="false">D75-D73</f>
        <v>59551.489</v>
      </c>
      <c r="E74" s="5" t="n">
        <f aca="false">E75-E73</f>
        <v>58979.77</v>
      </c>
      <c r="F74" s="28" t="n">
        <f aca="false">F75-F73</f>
        <v>56310.095</v>
      </c>
      <c r="G74" s="5" t="n">
        <f aca="false">G75-G73</f>
        <v>59551.49</v>
      </c>
      <c r="H74" s="27"/>
      <c r="I74" s="27"/>
      <c r="J74" s="27"/>
    </row>
    <row r="75" customFormat="false" ht="15" hidden="false" customHeight="false" outlineLevel="0" collapsed="false">
      <c r="A75" s="3" t="s">
        <v>93</v>
      </c>
      <c r="B75" s="5" t="n">
        <v>103510.556</v>
      </c>
      <c r="C75" s="5" t="n">
        <v>103922.891</v>
      </c>
      <c r="D75" s="5" t="n">
        <v>108016.746</v>
      </c>
      <c r="E75" s="5" t="n">
        <v>102244.751</v>
      </c>
      <c r="F75" s="28" t="n">
        <v>99668.2</v>
      </c>
      <c r="G75" s="5" t="n">
        <v>108016.75</v>
      </c>
      <c r="H75" s="27"/>
      <c r="I75" s="27"/>
      <c r="J75" s="27"/>
    </row>
    <row r="76" customFormat="false" ht="15" hidden="false" customHeight="false" outlineLevel="0" collapsed="false">
      <c r="A76" s="3" t="s">
        <v>94</v>
      </c>
      <c r="B76" s="5" t="n">
        <v>51385.283</v>
      </c>
      <c r="C76" s="5" t="n">
        <v>51697.81</v>
      </c>
      <c r="D76" s="5" t="n">
        <v>52348.664</v>
      </c>
      <c r="E76" s="5" t="n">
        <v>53988.454</v>
      </c>
      <c r="F76" s="28" t="n">
        <v>53324.988</v>
      </c>
      <c r="G76" s="5" t="n">
        <v>52348.66</v>
      </c>
      <c r="H76" s="27"/>
      <c r="I76" s="27"/>
      <c r="J76" s="27"/>
    </row>
    <row r="77" customFormat="false" ht="15" hidden="false" customHeight="false" outlineLevel="0" collapsed="false">
      <c r="A77" s="3" t="s">
        <v>160</v>
      </c>
      <c r="B77" s="5" t="n">
        <v>1055.054</v>
      </c>
      <c r="C77" s="5" t="n">
        <v>1541.907</v>
      </c>
      <c r="D77" s="5" t="n">
        <v>530.018</v>
      </c>
      <c r="E77" s="5" t="n">
        <v>705.319</v>
      </c>
      <c r="F77" s="28" t="n">
        <v>1087.08</v>
      </c>
      <c r="G77" s="5" t="n">
        <f aca="false">D77</f>
        <v>530.018</v>
      </c>
      <c r="H77" s="27"/>
      <c r="I77" s="27"/>
      <c r="J77" s="27"/>
    </row>
    <row r="78" customFormat="false" ht="15" hidden="false" customHeight="false" outlineLevel="0" collapsed="false">
      <c r="A78" s="3" t="s">
        <v>161</v>
      </c>
      <c r="B78" s="5" t="n">
        <v>7557.12</v>
      </c>
      <c r="C78" s="5" t="n">
        <v>7353.001</v>
      </c>
      <c r="D78" s="5" t="n">
        <v>7186.68</v>
      </c>
      <c r="E78" s="5" t="n">
        <v>7226.68</v>
      </c>
      <c r="F78" s="28" t="n">
        <v>5241</v>
      </c>
      <c r="G78" s="5" t="n">
        <f aca="false">D78</f>
        <v>7186.68</v>
      </c>
      <c r="H78" s="27"/>
      <c r="I78" s="27"/>
      <c r="J78" s="27"/>
    </row>
    <row r="79" customFormat="false" ht="15" hidden="false" customHeight="false" outlineLevel="0" collapsed="false">
      <c r="A79" s="3" t="s">
        <v>162</v>
      </c>
      <c r="B79" s="5" t="n">
        <v>2674.355</v>
      </c>
      <c r="C79" s="5" t="n">
        <v>2626.869</v>
      </c>
      <c r="D79" s="5" t="n">
        <v>2925.974</v>
      </c>
      <c r="E79" s="5" t="n">
        <v>3014.648</v>
      </c>
      <c r="F79" s="28" t="n">
        <v>3015.621</v>
      </c>
      <c r="G79" s="5" t="n">
        <f aca="false">D79</f>
        <v>2925.974</v>
      </c>
      <c r="H79" s="27"/>
      <c r="I79" s="27"/>
      <c r="J79" s="27"/>
    </row>
    <row r="80" customFormat="false" ht="15" hidden="false" customHeight="false" outlineLevel="0" collapsed="false">
      <c r="A80" s="3" t="s">
        <v>163</v>
      </c>
      <c r="B80" s="5" t="n">
        <v>48473.083</v>
      </c>
      <c r="C80" s="5" t="n">
        <v>47033.289</v>
      </c>
      <c r="D80" s="5" t="n">
        <v>46631.683</v>
      </c>
      <c r="E80" s="5" t="n">
        <v>46405.889</v>
      </c>
      <c r="F80" s="28" t="n">
        <v>45276.747</v>
      </c>
      <c r="G80" s="5" t="n">
        <f aca="false">D80</f>
        <v>46631.683</v>
      </c>
      <c r="H80" s="27"/>
      <c r="I80" s="27"/>
      <c r="J80" s="27"/>
    </row>
    <row r="81" customFormat="false" ht="15" hidden="false" customHeight="false" outlineLevel="0" collapsed="false">
      <c r="A81" s="3" t="s">
        <v>164</v>
      </c>
      <c r="B81" s="5" t="n">
        <f aca="false">IF(COUNT(B77:B80)=4,SUM(B77:B80),"n.d.")</f>
        <v>59759.612</v>
      </c>
      <c r="C81" s="5" t="n">
        <f aca="false">IF(COUNT(C77:C80)=4,SUM(C77:C80),"n.d.")</f>
        <v>58555.066</v>
      </c>
      <c r="D81" s="5" t="n">
        <f aca="false">IF(COUNT(D77:D80)=4,SUM(D77:D80),"n.d.")</f>
        <v>57274.355</v>
      </c>
      <c r="E81" s="5" t="n">
        <f aca="false">IF(COUNT(E77:E80)=4,SUM(E77:E80),"n.d.")</f>
        <v>57352.536</v>
      </c>
      <c r="F81" s="28" t="n">
        <f aca="false">IF(COUNT(F77:F80)=4,SUM(F77:F80),"n.d.")</f>
        <v>54620.448</v>
      </c>
      <c r="G81" s="5" t="n">
        <v>56744.34</v>
      </c>
      <c r="H81" s="27"/>
      <c r="I81" s="27"/>
      <c r="J81" s="27"/>
    </row>
    <row r="82" customFormat="false" ht="15" hidden="false" customHeight="false" outlineLevel="0" collapsed="false">
      <c r="B82" s="9"/>
      <c r="C82" s="9"/>
      <c r="D82" s="9"/>
      <c r="E82" s="9"/>
      <c r="F82" s="9"/>
      <c r="G82" s="9"/>
      <c r="H82" s="9"/>
      <c r="I82" s="9"/>
    </row>
    <row r="83" customFormat="false" ht="15" hidden="false" customHeight="false" outlineLevel="0" collapsed="false">
      <c r="A83" s="3" t="s">
        <v>169</v>
      </c>
      <c r="B83" s="3" t="s">
        <v>146</v>
      </c>
      <c r="C83" s="3" t="s">
        <v>147</v>
      </c>
      <c r="D83" s="3" t="s">
        <v>148</v>
      </c>
      <c r="E83" s="3" t="s">
        <v>149</v>
      </c>
      <c r="F83" s="26" t="s">
        <v>85</v>
      </c>
      <c r="G83" s="3" t="s">
        <v>150</v>
      </c>
      <c r="H83" s="27"/>
      <c r="I83" s="3" t="s">
        <v>170</v>
      </c>
    </row>
    <row r="84" customFormat="false" ht="15" hidden="false" customHeight="false" outlineLevel="0" collapsed="false">
      <c r="A84" s="3" t="s">
        <v>79</v>
      </c>
      <c r="B84" s="5" t="n">
        <v>12232.6</v>
      </c>
      <c r="C84" s="5" t="n">
        <v>11813.2</v>
      </c>
      <c r="D84" s="5" t="n">
        <f aca="false">G84-I84</f>
        <v>12404.39</v>
      </c>
      <c r="E84" s="5" t="n">
        <v>12006.5</v>
      </c>
      <c r="F84" s="28" t="n">
        <v>12933.1</v>
      </c>
      <c r="G84" s="5" t="n">
        <v>47526.64</v>
      </c>
      <c r="H84" s="27"/>
      <c r="I84" s="5" t="n">
        <v>35122.25</v>
      </c>
    </row>
    <row r="85" customFormat="false" ht="15" hidden="false" customHeight="false" outlineLevel="0" collapsed="false">
      <c r="A85" s="3" t="s">
        <v>86</v>
      </c>
      <c r="B85" s="5" t="n">
        <v>8718.1</v>
      </c>
      <c r="C85" s="5" t="n">
        <v>8306.7</v>
      </c>
      <c r="D85" s="5" t="n">
        <f aca="false">G85-I85</f>
        <v>8694.29</v>
      </c>
      <c r="E85" s="5" t="n">
        <v>8328.1</v>
      </c>
      <c r="F85" s="28" t="n">
        <v>9130.7</v>
      </c>
      <c r="G85" s="5" t="n">
        <v>33441.01</v>
      </c>
      <c r="H85" s="27"/>
      <c r="I85" s="5" t="n">
        <v>24746.72</v>
      </c>
    </row>
    <row r="86" customFormat="false" ht="15" hidden="false" customHeight="false" outlineLevel="0" collapsed="false">
      <c r="A86" s="1" t="s">
        <v>80</v>
      </c>
      <c r="B86" s="25" t="n">
        <v>3514.5</v>
      </c>
      <c r="C86" s="25" t="n">
        <v>3506.5</v>
      </c>
      <c r="D86" s="25" t="n">
        <f aca="false">G86-I86</f>
        <v>3710.1</v>
      </c>
      <c r="E86" s="25" t="n">
        <v>3678.4</v>
      </c>
      <c r="F86" s="29" t="n">
        <v>3802.4</v>
      </c>
      <c r="G86" s="25" t="n">
        <v>14085.63</v>
      </c>
      <c r="H86" s="30"/>
      <c r="I86" s="25" t="n">
        <v>10375.53</v>
      </c>
      <c r="J86" s="2"/>
    </row>
    <row r="87" customFormat="false" ht="15" hidden="false" customHeight="false" outlineLevel="0" collapsed="false">
      <c r="A87" s="3" t="s">
        <v>81</v>
      </c>
      <c r="B87" s="5" t="n">
        <v>1026.3</v>
      </c>
      <c r="C87" s="5" t="n">
        <v>839</v>
      </c>
      <c r="D87" s="5" t="n">
        <f aca="false">G87-I87</f>
        <v>712.57</v>
      </c>
      <c r="E87" s="5" t="n">
        <v>1001.4</v>
      </c>
      <c r="F87" s="28" t="n">
        <v>932.2</v>
      </c>
      <c r="G87" s="5" t="n">
        <v>3564.06</v>
      </c>
      <c r="H87" s="27"/>
      <c r="I87" s="5" t="n">
        <v>2851.49</v>
      </c>
    </row>
    <row r="88" customFormat="false" ht="15" hidden="false" customHeight="false" outlineLevel="0" collapsed="false">
      <c r="A88" s="3" t="s">
        <v>151</v>
      </c>
      <c r="B88" s="5" t="n">
        <v>90.2</v>
      </c>
      <c r="C88" s="5" t="n">
        <v>76.7</v>
      </c>
      <c r="D88" s="5" t="n">
        <v>64.9</v>
      </c>
      <c r="E88" s="5" t="n">
        <v>73.3</v>
      </c>
      <c r="F88" s="28" t="n">
        <v>76</v>
      </c>
      <c r="G88" s="5" t="n">
        <v>265.96</v>
      </c>
      <c r="H88" s="27"/>
      <c r="I88" s="5" t="n">
        <v>235.52</v>
      </c>
    </row>
    <row r="89" customFormat="false" ht="15" hidden="false" customHeight="false" outlineLevel="0" collapsed="false">
      <c r="A89" s="3" t="s">
        <v>152</v>
      </c>
      <c r="B89" s="5" t="n">
        <v>1003.4</v>
      </c>
      <c r="C89" s="5" t="n">
        <v>817</v>
      </c>
      <c r="D89" s="5" t="n">
        <f aca="false">G89-I89</f>
        <v>697.65</v>
      </c>
      <c r="E89" s="5" t="n">
        <v>992.7</v>
      </c>
      <c r="F89" s="28" t="n">
        <v>893.8</v>
      </c>
      <c r="G89" s="5" t="n">
        <v>3507.62</v>
      </c>
      <c r="H89" s="27"/>
      <c r="I89" s="5" t="n">
        <v>2809.97</v>
      </c>
    </row>
    <row r="90" customFormat="false" ht="15" hidden="false" customHeight="false" outlineLevel="0" collapsed="false">
      <c r="A90" s="3" t="s">
        <v>153</v>
      </c>
      <c r="B90" s="5" t="n">
        <v>200.4</v>
      </c>
      <c r="C90" s="5" t="n">
        <v>176.1</v>
      </c>
      <c r="D90" s="5" t="n">
        <f aca="false">G90-I90</f>
        <v>191.44</v>
      </c>
      <c r="E90" s="5" t="n">
        <v>250.5</v>
      </c>
      <c r="F90" s="28" t="n">
        <v>222.6</v>
      </c>
      <c r="G90" s="5" t="n">
        <v>822.9</v>
      </c>
      <c r="H90" s="27"/>
      <c r="I90" s="5" t="n">
        <v>631.46</v>
      </c>
    </row>
    <row r="91" customFormat="false" ht="15" hidden="false" customHeight="false" outlineLevel="0" collapsed="false">
      <c r="A91" s="3" t="s">
        <v>82</v>
      </c>
      <c r="B91" s="5" t="n">
        <v>803</v>
      </c>
      <c r="C91" s="5" t="n">
        <v>640.9</v>
      </c>
      <c r="D91" s="5" t="n">
        <f aca="false">G91-I91</f>
        <v>506.21</v>
      </c>
      <c r="E91" s="5" t="n">
        <v>742.2</v>
      </c>
      <c r="F91" s="28" t="n">
        <v>671.1</v>
      </c>
      <c r="G91" s="5" t="n">
        <v>2684.72</v>
      </c>
      <c r="H91" s="27"/>
      <c r="I91" s="5" t="n">
        <v>2178.51</v>
      </c>
    </row>
    <row r="92" customFormat="false" ht="15" hidden="false" customHeight="false" outlineLevel="0" collapsed="false">
      <c r="A92" s="3" t="s">
        <v>154</v>
      </c>
      <c r="B92" s="5" t="n">
        <v>407.835</v>
      </c>
      <c r="C92" s="5" t="n">
        <v>411.717</v>
      </c>
      <c r="D92" s="5" t="n">
        <v>397.26</v>
      </c>
      <c r="E92" s="5" t="n">
        <v>386.412</v>
      </c>
      <c r="F92" s="28" t="n">
        <v>399.125</v>
      </c>
      <c r="G92" s="5" t="n">
        <f aca="false">I92/I84*G84</f>
        <v>1650.75481788325</v>
      </c>
      <c r="H92" s="27"/>
      <c r="I92" s="5" t="n">
        <v>1219.91</v>
      </c>
    </row>
    <row r="93" customFormat="false" ht="15" hidden="false" customHeight="false" outlineLevel="0" collapsed="false">
      <c r="A93" s="3" t="s">
        <v>98</v>
      </c>
      <c r="B93" s="5" t="n">
        <v>1576.03</v>
      </c>
      <c r="C93" s="5" t="n">
        <v>468.589</v>
      </c>
      <c r="D93" s="5" t="n">
        <v>1924.595</v>
      </c>
      <c r="E93" s="5" t="n">
        <v>583.825</v>
      </c>
      <c r="F93" s="28" t="n">
        <v>988.725</v>
      </c>
      <c r="G93" s="5" t="n">
        <f aca="false">744.022+B93+C93+D93</f>
        <v>4713.236</v>
      </c>
      <c r="H93" s="27"/>
      <c r="I93" s="5" t="n">
        <v>2788.64</v>
      </c>
    </row>
    <row r="94" customFormat="false" ht="15" hidden="false" customHeight="false" outlineLevel="0" collapsed="false">
      <c r="A94" s="3" t="s">
        <v>155</v>
      </c>
      <c r="B94" s="5" t="n">
        <f aca="false">SUM(B119:B121)</f>
        <v>1484.5</v>
      </c>
      <c r="C94" s="5" t="n">
        <f aca="false">SUM(C119:C121)</f>
        <v>912.2</v>
      </c>
      <c r="D94" s="5" t="n">
        <f aca="false">SUM(D119:D121)</f>
        <v>1480.1</v>
      </c>
      <c r="E94" s="5" t="n">
        <f aca="false">SUM(E119:E121)</f>
        <v>606.8</v>
      </c>
      <c r="F94" s="28" t="n">
        <f aca="false">SUM(F119:F121)</f>
        <v>1670.1</v>
      </c>
      <c r="G94" s="5" t="n">
        <f aca="false">I94/I84*G84</f>
        <v>3842.67239922271</v>
      </c>
      <c r="H94" s="27"/>
      <c r="I94" s="5" t="n">
        <v>2839.74</v>
      </c>
    </row>
    <row r="95" customFormat="false" ht="15" hidden="false" customHeight="false" outlineLevel="0" collapsed="false">
      <c r="A95" s="3" t="s">
        <v>13</v>
      </c>
      <c r="B95" s="5" t="n">
        <v>3071.774</v>
      </c>
      <c r="C95" s="5" t="n">
        <v>2615.8</v>
      </c>
      <c r="D95" s="5" t="n">
        <v>2962.8</v>
      </c>
      <c r="E95" s="5" t="n">
        <v>2813</v>
      </c>
      <c r="F95" s="28" t="n">
        <v>1665.7</v>
      </c>
      <c r="G95" s="5" t="n">
        <f aca="false">D95</f>
        <v>2962.8</v>
      </c>
      <c r="H95" s="27"/>
      <c r="I95" s="27"/>
    </row>
    <row r="96" customFormat="false" ht="15" hidden="false" customHeight="false" outlineLevel="0" collapsed="false">
      <c r="A96" s="3" t="s">
        <v>156</v>
      </c>
      <c r="B96" s="5" t="n">
        <v>6630.422</v>
      </c>
      <c r="C96" s="5" t="n">
        <v>6020.2</v>
      </c>
      <c r="D96" s="5" t="n">
        <v>5943.1</v>
      </c>
      <c r="E96" s="5" t="n">
        <v>6182.4</v>
      </c>
      <c r="F96" s="28" t="n">
        <v>7365.3</v>
      </c>
      <c r="G96" s="5" t="n">
        <f aca="false">D96</f>
        <v>5943.1</v>
      </c>
      <c r="H96" s="27"/>
      <c r="I96" s="27"/>
    </row>
    <row r="97" customFormat="false" ht="15" hidden="false" customHeight="false" outlineLevel="0" collapsed="false">
      <c r="A97" s="3" t="s">
        <v>157</v>
      </c>
      <c r="B97" s="5" t="n">
        <v>11202.654</v>
      </c>
      <c r="C97" s="5" t="n">
        <v>10026.3</v>
      </c>
      <c r="D97" s="5" t="n">
        <v>10147.2</v>
      </c>
      <c r="E97" s="5" t="n">
        <v>10422.3</v>
      </c>
      <c r="F97" s="28" t="n">
        <v>10810.2</v>
      </c>
      <c r="G97" s="5" t="n">
        <f aca="false">D97</f>
        <v>10147.2</v>
      </c>
      <c r="H97" s="27"/>
      <c r="I97" s="27"/>
    </row>
    <row r="98" customFormat="false" ht="15" hidden="false" customHeight="false" outlineLevel="0" collapsed="false">
      <c r="A98" s="3" t="s">
        <v>92</v>
      </c>
      <c r="B98" s="5" t="n">
        <v>43616.194</v>
      </c>
      <c r="C98" s="5" t="n">
        <v>42970.2</v>
      </c>
      <c r="D98" s="5" t="n">
        <v>44188.5</v>
      </c>
      <c r="E98" s="5" t="n">
        <v>44754.6</v>
      </c>
      <c r="F98" s="28" t="n">
        <v>46541.8</v>
      </c>
      <c r="G98" s="5" t="n">
        <f aca="false">D98</f>
        <v>44188.5</v>
      </c>
      <c r="H98" s="27"/>
      <c r="I98" s="27"/>
    </row>
    <row r="99" customFormat="false" ht="15" hidden="false" customHeight="false" outlineLevel="0" collapsed="false">
      <c r="A99" s="3" t="s">
        <v>158</v>
      </c>
      <c r="B99" s="5" t="n">
        <v>9031.024</v>
      </c>
      <c r="C99" s="5" t="n">
        <v>7608.5</v>
      </c>
      <c r="D99" s="5" t="n">
        <v>8406.7</v>
      </c>
      <c r="E99" s="5" t="n">
        <v>8294</v>
      </c>
      <c r="F99" s="28" t="n">
        <v>9623.2</v>
      </c>
      <c r="G99" s="5" t="n">
        <f aca="false">D99</f>
        <v>8406.7</v>
      </c>
      <c r="H99" s="27"/>
      <c r="I99" s="27"/>
    </row>
    <row r="100" customFormat="false" ht="15" hidden="false" customHeight="false" outlineLevel="0" collapsed="false">
      <c r="A100" s="3" t="s">
        <v>159</v>
      </c>
      <c r="B100" s="5" t="n">
        <f aca="false">B101-B99</f>
        <v>2754.765</v>
      </c>
      <c r="C100" s="5" t="n">
        <v>2852.9</v>
      </c>
      <c r="D100" s="5" t="n">
        <v>2838.5</v>
      </c>
      <c r="E100" s="5" t="n">
        <v>2853</v>
      </c>
      <c r="F100" s="28" t="n">
        <v>3034.5</v>
      </c>
      <c r="G100" s="5" t="n">
        <f aca="false">D100</f>
        <v>2838.5</v>
      </c>
      <c r="H100" s="27"/>
      <c r="I100" s="27"/>
    </row>
    <row r="101" customFormat="false" ht="15" hidden="false" customHeight="false" outlineLevel="0" collapsed="false">
      <c r="A101" s="3" t="s">
        <v>93</v>
      </c>
      <c r="B101" s="5" t="n">
        <v>11785.789</v>
      </c>
      <c r="C101" s="5" t="n">
        <v>10461.4</v>
      </c>
      <c r="D101" s="5" t="n">
        <v>11245.2</v>
      </c>
      <c r="E101" s="5" t="n">
        <v>11147</v>
      </c>
      <c r="F101" s="28" t="n">
        <v>12657.7</v>
      </c>
      <c r="G101" s="5" t="n">
        <f aca="false">D101</f>
        <v>11245.2</v>
      </c>
      <c r="H101" s="27"/>
      <c r="I101" s="27"/>
    </row>
    <row r="102" customFormat="false" ht="15" hidden="false" customHeight="false" outlineLevel="0" collapsed="false">
      <c r="A102" s="3" t="s">
        <v>94</v>
      </c>
      <c r="B102" s="5" t="n">
        <v>31830.405</v>
      </c>
      <c r="C102" s="5" t="n">
        <v>32508.8</v>
      </c>
      <c r="D102" s="5" t="n">
        <v>32943.3</v>
      </c>
      <c r="E102" s="5" t="n">
        <v>33607.6</v>
      </c>
      <c r="F102" s="28" t="n">
        <v>33884.1</v>
      </c>
      <c r="G102" s="5" t="n">
        <f aca="false">D102</f>
        <v>32943.3</v>
      </c>
      <c r="H102" s="27"/>
      <c r="I102" s="27"/>
    </row>
    <row r="103" customFormat="false" ht="15" hidden="false" customHeight="false" outlineLevel="0" collapsed="false">
      <c r="A103" s="3" t="s">
        <v>160</v>
      </c>
      <c r="B103" s="5" t="n">
        <v>0</v>
      </c>
      <c r="C103" s="5" t="n">
        <v>0</v>
      </c>
      <c r="D103" s="5" t="n">
        <v>0</v>
      </c>
      <c r="E103" s="5" t="n">
        <v>0</v>
      </c>
      <c r="F103" s="28" t="n">
        <v>0</v>
      </c>
      <c r="G103" s="5" t="n">
        <f aca="false">D103</f>
        <v>0</v>
      </c>
      <c r="H103" s="27"/>
      <c r="I103" s="27"/>
    </row>
    <row r="104" customFormat="false" ht="15" hidden="false" customHeight="false" outlineLevel="0" collapsed="false">
      <c r="A104" s="3" t="s">
        <v>161</v>
      </c>
      <c r="B104" s="5" t="n">
        <v>0</v>
      </c>
      <c r="C104" s="5" t="n">
        <v>0</v>
      </c>
      <c r="D104" s="5" t="n">
        <v>0</v>
      </c>
      <c r="E104" s="5" t="n">
        <v>0</v>
      </c>
      <c r="F104" s="28" t="n">
        <v>0</v>
      </c>
      <c r="G104" s="5" t="n">
        <f aca="false">D104</f>
        <v>0</v>
      </c>
      <c r="H104" s="27"/>
      <c r="I104" s="27"/>
    </row>
    <row r="105" customFormat="false" ht="15" hidden="false" customHeight="false" outlineLevel="0" collapsed="false">
      <c r="A105" s="3" t="s">
        <v>162</v>
      </c>
      <c r="B105" s="5" t="n">
        <v>93.389</v>
      </c>
      <c r="C105" s="5" t="n">
        <v>92.3</v>
      </c>
      <c r="D105" s="5" t="n">
        <v>98.3</v>
      </c>
      <c r="E105" s="5" t="n">
        <v>99.7</v>
      </c>
      <c r="F105" s="28" t="n">
        <v>105.6</v>
      </c>
      <c r="G105" s="5" t="n">
        <f aca="false">D105</f>
        <v>98.3</v>
      </c>
      <c r="H105" s="27"/>
      <c r="I105" s="27"/>
    </row>
    <row r="106" customFormat="false" ht="15" hidden="false" customHeight="false" outlineLevel="0" collapsed="false">
      <c r="A106" s="3" t="s">
        <v>163</v>
      </c>
      <c r="B106" s="5" t="n">
        <v>2260.347</v>
      </c>
      <c r="C106" s="5" t="n">
        <v>2272.5</v>
      </c>
      <c r="D106" s="5" t="n">
        <v>2343.5</v>
      </c>
      <c r="E106" s="5" t="n">
        <v>2344.7</v>
      </c>
      <c r="F106" s="28" t="n">
        <v>2443.7</v>
      </c>
      <c r="G106" s="5" t="n">
        <f aca="false">D106</f>
        <v>2343.5</v>
      </c>
      <c r="H106" s="27"/>
      <c r="I106" s="27"/>
    </row>
    <row r="107" customFormat="false" ht="15" hidden="false" customHeight="false" outlineLevel="0" collapsed="false">
      <c r="A107" s="3" t="s">
        <v>164</v>
      </c>
      <c r="B107" s="5" t="n">
        <f aca="false">IF(COUNT(B103:B106)=4,SUM(B103:B106),"n.d.")</f>
        <v>2353.736</v>
      </c>
      <c r="C107" s="5" t="n">
        <f aca="false">IF(COUNT(C103:C106)=4,SUM(C103:C106),"n.d.")</f>
        <v>2364.8</v>
      </c>
      <c r="D107" s="5" t="n">
        <f aca="false">IF(COUNT(D103:D106)=4,SUM(D103:D106),"n.d.")</f>
        <v>2441.8</v>
      </c>
      <c r="E107" s="5" t="n">
        <f aca="false">IF(COUNT(E103:E106)=4,SUM(E103:E106),"n.d.")</f>
        <v>2444.4</v>
      </c>
      <c r="F107" s="28" t="n">
        <f aca="false">IF(COUNT(F103:F106)=4,SUM(F103:F106),"n.d.")</f>
        <v>2549.3</v>
      </c>
      <c r="G107" s="5" t="n">
        <f aca="false">IF(COUNT(G103:G106)=4,SUM(G103:G106),"n.d.")</f>
        <v>2441.8</v>
      </c>
      <c r="H107" s="27"/>
      <c r="I107" s="27"/>
    </row>
    <row r="109" customFormat="false" ht="15" hidden="false" customHeight="false" outlineLevel="0" collapsed="false">
      <c r="A109" s="1" t="s">
        <v>171</v>
      </c>
      <c r="B109" s="1" t="str">
        <f aca="false">B5</f>
        <v>2T25</v>
      </c>
      <c r="C109" s="1" t="str">
        <f aca="false">C5</f>
        <v>3T25</v>
      </c>
      <c r="D109" s="1" t="str">
        <f aca="false">D5</f>
        <v>4T25</v>
      </c>
      <c r="E109" s="1" t="str">
        <f aca="false">E5</f>
        <v>1T26</v>
      </c>
      <c r="F109" s="1" t="str">
        <f aca="false">F5</f>
        <v>2T26</v>
      </c>
    </row>
    <row r="110" customFormat="false" ht="15" hidden="false" customHeight="false" outlineLevel="0" collapsed="false">
      <c r="A110" s="3" t="s">
        <v>172</v>
      </c>
      <c r="B110" s="5" t="n">
        <v>543.7</v>
      </c>
      <c r="C110" s="5" t="n">
        <v>1033.7</v>
      </c>
      <c r="D110" s="5" t="n">
        <v>816</v>
      </c>
      <c r="E110" s="5" t="n">
        <v>384.7</v>
      </c>
      <c r="F110" s="5" t="n">
        <v>795.5</v>
      </c>
    </row>
    <row r="111" customFormat="false" ht="15" hidden="false" customHeight="false" outlineLevel="0" collapsed="false">
      <c r="A111" s="3" t="s">
        <v>173</v>
      </c>
      <c r="B111" s="5" t="n">
        <v>119.5</v>
      </c>
      <c r="C111" s="5" t="n">
        <v>0</v>
      </c>
      <c r="D111" s="5" t="n">
        <v>0</v>
      </c>
      <c r="E111" s="5" t="n">
        <v>116.3</v>
      </c>
      <c r="F111" s="5" t="n">
        <v>114.4</v>
      </c>
    </row>
    <row r="112" customFormat="false" ht="15" hidden="false" customHeight="false" outlineLevel="0" collapsed="false">
      <c r="A112" s="3" t="s">
        <v>174</v>
      </c>
      <c r="B112" s="5" t="n">
        <v>0</v>
      </c>
      <c r="C112" s="5" t="n">
        <v>-258.5</v>
      </c>
      <c r="D112" s="5" t="n">
        <v>0</v>
      </c>
      <c r="E112" s="5" t="n">
        <v>0</v>
      </c>
      <c r="F112" s="5" t="n">
        <v>0</v>
      </c>
    </row>
    <row r="113" customFormat="false" ht="15" hidden="false" customHeight="false" outlineLevel="0" collapsed="false">
      <c r="A113" s="3" t="s">
        <v>175</v>
      </c>
      <c r="B113" s="5" t="n">
        <v>7989.7</v>
      </c>
      <c r="C113" s="5" t="n">
        <v>11746.3</v>
      </c>
      <c r="D113" s="5" t="n">
        <v>15831.8</v>
      </c>
      <c r="E113" s="5" t="n">
        <v>2436.5</v>
      </c>
      <c r="F113" s="5" t="n">
        <v>9264.9</v>
      </c>
    </row>
    <row r="114" customFormat="false" ht="15" hidden="false" customHeight="false" outlineLevel="0" collapsed="false">
      <c r="A114" s="3" t="s">
        <v>176</v>
      </c>
      <c r="B114" s="5" t="n">
        <v>0</v>
      </c>
      <c r="C114" s="5" t="n">
        <v>0</v>
      </c>
      <c r="D114" s="5" t="n">
        <v>0</v>
      </c>
      <c r="E114" s="5" t="n">
        <v>0</v>
      </c>
      <c r="F114" s="5" t="n">
        <v>0</v>
      </c>
    </row>
    <row r="115" customFormat="false" ht="15" hidden="false" customHeight="false" outlineLevel="0" collapsed="false">
      <c r="A115" s="3" t="s">
        <v>177</v>
      </c>
      <c r="B115" s="5" t="n">
        <v>0</v>
      </c>
      <c r="C115" s="5" t="n">
        <v>0</v>
      </c>
      <c r="D115" s="5" t="n">
        <v>0</v>
      </c>
      <c r="E115" s="5" t="n">
        <v>0</v>
      </c>
      <c r="F115" s="5" t="n">
        <v>0</v>
      </c>
    </row>
    <row r="116" customFormat="false" ht="15" hidden="false" customHeight="false" outlineLevel="0" collapsed="false">
      <c r="A116" s="3" t="s">
        <v>178</v>
      </c>
      <c r="B116" s="5" t="n">
        <v>2117.2</v>
      </c>
      <c r="C116" s="5" t="n">
        <v>2215.3</v>
      </c>
      <c r="D116" s="5" t="n">
        <v>8220.6</v>
      </c>
      <c r="E116" s="5" t="n">
        <v>2159.3</v>
      </c>
      <c r="F116" s="5" t="n">
        <v>2752.3</v>
      </c>
    </row>
    <row r="117" customFormat="false" ht="15" hidden="false" customHeight="false" outlineLevel="0" collapsed="false">
      <c r="A117" s="3" t="s">
        <v>179</v>
      </c>
      <c r="B117" s="5" t="n">
        <v>68.7</v>
      </c>
      <c r="C117" s="5" t="n">
        <v>70.8</v>
      </c>
      <c r="D117" s="5" t="n">
        <v>140.6</v>
      </c>
      <c r="E117" s="5" t="n">
        <v>36.3</v>
      </c>
      <c r="F117" s="5" t="n">
        <v>106.8</v>
      </c>
    </row>
    <row r="118" customFormat="false" ht="15" hidden="false" customHeight="false" outlineLevel="0" collapsed="false">
      <c r="A118" s="3" t="s">
        <v>180</v>
      </c>
      <c r="B118" s="5" t="n">
        <v>0</v>
      </c>
      <c r="C118" s="5" t="n">
        <v>0</v>
      </c>
      <c r="D118" s="5" t="n">
        <v>-5672.325</v>
      </c>
      <c r="E118" s="5" t="n">
        <v>0</v>
      </c>
      <c r="F118" s="5" t="n">
        <v>0</v>
      </c>
    </row>
    <row r="119" customFormat="false" ht="15" hidden="false" customHeight="false" outlineLevel="0" collapsed="false">
      <c r="A119" s="3" t="s">
        <v>181</v>
      </c>
      <c r="B119" s="5" t="n">
        <v>1484.5</v>
      </c>
      <c r="C119" s="5" t="n">
        <v>912.2</v>
      </c>
      <c r="D119" s="5" t="n">
        <v>1447.7</v>
      </c>
      <c r="E119" s="5" t="n">
        <v>606.8</v>
      </c>
      <c r="F119" s="5" t="n">
        <v>1670.1</v>
      </c>
    </row>
    <row r="120" customFormat="false" ht="15" hidden="false" customHeight="false" outlineLevel="0" collapsed="false">
      <c r="A120" s="3" t="s">
        <v>182</v>
      </c>
      <c r="B120" s="5" t="n">
        <v>0</v>
      </c>
      <c r="C120" s="5" t="n">
        <v>0</v>
      </c>
      <c r="D120" s="5" t="n">
        <v>32.4</v>
      </c>
      <c r="E120" s="5" t="n">
        <v>0</v>
      </c>
      <c r="F120" s="5" t="n">
        <v>0</v>
      </c>
    </row>
    <row r="121" customFormat="false" ht="15" hidden="false" customHeight="false" outlineLevel="0" collapsed="false">
      <c r="A121" s="3" t="s">
        <v>183</v>
      </c>
      <c r="B121" s="5" t="n">
        <v>0</v>
      </c>
      <c r="C121" s="5" t="n">
        <v>0</v>
      </c>
      <c r="D121" s="5" t="n">
        <v>0</v>
      </c>
      <c r="E121" s="5" t="n">
        <v>0</v>
      </c>
      <c r="F121" s="5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9"/>
  <sheetViews>
    <sheetView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pane xSplit="1" ySplit="0" topLeftCell="B1" activePane="topRight" state="frozen"/>
      <selection pane="topLeft" activeCell="A1" activeCellId="0" sqref="A1"/>
      <selection pane="topRight" activeCell="E18" activeCellId="0" sqref="E18"/>
    </sheetView>
  </sheetViews>
  <sheetFormatPr defaultColWidth="11.5078125" defaultRowHeight="15" zeroHeight="false" outlineLevelRow="0" outlineLevelCol="0"/>
  <cols>
    <col collapsed="false" customWidth="true" hidden="false" outlineLevel="0" max="1" min="1" style="0" width="38.83"/>
    <col collapsed="false" customWidth="true" hidden="false" outlineLevel="0" max="7" min="2" style="0" width="12.5"/>
    <col collapsed="false" customWidth="true" hidden="false" outlineLevel="0" max="8" min="8" style="0" width="96.33"/>
  </cols>
  <sheetData>
    <row r="1" customFormat="false" ht="18.75" hidden="false" customHeight="true" outlineLevel="0" collapsed="false">
      <c r="A1" s="13"/>
    </row>
    <row r="2" customFormat="false" ht="15" hidden="false" customHeight="false" outlineLevel="0" collapsed="false">
      <c r="A2" s="14"/>
    </row>
    <row r="3" customFormat="false" ht="15" hidden="false" customHeight="false" outlineLevel="0" collapsed="false">
      <c r="A3" s="1" t="s">
        <v>184</v>
      </c>
      <c r="B3" s="32" t="n">
        <v>91.25</v>
      </c>
      <c r="C3" s="2"/>
      <c r="D3" s="2"/>
      <c r="E3" s="2"/>
      <c r="F3" s="2"/>
      <c r="G3" s="2"/>
      <c r="H3" s="2"/>
      <c r="I3" s="2"/>
    </row>
    <row r="5" customFormat="false" ht="15" hidden="false" customHeight="false" outlineLevel="0" collapsed="false">
      <c r="B5" s="9"/>
      <c r="C5" s="9"/>
      <c r="D5" s="9"/>
      <c r="E5" s="9"/>
      <c r="F5" s="9"/>
      <c r="G5" s="9"/>
      <c r="H5" s="33"/>
    </row>
    <row r="6" customFormat="false" ht="15" hidden="false" customHeight="false" outlineLevel="0" collapsed="false">
      <c r="A6" s="1" t="s">
        <v>185</v>
      </c>
      <c r="B6" s="1" t="s">
        <v>146</v>
      </c>
      <c r="C6" s="1" t="s">
        <v>147</v>
      </c>
      <c r="D6" s="1" t="s">
        <v>148</v>
      </c>
      <c r="E6" s="1" t="s">
        <v>149</v>
      </c>
      <c r="F6" s="1" t="s">
        <v>85</v>
      </c>
      <c r="G6" s="1" t="s">
        <v>186</v>
      </c>
      <c r="H6" s="2"/>
      <c r="I6" s="2"/>
    </row>
    <row r="7" customFormat="false" ht="15" hidden="false" customHeight="false" outlineLevel="0" collapsed="false">
      <c r="A7" s="3" t="s">
        <v>25</v>
      </c>
      <c r="B7" s="10" t="n">
        <f aca="false">Datos!B19/Datos!B21</f>
        <v>1.26947522220869</v>
      </c>
      <c r="C7" s="10" t="n">
        <f aca="false">Datos!C19/Datos!C21</f>
        <v>1.30314218381775</v>
      </c>
      <c r="D7" s="10" t="n">
        <f aca="false">Datos!D19/Datos!D21</f>
        <v>1.23738494097249</v>
      </c>
      <c r="E7" s="10" t="n">
        <f aca="false">Datos!E19/Datos!E21</f>
        <v>1.28691285081241</v>
      </c>
      <c r="F7" s="10" t="n">
        <f aca="false">Datos!F19/Datos!F21</f>
        <v>1.17402940225869</v>
      </c>
      <c r="G7" s="10" t="n">
        <f aca="false">AVERAGE(B7:F7)</f>
        <v>1.25418892001401</v>
      </c>
    </row>
    <row r="8" customFormat="false" ht="15" hidden="false" customHeight="false" outlineLevel="0" collapsed="false">
      <c r="A8" s="3" t="s">
        <v>26</v>
      </c>
      <c r="B8" s="10" t="n">
        <f aca="false">(Datos!B19-Datos!B18)/Datos!B21</f>
        <v>0.358212589796664</v>
      </c>
      <c r="C8" s="10" t="n">
        <f aca="false">(Datos!C19-Datos!C18)/Datos!C21</f>
        <v>0.350170201623462</v>
      </c>
      <c r="D8" s="10" t="n">
        <f aca="false">(Datos!D19-Datos!D18)/Datos!D21</f>
        <v>0.414237996889263</v>
      </c>
      <c r="E8" s="10" t="n">
        <f aca="false">(Datos!E19-Datos!E18)/Datos!E21</f>
        <v>0.322806499261448</v>
      </c>
      <c r="F8" s="10" t="n">
        <f aca="false">(Datos!F19-Datos!F18)/Datos!F21</f>
        <v>0.328261785441147</v>
      </c>
      <c r="G8" s="10" t="n">
        <f aca="false">AVERAGE(B8:F8)</f>
        <v>0.354737814602396</v>
      </c>
    </row>
    <row r="9" customFormat="false" ht="15" hidden="false" customHeight="false" outlineLevel="0" collapsed="false">
      <c r="A9" s="3" t="s">
        <v>27</v>
      </c>
      <c r="B9" s="11" t="n">
        <f aca="false">Datos!B23/Datos!B20</f>
        <v>0.474631198308329</v>
      </c>
      <c r="C9" s="11" t="n">
        <f aca="false">Datos!C23/Datos!C20</f>
        <v>0.463124277786949</v>
      </c>
      <c r="D9" s="11" t="n">
        <f aca="false">Datos!D23/Datos!D20</f>
        <v>0.45697842833156</v>
      </c>
      <c r="E9" s="11" t="n">
        <f aca="false">Datos!E23/Datos!E20</f>
        <v>0.433129500930827</v>
      </c>
      <c r="F9" s="11" t="n">
        <f aca="false">Datos!F23/Datos!F20</f>
        <v>0.447405508471874</v>
      </c>
      <c r="G9" s="11" t="n">
        <f aca="false">AVERAGE(B9:F9)</f>
        <v>0.455053782765908</v>
      </c>
    </row>
    <row r="10" customFormat="false" ht="15" hidden="false" customHeight="false" outlineLevel="0" collapsed="false">
      <c r="A10" s="3" t="s">
        <v>28</v>
      </c>
      <c r="B10" s="11" t="n">
        <f aca="false">Datos!B22/Datos!B20</f>
        <v>0.217721249734112</v>
      </c>
      <c r="C10" s="11" t="n">
        <f aca="false">Datos!C22/Datos!C20</f>
        <v>0.220651166334396</v>
      </c>
      <c r="D10" s="11" t="n">
        <f aca="false">Datos!D22/Datos!D20</f>
        <v>0.205629397967162</v>
      </c>
      <c r="E10" s="11" t="n">
        <f aca="false">Datos!E22/Datos!E20</f>
        <v>0.208869690806342</v>
      </c>
      <c r="F10" s="11" t="n">
        <f aca="false">Datos!F22/Datos!F20</f>
        <v>0.179838833515078</v>
      </c>
      <c r="G10" s="11" t="n">
        <f aca="false">AVERAGE(B10:F10)</f>
        <v>0.206542067671418</v>
      </c>
    </row>
    <row r="11" customFormat="false" ht="15" hidden="false" customHeight="false" outlineLevel="0" collapsed="false">
      <c r="A11" s="3" t="s">
        <v>29</v>
      </c>
      <c r="B11" s="10" t="n">
        <f aca="false">Datos!B9/Datos!B10</f>
        <v>2.30277442702051</v>
      </c>
      <c r="C11" s="10" t="n">
        <f aca="false">Datos!C9/Datos!C10</f>
        <v>1.8676844783715</v>
      </c>
      <c r="D11" s="10" t="n">
        <f aca="false">Datos!D9/Datos!D10</f>
        <v>4.03571428571429</v>
      </c>
      <c r="E11" s="10" t="n">
        <f aca="false">Datos!E9/Datos!E10</f>
        <v>3.09863945578231</v>
      </c>
      <c r="F11" s="10" t="n">
        <f aca="false">Datos!F9/Datos!F10</f>
        <v>3.1872852233677</v>
      </c>
      <c r="G11" s="10" t="n">
        <f aca="false">AVERAGE(B11:F11)</f>
        <v>2.89841957405126</v>
      </c>
    </row>
    <row r="12" customFormat="false" ht="15" hidden="false" customHeight="false" outlineLevel="0" collapsed="false">
      <c r="A12" s="3" t="s">
        <v>187</v>
      </c>
      <c r="B12" s="10" t="n">
        <f aca="false">Datos!B7/Datos!B18</f>
        <v>0.931455599796906</v>
      </c>
      <c r="C12" s="10" t="n">
        <f aca="false">Datos!C7/Datos!C18</f>
        <v>0.879210858932791</v>
      </c>
      <c r="D12" s="10" t="n">
        <f aca="false">Datos!D7/Datos!D18</f>
        <v>1.10878790694793</v>
      </c>
      <c r="E12" s="10" t="n">
        <f aca="false">Datos!E7/Datos!E18</f>
        <v>0.933537612992186</v>
      </c>
      <c r="F12" s="10" t="n">
        <f aca="false">Datos!F7/Datos!F18</f>
        <v>0.927644333739937</v>
      </c>
      <c r="G12" s="10" t="n">
        <f aca="false">AVERAGE(B12:F12)</f>
        <v>0.95612726248195</v>
      </c>
    </row>
    <row r="13" customFormat="false" ht="15" hidden="false" customHeight="false" outlineLevel="0" collapsed="false">
      <c r="A13" s="3" t="s">
        <v>31</v>
      </c>
      <c r="B13" s="12" t="n">
        <f aca="false">$B$3*Datos!B18/Datos!B7</f>
        <v>97.9649486458573</v>
      </c>
      <c r="C13" s="12" t="n">
        <f aca="false">$B$3*Datos!C18/Datos!C7</f>
        <v>103.786252265767</v>
      </c>
      <c r="D13" s="12" t="n">
        <f aca="false">$B$3*Datos!D18/Datos!D7</f>
        <v>82.2970736136332</v>
      </c>
      <c r="E13" s="12" t="n">
        <f aca="false">$B$3*Datos!E18/Datos!E7</f>
        <v>97.7464632705311</v>
      </c>
      <c r="F13" s="12" t="n">
        <f aca="false">$B$3*Datos!F18/Datos!F7</f>
        <v>98.3674417889365</v>
      </c>
      <c r="G13" s="12" t="n">
        <f aca="false">AVERAGE(B13:F13)</f>
        <v>96.0324359169449</v>
      </c>
    </row>
    <row r="14" customFormat="false" ht="15" hidden="false" customHeight="false" outlineLevel="0" collapsed="false">
      <c r="A14" s="3" t="s">
        <v>188</v>
      </c>
      <c r="B14" s="10" t="n">
        <f aca="false">Datos!B6/Datos!B20</f>
        <v>0.286595513069156</v>
      </c>
      <c r="C14" s="10" t="n">
        <f aca="false">Datos!C6/Datos!C20</f>
        <v>0.27099973333672</v>
      </c>
      <c r="D14" s="10" t="n">
        <f aca="false">Datos!D6/Datos!D20</f>
        <v>0.30500262756508</v>
      </c>
      <c r="E14" s="10" t="n">
        <f aca="false">Datos!E6/Datos!E20</f>
        <v>0.267945753638839</v>
      </c>
      <c r="F14" s="10" t="n">
        <f aca="false">Datos!F6/Datos!F20</f>
        <v>0.277776714940726</v>
      </c>
      <c r="G14" s="10" t="n">
        <f aca="false">AVERAGE(B14:F14)</f>
        <v>0.281664068510104</v>
      </c>
    </row>
    <row r="15" customFormat="false" ht="15" hidden="false" customHeight="false" outlineLevel="0" collapsed="false">
      <c r="A15" s="3" t="s">
        <v>33</v>
      </c>
      <c r="B15" s="11" t="n">
        <f aca="false">Datos!B8/Datos!B6</f>
        <v>0.239118096485484</v>
      </c>
      <c r="C15" s="11" t="n">
        <f aca="false">Datos!C8/Datos!C6</f>
        <v>0.250333856570532</v>
      </c>
      <c r="D15" s="11" t="n">
        <f aca="false">Datos!D8/Datos!D6</f>
        <v>0.247877794587326</v>
      </c>
      <c r="E15" s="11" t="n">
        <f aca="false">Datos!E8/Datos!E6</f>
        <v>0.246711502324201</v>
      </c>
      <c r="F15" s="11" t="n">
        <f aca="false">Datos!F8/Datos!F6</f>
        <v>0.244266397300214</v>
      </c>
      <c r="G15" s="11" t="n">
        <f aca="false">AVERAGE(B15:F15)</f>
        <v>0.245661529453551</v>
      </c>
    </row>
    <row r="16" customFormat="false" ht="15" hidden="false" customHeight="false" outlineLevel="0" collapsed="false">
      <c r="A16" s="3" t="s">
        <v>34</v>
      </c>
      <c r="B16" s="11" t="n">
        <f aca="false">Datos!B13/Datos!B6</f>
        <v>0.0162191661209343</v>
      </c>
      <c r="C16" s="11" t="n">
        <f aca="false">Datos!C13/Datos!C6</f>
        <v>0.013682262258979</v>
      </c>
      <c r="D16" s="11" t="n">
        <f aca="false">Datos!D13/Datos!D6</f>
        <v>0.0274836106908724</v>
      </c>
      <c r="E16" s="11" t="n">
        <f aca="false">Datos!E13/Datos!E6</f>
        <v>0.0206211057264366</v>
      </c>
      <c r="F16" s="11" t="n">
        <f aca="false">Datos!F13/Datos!F6</f>
        <v>0.0250235313023715</v>
      </c>
      <c r="G16" s="11" t="n">
        <f aca="false">AVERAGE(B16:F16)</f>
        <v>0.0206059352199188</v>
      </c>
    </row>
    <row r="17" customFormat="false" ht="15" hidden="false" customHeight="false" outlineLevel="0" collapsed="false">
      <c r="A17" s="3" t="s">
        <v>189</v>
      </c>
      <c r="B17" s="4" t="n">
        <f aca="false">Datos!B13/Datos!B20</f>
        <v>0.00464834023598303</v>
      </c>
      <c r="C17" s="4" t="n">
        <f aca="false">Datos!C13/Datos!C20</f>
        <v>0.00370788942362637</v>
      </c>
      <c r="D17" s="4" t="n">
        <f aca="false">Datos!D13/Datos!D20</f>
        <v>0.00838257347569182</v>
      </c>
      <c r="E17" s="4" t="n">
        <f aca="false">Datos!E13/Datos!E20</f>
        <v>0.00552533771473622</v>
      </c>
      <c r="F17" s="4" t="n">
        <f aca="false">Datos!F13/Datos!F20</f>
        <v>0.00695095432138917</v>
      </c>
      <c r="G17" s="4" t="n">
        <f aca="false">AVERAGE(B17:F17)</f>
        <v>0.00584301903428532</v>
      </c>
    </row>
    <row r="18" customFormat="false" ht="15" hidden="false" customHeight="false" outlineLevel="0" collapsed="false">
      <c r="A18" s="3" t="s">
        <v>190</v>
      </c>
      <c r="B18" s="4" t="n">
        <f aca="false">Datos!B13/Datos!B24</f>
        <v>0.00884776602838906</v>
      </c>
      <c r="C18" s="4" t="n">
        <f aca="false">Datos!C13/Datos!C24</f>
        <v>0.00690642036920966</v>
      </c>
      <c r="D18" s="4" t="n">
        <f aca="false">Datos!D13/Datos!D24</f>
        <v>0.0154369069536893</v>
      </c>
      <c r="E18" s="4" t="n">
        <f aca="false">Datos!E13/Datos!E24</f>
        <v>0.00974708989762049</v>
      </c>
      <c r="F18" s="4" t="n">
        <f aca="false">Datos!F13/Datos!F24</f>
        <v>0.0125787615112978</v>
      </c>
      <c r="G18" s="4" t="n">
        <f aca="false">AVERAGE(B18:F18)</f>
        <v>0.0107033889520413</v>
      </c>
    </row>
    <row r="19" customFormat="false" ht="15" hidden="false" customHeight="false" outlineLevel="0" collapsed="false">
      <c r="A19" s="3" t="s">
        <v>191</v>
      </c>
      <c r="B19" s="4" t="n">
        <f aca="false">Datos!B9*(1-WACC!$B$10)/(Datos!B24+Datos!B29)</f>
        <v>0.0117085779374398</v>
      </c>
      <c r="C19" s="4" t="n">
        <f aca="false">Datos!C9*(1-WACC!$B$10)/(Datos!C24+Datos!C29)</f>
        <v>0.0089530132343588</v>
      </c>
      <c r="D19" s="4" t="n">
        <f aca="false">Datos!D9*(1-WACC!$B$10)/(Datos!D24+Datos!D29)</f>
        <v>0.0160609137055838</v>
      </c>
      <c r="E19" s="4" t="n">
        <f aca="false">Datos!E9*(1-WACC!$B$10)/(Datos!E24+Datos!E29)</f>
        <v>0.0116701895010385</v>
      </c>
      <c r="F19" s="4" t="n">
        <f aca="false">Datos!F9*(1-WACC!$B$10)/(Datos!F24+Datos!F29)</f>
        <v>0.0117644833247305</v>
      </c>
      <c r="G19" s="4" t="n">
        <f aca="false">AVERAGE(B19:F19)</f>
        <v>0.0120314355406303</v>
      </c>
    </row>
    <row r="20" customFormat="false" ht="15" hidden="false" customHeight="false" outlineLevel="0" collapsed="false">
      <c r="B20" s="9"/>
      <c r="C20" s="9"/>
      <c r="D20" s="9"/>
      <c r="E20" s="9"/>
      <c r="F20" s="9"/>
      <c r="G20" s="34"/>
    </row>
    <row r="21" customFormat="false" ht="15" hidden="false" customHeight="false" outlineLevel="0" collapsed="false">
      <c r="B21" s="9"/>
      <c r="C21" s="9"/>
      <c r="D21" s="9"/>
      <c r="E21" s="9"/>
      <c r="F21" s="9"/>
      <c r="G21" s="34"/>
    </row>
    <row r="22" customFormat="false" ht="15" hidden="false" customHeight="false" outlineLevel="0" collapsed="false">
      <c r="A22" s="1" t="s">
        <v>192</v>
      </c>
      <c r="B22" s="1" t="s">
        <v>146</v>
      </c>
      <c r="C22" s="1" t="s">
        <v>147</v>
      </c>
      <c r="D22" s="1" t="s">
        <v>148</v>
      </c>
      <c r="E22" s="1" t="s">
        <v>149</v>
      </c>
      <c r="F22" s="1" t="s">
        <v>85</v>
      </c>
      <c r="G22" s="1" t="s">
        <v>186</v>
      </c>
      <c r="H22" s="2"/>
      <c r="I22" s="2"/>
    </row>
    <row r="23" customFormat="false" ht="15" hidden="false" customHeight="false" outlineLevel="0" collapsed="false">
      <c r="A23" s="3" t="s">
        <v>25</v>
      </c>
      <c r="B23" s="10" t="n">
        <f aca="false">Datos!B45/Datos!B47</f>
        <v>0.940746121897885</v>
      </c>
      <c r="C23" s="10" t="n">
        <f aca="false">Datos!C45/Datos!C47</f>
        <v>0.949653486731077</v>
      </c>
      <c r="D23" s="10" t="n">
        <f aca="false">Datos!D45/Datos!D47</f>
        <v>0.966960823537106</v>
      </c>
      <c r="E23" s="10" t="n">
        <f aca="false">Datos!E45/Datos!E47</f>
        <v>1.06285170971514</v>
      </c>
      <c r="F23" s="10" t="n">
        <f aca="false">Datos!F45/Datos!F47</f>
        <v>0.964167334585705</v>
      </c>
      <c r="G23" s="10" t="n">
        <f aca="false">AVERAGE(B23:F23)</f>
        <v>0.976875895293384</v>
      </c>
    </row>
    <row r="24" customFormat="false" ht="15" hidden="false" customHeight="false" outlineLevel="0" collapsed="false">
      <c r="A24" s="3" t="s">
        <v>26</v>
      </c>
      <c r="B24" s="10" t="n">
        <f aca="false">(Datos!B45-Datos!B44)/Datos!B47</f>
        <v>0.338231127096535</v>
      </c>
      <c r="C24" s="10" t="n">
        <f aca="false">(Datos!C45-Datos!C44)/Datos!C47</f>
        <v>0.342009535487091</v>
      </c>
      <c r="D24" s="10" t="n">
        <f aca="false">(Datos!D45-Datos!D44)/Datos!D47</f>
        <v>0.333841631377466</v>
      </c>
      <c r="E24" s="10" t="n">
        <f aca="false">(Datos!E45-Datos!E44)/Datos!E47</f>
        <v>0.371702868864461</v>
      </c>
      <c r="F24" s="10" t="n">
        <f aca="false">(Datos!F45-Datos!F44)/Datos!F47</f>
        <v>0.349440377220855</v>
      </c>
      <c r="G24" s="10" t="n">
        <f aca="false">AVERAGE(B24:F24)</f>
        <v>0.347045108009281</v>
      </c>
    </row>
    <row r="25" customFormat="false" ht="15" hidden="false" customHeight="false" outlineLevel="0" collapsed="false">
      <c r="A25" s="3" t="s">
        <v>27</v>
      </c>
      <c r="B25" s="11" t="n">
        <f aca="false">Datos!B49/Datos!B46</f>
        <v>0.547687269665199</v>
      </c>
      <c r="C25" s="11" t="n">
        <f aca="false">Datos!C49/Datos!C46</f>
        <v>0.550726724166532</v>
      </c>
      <c r="D25" s="11" t="n">
        <f aca="false">Datos!D49/Datos!D46</f>
        <v>0.52434322625508</v>
      </c>
      <c r="E25" s="11" t="n">
        <f aca="false">Datos!E49/Datos!E46</f>
        <v>0.491650140578258</v>
      </c>
      <c r="F25" s="11" t="n">
        <f aca="false">Datos!F49/Datos!F46</f>
        <v>0.528381453694916</v>
      </c>
      <c r="G25" s="11" t="n">
        <f aca="false">AVERAGE(B25:F25)</f>
        <v>0.528557762871997</v>
      </c>
    </row>
    <row r="26" customFormat="false" ht="15" hidden="false" customHeight="false" outlineLevel="0" collapsed="false">
      <c r="A26" s="3" t="s">
        <v>28</v>
      </c>
      <c r="B26" s="11" t="n">
        <f aca="false">Datos!B48/Datos!B46</f>
        <v>0.179335804099115</v>
      </c>
      <c r="C26" s="11" t="n">
        <f aca="false">Datos!C48/Datos!C46</f>
        <v>0.176016142053286</v>
      </c>
      <c r="D26" s="11" t="n">
        <f aca="false">Datos!D48/Datos!D46</f>
        <v>0.181670402987603</v>
      </c>
      <c r="E26" s="11" t="n">
        <f aca="false">Datos!E48/Datos!E46</f>
        <v>0.182375759473811</v>
      </c>
      <c r="F26" s="11" t="n">
        <f aca="false">Datos!F48/Datos!F46</f>
        <v>0.182650501060784</v>
      </c>
      <c r="G26" s="11" t="n">
        <f aca="false">AVERAGE(B26:F26)</f>
        <v>0.18040972193492</v>
      </c>
    </row>
    <row r="27" customFormat="false" ht="15" hidden="false" customHeight="false" outlineLevel="0" collapsed="false">
      <c r="A27" s="3" t="s">
        <v>29</v>
      </c>
      <c r="B27" s="10" t="n">
        <f aca="false">Datos!B35/Datos!B36</f>
        <v>6.52499716585421</v>
      </c>
      <c r="C27" s="10" t="n">
        <f aca="false">Datos!C35/Datos!C36</f>
        <v>5.90103310272081</v>
      </c>
      <c r="D27" s="10" t="n">
        <f aca="false">Datos!D35/Datos!D36</f>
        <v>8.34209867267719</v>
      </c>
      <c r="E27" s="10" t="n">
        <f aca="false">Datos!E35/Datos!E36</f>
        <v>6.37919602154994</v>
      </c>
      <c r="F27" s="10" t="n">
        <f aca="false">Datos!F35/Datos!F36</f>
        <v>6.07933276182312</v>
      </c>
      <c r="G27" s="10" t="n">
        <f aca="false">AVERAGE(B27:F27)</f>
        <v>6.64533154492505</v>
      </c>
    </row>
    <row r="28" customFormat="false" ht="15" hidden="false" customHeight="false" outlineLevel="0" collapsed="false">
      <c r="A28" s="3" t="s">
        <v>187</v>
      </c>
      <c r="B28" s="10" t="n">
        <f aca="false">Datos!B33/Datos!B44</f>
        <v>1.75045811224031</v>
      </c>
      <c r="C28" s="10" t="n">
        <f aca="false">Datos!C33/Datos!C44</f>
        <v>1.60498823720575</v>
      </c>
      <c r="D28" s="10" t="n">
        <f aca="false">Datos!D33/Datos!D44</f>
        <v>2.0000335036747</v>
      </c>
      <c r="E28" s="10" t="n">
        <f aca="false">Datos!E33/Datos!E44</f>
        <v>1.74596806086514</v>
      </c>
      <c r="F28" s="10" t="n">
        <f aca="false">Datos!F33/Datos!F44</f>
        <v>1.77461873040643</v>
      </c>
      <c r="G28" s="10" t="n">
        <f aca="false">AVERAGE(B28:F28)</f>
        <v>1.77521332887847</v>
      </c>
    </row>
    <row r="29" customFormat="false" ht="15" hidden="false" customHeight="false" outlineLevel="0" collapsed="false">
      <c r="A29" s="3" t="s">
        <v>31</v>
      </c>
      <c r="B29" s="12" t="n">
        <f aca="false">$B$3*Datos!B44/Datos!B33</f>
        <v>52.1292108402494</v>
      </c>
      <c r="C29" s="12" t="n">
        <f aca="false">$B$3*Datos!C44/Datos!C33</f>
        <v>56.853999228595</v>
      </c>
      <c r="D29" s="12" t="n">
        <f aca="false">$B$3*Datos!D44/Datos!D33</f>
        <v>45.6242357102241</v>
      </c>
      <c r="E29" s="12" t="n">
        <f aca="false">$B$3*Datos!E44/Datos!E33</f>
        <v>52.2632698989836</v>
      </c>
      <c r="F29" s="12" t="n">
        <f aca="false">$B$3*Datos!F44/Datos!F33</f>
        <v>51.4194956001065</v>
      </c>
      <c r="G29" s="12" t="n">
        <f aca="false">AVERAGE(B29:F29)</f>
        <v>51.6580422556317</v>
      </c>
    </row>
    <row r="30" customFormat="false" ht="15" hidden="false" customHeight="false" outlineLevel="0" collapsed="false">
      <c r="A30" s="3" t="s">
        <v>188</v>
      </c>
      <c r="B30" s="10" t="n">
        <f aca="false">Datos!B32/Datos!B46</f>
        <v>0.512007401901415</v>
      </c>
      <c r="C30" s="10" t="n">
        <f aca="false">Datos!C32/Datos!C46</f>
        <v>0.485629289743623</v>
      </c>
      <c r="D30" s="10" t="n">
        <f aca="false">Datos!D32/Datos!D46</f>
        <v>0.571097412277221</v>
      </c>
      <c r="E30" s="10" t="n">
        <f aca="false">Datos!E32/Datos!E46</f>
        <v>0.493153036778187</v>
      </c>
      <c r="F30" s="10" t="n">
        <f aca="false">Datos!F32/Datos!F46</f>
        <v>0.495996613081301</v>
      </c>
      <c r="G30" s="10" t="n">
        <f aca="false">AVERAGE(B30:F30)</f>
        <v>0.51157675075635</v>
      </c>
    </row>
    <row r="31" customFormat="false" ht="15" hidden="false" customHeight="false" outlineLevel="0" collapsed="false">
      <c r="A31" s="3" t="s">
        <v>33</v>
      </c>
      <c r="B31" s="11" t="n">
        <f aca="false">Datos!B34/Datos!B32</f>
        <v>0.241237698666985</v>
      </c>
      <c r="C31" s="11" t="n">
        <f aca="false">Datos!C34/Datos!C32</f>
        <v>0.247489857991174</v>
      </c>
      <c r="D31" s="11" t="n">
        <f aca="false">Datos!D34/Datos!D32</f>
        <v>0.240212367504533</v>
      </c>
      <c r="E31" s="11" t="n">
        <f aca="false">Datos!E34/Datos!E32</f>
        <v>0.243219185490075</v>
      </c>
      <c r="F31" s="11" t="n">
        <f aca="false">Datos!F34/Datos!F32</f>
        <v>0.239591660098236</v>
      </c>
      <c r="G31" s="11" t="n">
        <f aca="false">AVERAGE(B31:F31)</f>
        <v>0.242350153950201</v>
      </c>
    </row>
    <row r="32" customFormat="false" ht="15" hidden="false" customHeight="false" outlineLevel="0" collapsed="false">
      <c r="A32" s="3" t="s">
        <v>34</v>
      </c>
      <c r="B32" s="11" t="n">
        <f aca="false">Datos!B39/Datos!B32</f>
        <v>0.0455907685485463</v>
      </c>
      <c r="C32" s="11" t="n">
        <f aca="false">Datos!C39/Datos!C32</f>
        <v>0.0486389958272641</v>
      </c>
      <c r="D32" s="11" t="n">
        <f aca="false">Datos!D39/Datos!D32</f>
        <v>0.0516168857409228</v>
      </c>
      <c r="E32" s="11" t="n">
        <f aca="false">Datos!E39/Datos!E32</f>
        <v>0.0510149233629297</v>
      </c>
      <c r="F32" s="11" t="n">
        <f aca="false">Datos!F39/Datos!F32</f>
        <v>0.0444411148453981</v>
      </c>
      <c r="G32" s="11" t="n">
        <f aca="false">AVERAGE(B32:F32)</f>
        <v>0.0482605376650122</v>
      </c>
    </row>
    <row r="33" customFormat="false" ht="15" hidden="false" customHeight="false" outlineLevel="0" collapsed="false">
      <c r="A33" s="3" t="s">
        <v>189</v>
      </c>
      <c r="B33" s="4" t="n">
        <f aca="false">Datos!B39/Datos!B46</f>
        <v>0.0233428109552299</v>
      </c>
      <c r="C33" s="4" t="n">
        <f aca="false">Datos!C39/Datos!C46</f>
        <v>0.0236205209974373</v>
      </c>
      <c r="D33" s="4" t="n">
        <f aca="false">Datos!D39/Datos!D46</f>
        <v>0.02947826987645</v>
      </c>
      <c r="E33" s="4" t="n">
        <f aca="false">Datos!E39/Datos!E46</f>
        <v>0.0251581643774353</v>
      </c>
      <c r="F33" s="4" t="n">
        <f aca="false">Datos!F39/Datos!F46</f>
        <v>0.0220426424448746</v>
      </c>
      <c r="G33" s="4" t="n">
        <f aca="false">AVERAGE(B33:F33)</f>
        <v>0.0247284817302854</v>
      </c>
    </row>
    <row r="34" customFormat="false" ht="15" hidden="false" customHeight="false" outlineLevel="0" collapsed="false">
      <c r="A34" s="3" t="s">
        <v>190</v>
      </c>
      <c r="B34" s="4" t="n">
        <f aca="false">Datos!B39/Datos!B50</f>
        <v>0.0516076806813543</v>
      </c>
      <c r="C34" s="4" t="n">
        <f aca="false">Datos!C39/Datos!C50</f>
        <v>0.0525749521905521</v>
      </c>
      <c r="D34" s="4" t="n">
        <f aca="false">Datos!D39/Datos!D50</f>
        <v>0.0619738254631864</v>
      </c>
      <c r="E34" s="4" t="n">
        <f aca="false">Datos!E39/Datos!E50</f>
        <v>0.0494898619742969</v>
      </c>
      <c r="F34" s="4" t="n">
        <f aca="false">Datos!F39/Datos!F50</f>
        <v>0.0467382858828785</v>
      </c>
      <c r="G34" s="4" t="n">
        <f aca="false">AVERAGE(B34:F34)</f>
        <v>0.0524769212384537</v>
      </c>
    </row>
    <row r="35" customFormat="false" ht="15" hidden="false" customHeight="false" outlineLevel="0" collapsed="false">
      <c r="A35" s="3" t="s">
        <v>191</v>
      </c>
      <c r="B35" s="4" t="n">
        <f aca="false">Datos!B35*(1-WACC!$B$10)/(Datos!B50+Datos!B55)</f>
        <v>0.0407897512078852</v>
      </c>
      <c r="C35" s="4" t="n">
        <f aca="false">Datos!C35*(1-WACC!$B$10)/(Datos!C50+Datos!C55)</f>
        <v>0.0440246360945171</v>
      </c>
      <c r="D35" s="4" t="n">
        <f aca="false">Datos!D35*(1-WACC!$B$10)/(Datos!D50+Datos!D55)</f>
        <v>0.0515816858295184</v>
      </c>
      <c r="E35" s="4" t="n">
        <f aca="false">Datos!E35*(1-WACC!$B$10)/(Datos!E50+Datos!E55)</f>
        <v>0.0387315577490254</v>
      </c>
      <c r="F35" s="4" t="n">
        <f aca="false">Datos!F35*(1-WACC!$B$10)/(Datos!F50+Datos!F55)</f>
        <v>0.0370324815463774</v>
      </c>
      <c r="G35" s="4" t="n">
        <f aca="false">AVERAGE(B35:F35)</f>
        <v>0.0424320224854647</v>
      </c>
    </row>
    <row r="36" customFormat="false" ht="15" hidden="false" customHeight="false" outlineLevel="0" collapsed="false">
      <c r="B36" s="9"/>
      <c r="C36" s="9"/>
      <c r="D36" s="9"/>
      <c r="E36" s="9"/>
      <c r="F36" s="9"/>
      <c r="G36" s="34"/>
    </row>
    <row r="37" customFormat="false" ht="15" hidden="false" customHeight="false" outlineLevel="0" collapsed="false">
      <c r="B37" s="9"/>
      <c r="C37" s="9"/>
      <c r="D37" s="9"/>
      <c r="E37" s="9"/>
      <c r="F37" s="9"/>
      <c r="G37" s="34"/>
    </row>
    <row r="38" customFormat="false" ht="15" hidden="false" customHeight="false" outlineLevel="0" collapsed="false">
      <c r="A38" s="1" t="s">
        <v>193</v>
      </c>
      <c r="B38" s="1" t="s">
        <v>146</v>
      </c>
      <c r="C38" s="1" t="s">
        <v>147</v>
      </c>
      <c r="D38" s="1" t="s">
        <v>148</v>
      </c>
      <c r="E38" s="1" t="s">
        <v>149</v>
      </c>
      <c r="F38" s="1" t="s">
        <v>85</v>
      </c>
      <c r="G38" s="1" t="s">
        <v>186</v>
      </c>
      <c r="H38" s="2"/>
      <c r="I38" s="2"/>
    </row>
    <row r="39" customFormat="false" ht="15" hidden="false" customHeight="false" outlineLevel="0" collapsed="false">
      <c r="A39" s="3" t="s">
        <v>25</v>
      </c>
      <c r="B39" s="10" t="n">
        <f aca="false">Datos!B71/Datos!B73</f>
        <v>0.937522937640838</v>
      </c>
      <c r="C39" s="10" t="n">
        <f aca="false">Datos!C71/Datos!C73</f>
        <v>0.957139379565771</v>
      </c>
      <c r="D39" s="10" t="n">
        <f aca="false">Datos!D71/Datos!D73</f>
        <v>0.920796664711795</v>
      </c>
      <c r="E39" s="10" t="n">
        <f aca="false">Datos!E71/Datos!E73</f>
        <v>0.954451800175297</v>
      </c>
      <c r="F39" s="10" t="n">
        <f aca="false">Datos!F71/Datos!F73</f>
        <v>0.898749241923742</v>
      </c>
      <c r="G39" s="10" t="n">
        <f aca="false">AVERAGE(B39:F39)</f>
        <v>0.933732004803489</v>
      </c>
    </row>
    <row r="40" customFormat="false" ht="15" hidden="false" customHeight="false" outlineLevel="0" collapsed="false">
      <c r="A40" s="3" t="s">
        <v>26</v>
      </c>
      <c r="B40" s="10" t="n">
        <f aca="false">(Datos!B71-Datos!B70)/Datos!B73</f>
        <v>0.39513349094508</v>
      </c>
      <c r="C40" s="10" t="n">
        <f aca="false">(Datos!C71-Datos!C70)/Datos!C73</f>
        <v>0.416365247921711</v>
      </c>
      <c r="D40" s="10" t="n">
        <f aca="false">(Datos!D71-Datos!D70)/Datos!D73</f>
        <v>0.43735519652769</v>
      </c>
      <c r="E40" s="10" t="n">
        <f aca="false">(Datos!E71-Datos!E70)/Datos!E73</f>
        <v>0.407568559893739</v>
      </c>
      <c r="F40" s="10" t="n">
        <f aca="false">(Datos!F71-Datos!F70)/Datos!F73</f>
        <v>0.377359573256257</v>
      </c>
      <c r="G40" s="10" t="n">
        <f aca="false">AVERAGE(B40:F40)</f>
        <v>0.406756413708896</v>
      </c>
    </row>
    <row r="41" customFormat="false" ht="15" hidden="false" customHeight="false" outlineLevel="0" collapsed="false">
      <c r="A41" s="3" t="s">
        <v>27</v>
      </c>
      <c r="B41" s="11" t="n">
        <f aca="false">Datos!B75/Datos!B72</f>
        <v>0.66825911314506</v>
      </c>
      <c r="C41" s="11" t="n">
        <f aca="false">Datos!C75/Datos!C72</f>
        <v>0.667796060114136</v>
      </c>
      <c r="D41" s="11" t="n">
        <f aca="false">Datos!D75/Datos!D72</f>
        <v>0.673566363220098</v>
      </c>
      <c r="E41" s="11" t="n">
        <f aca="false">Datos!E75/Datos!E72</f>
        <v>0.654436750497438</v>
      </c>
      <c r="F41" s="11" t="n">
        <f aca="false">Datos!F75/Datos!F72</f>
        <v>0.651455148447524</v>
      </c>
      <c r="G41" s="11" t="n">
        <f aca="false">AVERAGE(B41:F41)</f>
        <v>0.663102687084851</v>
      </c>
    </row>
    <row r="42" customFormat="false" ht="15" hidden="false" customHeight="false" outlineLevel="0" collapsed="false">
      <c r="A42" s="3" t="s">
        <v>28</v>
      </c>
      <c r="B42" s="11" t="n">
        <f aca="false">Datos!B74/Datos!B72</f>
        <v>0.395510036909384</v>
      </c>
      <c r="C42" s="11" t="n">
        <f aca="false">Datos!C74/Datos!C72</f>
        <v>0.388223337973526</v>
      </c>
      <c r="D42" s="11" t="n">
        <f aca="false">Datos!D74/Datos!D72</f>
        <v>0.371348715411883</v>
      </c>
      <c r="E42" s="11" t="n">
        <f aca="false">Datos!E74/Datos!E72</f>
        <v>0.377511105913753</v>
      </c>
      <c r="F42" s="11" t="n">
        <f aca="false">Datos!F74/Datos!F72</f>
        <v>0.368056223522841</v>
      </c>
      <c r="G42" s="11" t="n">
        <f aca="false">AVERAGE(B42:F42)</f>
        <v>0.380129883946277</v>
      </c>
    </row>
    <row r="43" customFormat="false" ht="15" hidden="false" customHeight="false" outlineLevel="0" collapsed="false">
      <c r="A43" s="3" t="s">
        <v>29</v>
      </c>
      <c r="B43" s="10" t="n">
        <f aca="false">Datos!B61/Datos!B62</f>
        <v>4.82398024074495</v>
      </c>
      <c r="C43" s="10" t="n">
        <f aca="false">Datos!C61/Datos!C62</f>
        <v>3.96659606015675</v>
      </c>
      <c r="D43" s="10" t="n">
        <f aca="false">Datos!D61/Datos!D62</f>
        <v>3.39246735121125</v>
      </c>
      <c r="E43" s="10" t="n">
        <f aca="false">Datos!E61/Datos!E62</f>
        <v>4.06832762241627</v>
      </c>
      <c r="F43" s="10" t="n">
        <f aca="false">Datos!F61/Datos!F62</f>
        <v>4.50072156862745</v>
      </c>
      <c r="G43" s="10" t="n">
        <f aca="false">AVERAGE(B43:F43)</f>
        <v>4.15041856863133</v>
      </c>
    </row>
    <row r="44" customFormat="false" ht="15" hidden="false" customHeight="false" outlineLevel="0" collapsed="false">
      <c r="A44" s="3" t="s">
        <v>187</v>
      </c>
      <c r="B44" s="10" t="n">
        <f aca="false">Datos!B59/Datos!B70</f>
        <v>2.4460256416131</v>
      </c>
      <c r="C44" s="10" t="n">
        <f aca="false">Datos!C59/Datos!C70</f>
        <v>2.30036649684643</v>
      </c>
      <c r="D44" s="10" t="n">
        <f aca="false">Datos!D59/Datos!D70</f>
        <v>2.57511224336714</v>
      </c>
      <c r="E44" s="10" t="n">
        <f aca="false">Datos!E59/Datos!E70</f>
        <v>2.23335509779787</v>
      </c>
      <c r="F44" s="10" t="n">
        <f aca="false">Datos!F59/Datos!F70</f>
        <v>2.36189240176749</v>
      </c>
      <c r="G44" s="10" t="n">
        <f aca="false">AVERAGE(B44:F44)</f>
        <v>2.38335037627841</v>
      </c>
    </row>
    <row r="45" customFormat="false" ht="15" hidden="false" customHeight="false" outlineLevel="0" collapsed="false">
      <c r="A45" s="3" t="s">
        <v>31</v>
      </c>
      <c r="B45" s="12" t="n">
        <f aca="false">$B$3*Datos!B70/Datos!B59</f>
        <v>37.3054143209319</v>
      </c>
      <c r="C45" s="12" t="n">
        <f aca="false">$B$3*Datos!C70/Datos!C59</f>
        <v>39.6675921532914</v>
      </c>
      <c r="D45" s="12" t="n">
        <f aca="false">$B$3*Datos!D70/Datos!D59</f>
        <v>35.4353485891878</v>
      </c>
      <c r="E45" s="12" t="n">
        <f aca="false">$B$3*Datos!E70/Datos!E59</f>
        <v>40.8578107843102</v>
      </c>
      <c r="F45" s="12" t="n">
        <f aca="false">$B$3*Datos!F70/Datos!F59</f>
        <v>38.6342747585428</v>
      </c>
      <c r="G45" s="12" t="n">
        <f aca="false">AVERAGE(B45:F45)</f>
        <v>38.3800881212528</v>
      </c>
    </row>
    <row r="46" customFormat="false" ht="15" hidden="false" customHeight="false" outlineLevel="0" collapsed="false">
      <c r="A46" s="3" t="s">
        <v>188</v>
      </c>
      <c r="B46" s="10" t="n">
        <f aca="false">Datos!B58/Datos!B72</f>
        <v>0.476990534264771</v>
      </c>
      <c r="C46" s="10" t="n">
        <f aca="false">Datos!C58/Datos!C72</f>
        <v>0.461173047922461</v>
      </c>
      <c r="D46" s="10" t="n">
        <f aca="false">Datos!D58/Datos!D72</f>
        <v>0.469060859196506</v>
      </c>
      <c r="E46" s="10" t="n">
        <f aca="false">Datos!E58/Datos!E72</f>
        <v>0.446741190517086</v>
      </c>
      <c r="F46" s="10" t="n">
        <f aca="false">Datos!F58/Datos!F72</f>
        <v>0.464301175291543</v>
      </c>
      <c r="G46" s="10" t="n">
        <f aca="false">AVERAGE(B46:F46)</f>
        <v>0.463653361438474</v>
      </c>
    </row>
    <row r="47" customFormat="false" ht="15" hidden="false" customHeight="false" outlineLevel="0" collapsed="false">
      <c r="A47" s="3" t="s">
        <v>33</v>
      </c>
      <c r="B47" s="11" t="n">
        <f aca="false">Datos!B60/Datos!B58</f>
        <v>0.24137742201276</v>
      </c>
      <c r="C47" s="11" t="n">
        <f aca="false">Datos!C60/Datos!C58</f>
        <v>0.245874164686016</v>
      </c>
      <c r="D47" s="11" t="n">
        <f aca="false">Datos!D60/Datos!D58</f>
        <v>0.197895985007512</v>
      </c>
      <c r="E47" s="11" t="n">
        <f aca="false">Datos!E60/Datos!E58</f>
        <v>0.242888971211566</v>
      </c>
      <c r="F47" s="11" t="n">
        <f aca="false">Datos!F60/Datos!F58</f>
        <v>0.248340854681367</v>
      </c>
      <c r="G47" s="11" t="n">
        <f aca="false">AVERAGE(B47:F47)</f>
        <v>0.235275479519844</v>
      </c>
    </row>
    <row r="48" customFormat="false" ht="15" hidden="false" customHeight="false" outlineLevel="0" collapsed="false">
      <c r="A48" s="3" t="s">
        <v>34</v>
      </c>
      <c r="B48" s="11" t="n">
        <f aca="false">Datos!B65/Datos!B58</f>
        <v>0.0279130287324365</v>
      </c>
      <c r="C48" s="11" t="n">
        <f aca="false">Datos!C65/Datos!C58</f>
        <v>0.0229400474497901</v>
      </c>
      <c r="D48" s="11" t="n">
        <f aca="false">Datos!D65/Datos!D58</f>
        <v>0.0178694852751295</v>
      </c>
      <c r="E48" s="11" t="n">
        <f aca="false">Datos!E65/Datos!E58</f>
        <v>0.0226841703730975</v>
      </c>
      <c r="F48" s="11" t="n">
        <f aca="false">Datos!F65/Datos!F58</f>
        <v>0.0256871983112193</v>
      </c>
      <c r="G48" s="11" t="n">
        <f aca="false">AVERAGE(B48:F48)</f>
        <v>0.0234187860283346</v>
      </c>
    </row>
    <row r="49" customFormat="false" ht="15" hidden="false" customHeight="false" outlineLevel="0" collapsed="false">
      <c r="A49" s="3" t="s">
        <v>189</v>
      </c>
      <c r="B49" s="4" t="n">
        <f aca="false">Datos!B65/Datos!B72</f>
        <v>0.0133142504880328</v>
      </c>
      <c r="C49" s="4" t="n">
        <f aca="false">Datos!C65/Datos!C72</f>
        <v>0.0105793316019056</v>
      </c>
      <c r="D49" s="4" t="n">
        <f aca="false">Datos!D65/Datos!D72</f>
        <v>0.00838187611655157</v>
      </c>
      <c r="E49" s="4" t="n">
        <f aca="false">Datos!E65/Datos!E72</f>
        <v>0.01013395327837</v>
      </c>
      <c r="F49" s="4" t="n">
        <f aca="false">Datos!F65/Datos!F72</f>
        <v>0.011926596365846</v>
      </c>
      <c r="G49" s="4" t="n">
        <f aca="false">AVERAGE(B49:F49)</f>
        <v>0.0108672015701412</v>
      </c>
    </row>
    <row r="50" customFormat="false" ht="15" hidden="false" customHeight="false" outlineLevel="0" collapsed="false">
      <c r="A50" s="3" t="s">
        <v>190</v>
      </c>
      <c r="B50" s="4" t="n">
        <f aca="false">Datos!B65/Datos!B76</f>
        <v>0.0401344875341058</v>
      </c>
      <c r="C50" s="4" t="n">
        <f aca="false">Datos!C65/Datos!C76</f>
        <v>0.0318458944392422</v>
      </c>
      <c r="D50" s="4" t="n">
        <f aca="false">Datos!D65/Datos!D76</f>
        <v>0.0256771213874723</v>
      </c>
      <c r="E50" s="4" t="n">
        <f aca="false">Datos!E65/Datos!E76</f>
        <v>0.0293258999414949</v>
      </c>
      <c r="F50" s="4" t="n">
        <f aca="false">Datos!F65/Datos!F76</f>
        <v>0.0342182543013418</v>
      </c>
      <c r="G50" s="4" t="n">
        <f aca="false">AVERAGE(B50:F50)</f>
        <v>0.0322403315207314</v>
      </c>
    </row>
    <row r="51" customFormat="false" ht="15" hidden="false" customHeight="false" outlineLevel="0" collapsed="false">
      <c r="A51" s="3" t="s">
        <v>191</v>
      </c>
      <c r="B51" s="4" t="n">
        <f aca="false">Datos!B61*(1-WACC!$B$10)/(Datos!B76+Datos!B81)</f>
        <v>0.0267542463376298</v>
      </c>
      <c r="C51" s="4" t="n">
        <f aca="false">Datos!C61*(1-WACC!$B$10)/(Datos!C76+Datos!C81)</f>
        <v>0.0237788082734459</v>
      </c>
      <c r="D51" s="4" t="n">
        <f aca="false">Datos!D61*(1-WACC!$B$10)/(Datos!D76+Datos!D81)</f>
        <v>0.0217298230036887</v>
      </c>
      <c r="E51" s="4" t="n">
        <f aca="false">Datos!E61*(1-WACC!$B$10)/(Datos!E76+Datos!E81)</f>
        <v>0.0231400062097526</v>
      </c>
      <c r="F51" s="4" t="n">
        <f aca="false">Datos!F61*(1-WACC!$B$10)/(Datos!F76+Datos!F81)</f>
        <v>0.0260485843977693</v>
      </c>
      <c r="G51" s="4" t="n">
        <f aca="false">AVERAGE(B51:F51)</f>
        <v>0.0242902936444572</v>
      </c>
    </row>
    <row r="52" customFormat="false" ht="15" hidden="false" customHeight="false" outlineLevel="0" collapsed="false">
      <c r="B52" s="9"/>
      <c r="C52" s="9"/>
      <c r="D52" s="9"/>
      <c r="E52" s="9"/>
      <c r="F52" s="9"/>
      <c r="G52" s="34"/>
    </row>
    <row r="53" customFormat="false" ht="15" hidden="false" customHeight="false" outlineLevel="0" collapsed="false">
      <c r="B53" s="9"/>
      <c r="C53" s="9"/>
      <c r="D53" s="9"/>
      <c r="E53" s="9"/>
      <c r="F53" s="9"/>
      <c r="G53" s="34"/>
    </row>
    <row r="54" customFormat="false" ht="15" hidden="false" customHeight="false" outlineLevel="0" collapsed="false">
      <c r="A54" s="1" t="s">
        <v>194</v>
      </c>
      <c r="B54" s="1" t="s">
        <v>146</v>
      </c>
      <c r="C54" s="1" t="s">
        <v>147</v>
      </c>
      <c r="D54" s="1" t="s">
        <v>148</v>
      </c>
      <c r="E54" s="1" t="s">
        <v>149</v>
      </c>
      <c r="F54" s="1" t="s">
        <v>85</v>
      </c>
      <c r="G54" s="1" t="s">
        <v>186</v>
      </c>
      <c r="H54" s="2"/>
      <c r="I54" s="2"/>
    </row>
    <row r="55" customFormat="false" ht="15" hidden="false" customHeight="false" outlineLevel="0" collapsed="false">
      <c r="A55" s="3" t="s">
        <v>25</v>
      </c>
      <c r="B55" s="10" t="n">
        <f aca="false">Datos!B97/Datos!B99</f>
        <v>1.24046331844539</v>
      </c>
      <c r="C55" s="10" t="n">
        <f aca="false">Datos!C97/Datos!C99</f>
        <v>1.31777617138726</v>
      </c>
      <c r="D55" s="10" t="n">
        <f aca="false">Datos!D97/Datos!D99</f>
        <v>1.20703724410292</v>
      </c>
      <c r="E55" s="10" t="n">
        <f aca="false">Datos!E97/Datos!E99</f>
        <v>1.25660718591753</v>
      </c>
      <c r="F55" s="10" t="n">
        <f aca="false">Datos!F97/Datos!F99</f>
        <v>1.12334774295453</v>
      </c>
      <c r="G55" s="10" t="n">
        <f aca="false">AVERAGE(B55:F55)</f>
        <v>1.22904633256153</v>
      </c>
    </row>
    <row r="56" customFormat="false" ht="15" hidden="false" customHeight="false" outlineLevel="0" collapsed="false">
      <c r="A56" s="3" t="s">
        <v>26</v>
      </c>
      <c r="B56" s="10" t="n">
        <f aca="false">(Datos!B97-Datos!B96)/Datos!B99</f>
        <v>0.506280572391348</v>
      </c>
      <c r="C56" s="10" t="n">
        <f aca="false">(Datos!C97-Datos!C96)/Datos!C99</f>
        <v>0.526529539331011</v>
      </c>
      <c r="D56" s="10" t="n">
        <f aca="false">(Datos!D97-Datos!D96)/Datos!D99</f>
        <v>0.500089214555057</v>
      </c>
      <c r="E56" s="10" t="n">
        <f aca="false">(Datos!E97-Datos!E96)/Datos!E99</f>
        <v>0.51120086809742</v>
      </c>
      <c r="F56" s="10" t="n">
        <f aca="false">(Datos!F97-Datos!F96)/Datos!F99</f>
        <v>0.3579786349655</v>
      </c>
      <c r="G56" s="10" t="n">
        <f aca="false">AVERAGE(B56:F56)</f>
        <v>0.480415765868067</v>
      </c>
    </row>
    <row r="57" customFormat="false" ht="15" hidden="false" customHeight="false" outlineLevel="0" collapsed="false">
      <c r="A57" s="3" t="s">
        <v>27</v>
      </c>
      <c r="B57" s="11" t="n">
        <f aca="false">Datos!B101/Datos!B98</f>
        <v>0.270215897333912</v>
      </c>
      <c r="C57" s="11" t="n">
        <f aca="false">Datos!C101/Datos!C98</f>
        <v>0.243457093520626</v>
      </c>
      <c r="D57" s="11" t="n">
        <f aca="false">Datos!D101/Datos!D98</f>
        <v>0.254482501103228</v>
      </c>
      <c r="E57" s="11" t="n">
        <f aca="false">Datos!E101/Datos!E98</f>
        <v>0.249069369405603</v>
      </c>
      <c r="F57" s="11" t="n">
        <f aca="false">Datos!F101/Datos!F98</f>
        <v>0.271964126870899</v>
      </c>
      <c r="G57" s="11" t="n">
        <f aca="false">AVERAGE(B57:F57)</f>
        <v>0.257837797646854</v>
      </c>
    </row>
    <row r="58" customFormat="false" ht="15" hidden="false" customHeight="false" outlineLevel="0" collapsed="false">
      <c r="A58" s="3" t="s">
        <v>28</v>
      </c>
      <c r="B58" s="11" t="n">
        <f aca="false">Datos!B100/Datos!B98</f>
        <v>0.0631592247595011</v>
      </c>
      <c r="C58" s="11" t="n">
        <f aca="false">Datos!C100/Datos!C98</f>
        <v>0.0663925231904902</v>
      </c>
      <c r="D58" s="11" t="n">
        <f aca="false">Datos!D100/Datos!D98</f>
        <v>0.0642361700442423</v>
      </c>
      <c r="E58" s="11" t="n">
        <f aca="false">Datos!E100/Datos!E98</f>
        <v>0.0637476371143972</v>
      </c>
      <c r="F58" s="11" t="n">
        <f aca="false">Datos!F100/Datos!F98</f>
        <v>0.0651994551134679</v>
      </c>
      <c r="G58" s="11" t="n">
        <f aca="false">AVERAGE(B58:F58)</f>
        <v>0.0645470020444197</v>
      </c>
    </row>
    <row r="59" customFormat="false" ht="15" hidden="false" customHeight="false" outlineLevel="0" collapsed="false">
      <c r="A59" s="3" t="s">
        <v>29</v>
      </c>
      <c r="B59" s="10" t="n">
        <f aca="false">Datos!B87/Datos!B88</f>
        <v>11.3780487804878</v>
      </c>
      <c r="C59" s="10" t="n">
        <f aca="false">Datos!C87/Datos!C88</f>
        <v>10.9387222946545</v>
      </c>
      <c r="D59" s="10" t="n">
        <f aca="false">Datos!D87/Datos!D88</f>
        <v>10.9795069337442</v>
      </c>
      <c r="E59" s="10" t="n">
        <f aca="false">Datos!E87/Datos!E88</f>
        <v>13.6616643929059</v>
      </c>
      <c r="F59" s="10" t="n">
        <f aca="false">Datos!F87/Datos!F88</f>
        <v>12.2657894736842</v>
      </c>
      <c r="G59" s="10" t="n">
        <f aca="false">AVERAGE(B59:F59)</f>
        <v>11.8447463750953</v>
      </c>
    </row>
    <row r="60" customFormat="false" ht="15" hidden="false" customHeight="false" outlineLevel="0" collapsed="false">
      <c r="A60" s="3" t="s">
        <v>187</v>
      </c>
      <c r="B60" s="10" t="n">
        <f aca="false">Datos!B85/Datos!B96</f>
        <v>1.31486351849098</v>
      </c>
      <c r="C60" s="10" t="n">
        <f aca="false">Datos!C85/Datos!C96</f>
        <v>1.37980465765257</v>
      </c>
      <c r="D60" s="10" t="n">
        <f aca="false">Datos!D85/Datos!D96</f>
        <v>1.46292170752638</v>
      </c>
      <c r="E60" s="10" t="n">
        <f aca="false">Datos!E85/Datos!E96</f>
        <v>1.34706586438923</v>
      </c>
      <c r="F60" s="10" t="n">
        <f aca="false">Datos!F85/Datos!F96</f>
        <v>1.23969152648229</v>
      </c>
      <c r="G60" s="10" t="n">
        <f aca="false">AVERAGE(B60:F60)</f>
        <v>1.34886945490829</v>
      </c>
    </row>
    <row r="61" customFormat="false" ht="15" hidden="false" customHeight="false" outlineLevel="0" collapsed="false">
      <c r="A61" s="3" t="s">
        <v>31</v>
      </c>
      <c r="B61" s="12" t="n">
        <f aca="false">$B$3*Datos!B96/Datos!B85</f>
        <v>69.3988377628153</v>
      </c>
      <c r="C61" s="12" t="n">
        <f aca="false">$B$3*Datos!C96/Datos!C85</f>
        <v>66.132549628613</v>
      </c>
      <c r="D61" s="12" t="n">
        <f aca="false">$B$3*Datos!D96/Datos!D85</f>
        <v>62.3751766964295</v>
      </c>
      <c r="E61" s="12" t="n">
        <f aca="false">$B$3*Datos!E96/Datos!E85</f>
        <v>67.7398206073414</v>
      </c>
      <c r="F61" s="12" t="n">
        <f aca="false">$B$3*Datos!F96/Datos!F85</f>
        <v>73.6070208198714</v>
      </c>
      <c r="G61" s="12" t="n">
        <f aca="false">AVERAGE(B61:F61)</f>
        <v>67.8506811030141</v>
      </c>
    </row>
    <row r="62" customFormat="false" ht="15" hidden="false" customHeight="false" outlineLevel="0" collapsed="false">
      <c r="A62" s="3" t="s">
        <v>188</v>
      </c>
      <c r="B62" s="10" t="n">
        <f aca="false">Datos!B84/Datos!B98</f>
        <v>0.280460051145224</v>
      </c>
      <c r="C62" s="10" t="n">
        <f aca="false">Datos!C84/Datos!C98</f>
        <v>0.274916104649269</v>
      </c>
      <c r="D62" s="10" t="n">
        <f aca="false">Datos!D84/Datos!D98</f>
        <v>0.280715344490082</v>
      </c>
      <c r="E62" s="10" t="n">
        <f aca="false">Datos!E84/Datos!E98</f>
        <v>0.268274099198742</v>
      </c>
      <c r="F62" s="10" t="n">
        <f aca="false">Datos!F84/Datos!F98</f>
        <v>0.277881388343382</v>
      </c>
      <c r="G62" s="10" t="n">
        <f aca="false">AVERAGE(B62:F62)</f>
        <v>0.27644939756534</v>
      </c>
    </row>
    <row r="63" customFormat="false" ht="15" hidden="false" customHeight="false" outlineLevel="0" collapsed="false">
      <c r="A63" s="3" t="s">
        <v>33</v>
      </c>
      <c r="B63" s="11" t="n">
        <f aca="false">Datos!B86/Datos!B84</f>
        <v>0.287306051043932</v>
      </c>
      <c r="C63" s="11" t="n">
        <f aca="false">Datos!C86/Datos!C84</f>
        <v>0.296828970981614</v>
      </c>
      <c r="D63" s="11" t="n">
        <f aca="false">Datos!D86/Datos!D84</f>
        <v>0.299095723368904</v>
      </c>
      <c r="E63" s="11" t="n">
        <f aca="false">Datos!E86/Datos!E84</f>
        <v>0.306367384333486</v>
      </c>
      <c r="F63" s="11" t="n">
        <f aca="false">Datos!F86/Datos!F84</f>
        <v>0.294005304219406</v>
      </c>
      <c r="G63" s="11" t="n">
        <f aca="false">AVERAGE(B63:F63)</f>
        <v>0.296720686789468</v>
      </c>
    </row>
    <row r="64" customFormat="false" ht="15" hidden="false" customHeight="false" outlineLevel="0" collapsed="false">
      <c r="A64" s="3" t="s">
        <v>34</v>
      </c>
      <c r="B64" s="11" t="n">
        <f aca="false">Datos!B91/Datos!B84</f>
        <v>0.0656442620538561</v>
      </c>
      <c r="C64" s="11" t="n">
        <f aca="false">Datos!C91/Datos!C84</f>
        <v>0.0542528696712152</v>
      </c>
      <c r="D64" s="11" t="n">
        <f aca="false">Datos!D91/Datos!D84</f>
        <v>0.0408089394158036</v>
      </c>
      <c r="E64" s="11" t="n">
        <f aca="false">Datos!E91/Datos!E84</f>
        <v>0.0618165160538042</v>
      </c>
      <c r="F64" s="11" t="n">
        <f aca="false">Datos!F91/Datos!F84</f>
        <v>0.0518901114195359</v>
      </c>
      <c r="G64" s="11" t="n">
        <f aca="false">AVERAGE(B64:F64)</f>
        <v>0.054882539722843</v>
      </c>
    </row>
    <row r="65" customFormat="false" ht="15" hidden="false" customHeight="false" outlineLevel="0" collapsed="false">
      <c r="A65" s="3" t="s">
        <v>189</v>
      </c>
      <c r="B65" s="4" t="n">
        <f aca="false">Datos!B91/Datos!B98</f>
        <v>0.0184105930930149</v>
      </c>
      <c r="C65" s="4" t="n">
        <f aca="false">Datos!C91/Datos!C98</f>
        <v>0.0149149875960549</v>
      </c>
      <c r="D65" s="4" t="n">
        <f aca="false">Datos!D91/Datos!D98</f>
        <v>0.0114556954863822</v>
      </c>
      <c r="E65" s="4" t="n">
        <f aca="false">Datos!E91/Datos!E98</f>
        <v>0.0165837701599389</v>
      </c>
      <c r="F65" s="4" t="n">
        <f aca="false">Datos!F91/Datos!F98</f>
        <v>0.0144192962025534</v>
      </c>
      <c r="G65" s="4" t="n">
        <f aca="false">AVERAGE(B65:F65)</f>
        <v>0.0151568685075889</v>
      </c>
    </row>
    <row r="66" customFormat="false" ht="15" hidden="false" customHeight="false" outlineLevel="0" collapsed="false">
      <c r="A66" s="3" t="s">
        <v>190</v>
      </c>
      <c r="B66" s="4" t="n">
        <f aca="false">Datos!B91/Datos!B102</f>
        <v>0.0252274515514333</v>
      </c>
      <c r="C66" s="4" t="n">
        <f aca="false">Datos!C91/Datos!C102</f>
        <v>0.0197146618761689</v>
      </c>
      <c r="D66" s="4" t="n">
        <f aca="false">Datos!D91/Datos!D102</f>
        <v>0.015366098721136</v>
      </c>
      <c r="E66" s="4" t="n">
        <f aca="false">Datos!E91/Datos!E102</f>
        <v>0.0220842904581107</v>
      </c>
      <c r="F66" s="4" t="n">
        <f aca="false">Datos!F91/Datos!F102</f>
        <v>0.0198057495993696</v>
      </c>
      <c r="G66" s="4" t="n">
        <f aca="false">AVERAGE(B66:F66)</f>
        <v>0.0204396504412437</v>
      </c>
    </row>
    <row r="67" customFormat="false" ht="15" hidden="false" customHeight="false" outlineLevel="0" collapsed="false">
      <c r="A67" s="3" t="s">
        <v>191</v>
      </c>
      <c r="B67" s="4" t="n">
        <f aca="false">Datos!B87*(1-WACC!$B$10)/(Datos!B102+Datos!B107)</f>
        <v>0.021015885699746</v>
      </c>
      <c r="C67" s="4" t="n">
        <f aca="false">Datos!C87*(1-WACC!$B$10)/(Datos!C102+Datos!C107)</f>
        <v>0.0168408194164067</v>
      </c>
      <c r="D67" s="4" t="n">
        <f aca="false">Datos!D87*(1-WACC!$B$10)/(Datos!D102+Datos!D107)</f>
        <v>0.0140963004202334</v>
      </c>
      <c r="E67" s="4" t="n">
        <f aca="false">Datos!E87*(1-WACC!$B$10)/(Datos!E102+Datos!E107)</f>
        <v>0.0194435814933984</v>
      </c>
      <c r="F67" s="4" t="n">
        <f aca="false">Datos!F87*(1-WACC!$B$10)/(Datos!F102+Datos!F107)</f>
        <v>0.0179104887273765</v>
      </c>
      <c r="G67" s="4" t="n">
        <f aca="false">AVERAGE(B67:F67)</f>
        <v>0.0178614151514322</v>
      </c>
    </row>
    <row r="69" customFormat="false" ht="15" hidden="false" customHeight="false" outlineLevel="0" collapsed="false">
      <c r="A69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33" activeCellId="0" sqref="A33"/>
    </sheetView>
  </sheetViews>
  <sheetFormatPr defaultColWidth="11.5078125" defaultRowHeight="15" zeroHeight="false" outlineLevelRow="0" outlineLevelCol="0"/>
  <cols>
    <col collapsed="false" customWidth="true" hidden="false" outlineLevel="0" max="1" min="1" style="0" width="55.5"/>
    <col collapsed="false" customWidth="true" hidden="false" outlineLevel="0" max="2" min="2" style="0" width="37"/>
    <col collapsed="false" customWidth="true" hidden="false" outlineLevel="0" max="6" min="3" style="0" width="16.67"/>
  </cols>
  <sheetData>
    <row r="1" customFormat="false" ht="18.75" hidden="false" customHeight="true" outlineLevel="0" collapsed="false">
      <c r="A1" s="13"/>
      <c r="C1" s="35"/>
      <c r="D1" s="35"/>
      <c r="E1" s="35"/>
      <c r="F1" s="35"/>
    </row>
    <row r="2" customFormat="false" ht="15" hidden="false" customHeight="false" outlineLevel="0" collapsed="false">
      <c r="A2" s="14"/>
      <c r="C2" s="35"/>
      <c r="D2" s="35"/>
      <c r="E2" s="35"/>
      <c r="F2" s="35"/>
    </row>
    <row r="3" customFormat="false" ht="15" hidden="false" customHeight="false" outlineLevel="0" collapsed="false">
      <c r="A3" s="1" t="s">
        <v>195</v>
      </c>
      <c r="B3" s="1" t="s">
        <v>1</v>
      </c>
      <c r="C3" s="1" t="s">
        <v>2</v>
      </c>
      <c r="D3" s="1" t="s">
        <v>3</v>
      </c>
      <c r="E3" s="1" t="s">
        <v>4</v>
      </c>
      <c r="F3" s="2"/>
      <c r="G3" s="2"/>
      <c r="H3" s="2"/>
      <c r="I3" s="2"/>
      <c r="J3" s="2"/>
    </row>
    <row r="4" customFormat="false" ht="15" hidden="false" customHeight="false" outlineLevel="0" collapsed="false">
      <c r="A4" s="1" t="s">
        <v>196</v>
      </c>
      <c r="B4" s="1"/>
      <c r="C4" s="1"/>
      <c r="D4" s="1"/>
      <c r="E4" s="1"/>
      <c r="F4" s="2"/>
      <c r="G4" s="2"/>
      <c r="H4" s="2"/>
      <c r="I4" s="2"/>
      <c r="J4" s="2"/>
    </row>
    <row r="5" customFormat="false" ht="15" hidden="false" customHeight="false" outlineLevel="0" collapsed="false">
      <c r="A5" s="3" t="s">
        <v>197</v>
      </c>
      <c r="B5" s="4" t="n">
        <v>0.09517</v>
      </c>
      <c r="C5" s="4" t="n">
        <f aca="false">$B$5</f>
        <v>0.09517</v>
      </c>
      <c r="D5" s="4" t="n">
        <f aca="false">$B$5</f>
        <v>0.09517</v>
      </c>
      <c r="E5" s="4" t="n">
        <f aca="false">$B$5</f>
        <v>0.09517</v>
      </c>
    </row>
    <row r="6" customFormat="false" ht="15" hidden="false" customHeight="false" outlineLevel="0" collapsed="false">
      <c r="A6" s="3" t="s">
        <v>198</v>
      </c>
      <c r="B6" s="4" t="n">
        <v>0.0423</v>
      </c>
      <c r="C6" s="4" t="n">
        <f aca="false">$B$6</f>
        <v>0.0423</v>
      </c>
      <c r="D6" s="4" t="n">
        <f aca="false">$B$6</f>
        <v>0.0423</v>
      </c>
      <c r="E6" s="4" t="n">
        <f aca="false">$B$6</f>
        <v>0.0423</v>
      </c>
    </row>
    <row r="7" customFormat="false" ht="15" hidden="false" customHeight="false" outlineLevel="0" collapsed="false">
      <c r="A7" s="3" t="s">
        <v>199</v>
      </c>
      <c r="B7" s="4" t="n">
        <v>0.0246</v>
      </c>
      <c r="C7" s="4" t="n">
        <f aca="false">$B$7</f>
        <v>0.0246</v>
      </c>
      <c r="D7" s="4" t="n">
        <f aca="false">$B$7</f>
        <v>0.0246</v>
      </c>
      <c r="E7" s="4" t="n">
        <f aca="false">$B$7</f>
        <v>0.0246</v>
      </c>
    </row>
    <row r="8" customFormat="false" ht="15" hidden="false" customHeight="false" outlineLevel="0" collapsed="false">
      <c r="A8" s="3" t="s">
        <v>200</v>
      </c>
      <c r="B8" s="4" t="n">
        <f aca="false">B6</f>
        <v>0.0423</v>
      </c>
      <c r="C8" s="4" t="n">
        <f aca="false">C6</f>
        <v>0.0423</v>
      </c>
      <c r="D8" s="4" t="n">
        <f aca="false">D6</f>
        <v>0.0423</v>
      </c>
      <c r="E8" s="4" t="n">
        <f aca="false">E6</f>
        <v>0.0423</v>
      </c>
    </row>
    <row r="9" customFormat="false" ht="15" hidden="false" customHeight="false" outlineLevel="0" collapsed="false">
      <c r="A9" s="3" t="s">
        <v>201</v>
      </c>
      <c r="B9" s="24" t="n">
        <f aca="false">'Beta y Kd'!B28</f>
        <v>0.65</v>
      </c>
      <c r="C9" s="24" t="n">
        <f aca="false">$B$9</f>
        <v>0.65</v>
      </c>
      <c r="D9" s="24" t="n">
        <f aca="false">$B$9</f>
        <v>0.65</v>
      </c>
      <c r="E9" s="24" t="n">
        <f aca="false">$B$9</f>
        <v>0.65</v>
      </c>
      <c r="F9" s="36" t="s">
        <v>202</v>
      </c>
    </row>
    <row r="10" customFormat="false" ht="15" hidden="false" customHeight="false" outlineLevel="0" collapsed="false">
      <c r="A10" s="3" t="s">
        <v>203</v>
      </c>
      <c r="B10" s="4" t="n">
        <v>0.3</v>
      </c>
      <c r="C10" s="4" t="n">
        <f aca="false">$B$10</f>
        <v>0.3</v>
      </c>
      <c r="D10" s="4" t="n">
        <f aca="false">$B$10</f>
        <v>0.3</v>
      </c>
      <c r="E10" s="4" t="n">
        <f aca="false">$B$10</f>
        <v>0.3</v>
      </c>
    </row>
    <row r="11" customFormat="false" ht="15" hidden="false" customHeight="false" outlineLevel="0" collapsed="false">
      <c r="B11" s="37"/>
      <c r="C11" s="37"/>
      <c r="D11" s="37"/>
      <c r="E11" s="37"/>
    </row>
    <row r="12" customFormat="false" ht="15" hidden="false" customHeight="false" outlineLevel="0" collapsed="false">
      <c r="A12" s="1" t="s">
        <v>204</v>
      </c>
      <c r="B12" s="1"/>
      <c r="C12" s="1"/>
      <c r="D12" s="1"/>
      <c r="E12" s="1"/>
      <c r="F12" s="2"/>
      <c r="G12" s="2"/>
      <c r="H12" s="2"/>
      <c r="I12" s="2"/>
      <c r="J12" s="2"/>
    </row>
    <row r="13" customFormat="false" ht="15" hidden="false" customHeight="false" outlineLevel="0" collapsed="false">
      <c r="A13" s="3" t="s">
        <v>205</v>
      </c>
      <c r="B13" s="38" t="n">
        <v>33.48</v>
      </c>
      <c r="C13" s="38" t="n">
        <v>46.6</v>
      </c>
      <c r="D13" s="38" t="n">
        <v>92.94</v>
      </c>
      <c r="E13" s="38" t="n">
        <v>32.08</v>
      </c>
    </row>
    <row r="14" customFormat="false" ht="15" hidden="false" customHeight="false" outlineLevel="0" collapsed="false">
      <c r="A14" s="3" t="s">
        <v>206</v>
      </c>
      <c r="B14" s="39" t="n">
        <v>46290</v>
      </c>
      <c r="C14" s="40" t="n">
        <v>46266</v>
      </c>
      <c r="D14" s="3" t="s">
        <v>207</v>
      </c>
      <c r="E14" s="40" t="n">
        <v>46266</v>
      </c>
    </row>
    <row r="15" customFormat="false" ht="15" hidden="false" customHeight="false" outlineLevel="0" collapsed="false">
      <c r="A15" s="3" t="s">
        <v>208</v>
      </c>
      <c r="B15" s="5" t="n">
        <v>54180</v>
      </c>
      <c r="C15" s="5" t="n">
        <v>801750</v>
      </c>
      <c r="D15" s="5" t="n">
        <v>89150</v>
      </c>
      <c r="E15" s="5" t="n">
        <v>34190</v>
      </c>
    </row>
    <row r="16" customFormat="false" ht="15" hidden="false" customHeight="false" outlineLevel="0" collapsed="false">
      <c r="A16" s="3" t="s">
        <v>209</v>
      </c>
      <c r="B16" s="38" t="n">
        <v>30.1</v>
      </c>
      <c r="C16" s="38" t="n">
        <v>45.92</v>
      </c>
      <c r="D16" s="38" t="n">
        <v>92.84</v>
      </c>
      <c r="E16" s="38" t="n">
        <v>32.08</v>
      </c>
    </row>
    <row r="17" customFormat="false" ht="15" hidden="false" customHeight="false" outlineLevel="0" collapsed="false">
      <c r="A17" s="3" t="s">
        <v>57</v>
      </c>
      <c r="B17" s="5" t="n">
        <f aca="false">B15/B16</f>
        <v>1800</v>
      </c>
      <c r="C17" s="5" t="n">
        <f aca="false">C15/C16</f>
        <v>17459.712543554</v>
      </c>
      <c r="D17" s="5" t="n">
        <f aca="false">D15/D16</f>
        <v>960.254200775528</v>
      </c>
      <c r="E17" s="5" t="n">
        <f aca="false">E15/E16</f>
        <v>1065.77306733167</v>
      </c>
    </row>
    <row r="18" customFormat="false" ht="15" hidden="false" customHeight="false" outlineLevel="0" collapsed="false">
      <c r="A18" s="3" t="s">
        <v>210</v>
      </c>
      <c r="B18" s="5" t="n">
        <f aca="false">B17*B13</f>
        <v>60264</v>
      </c>
      <c r="C18" s="5" t="n">
        <f aca="false">C17*C13</f>
        <v>813622.604529617</v>
      </c>
      <c r="D18" s="5" t="n">
        <f aca="false">D17*D13</f>
        <v>89246.0254200776</v>
      </c>
      <c r="E18" s="5" t="n">
        <f aca="false">E17*E13</f>
        <v>34190</v>
      </c>
    </row>
    <row r="19" customFormat="false" ht="15" hidden="false" customHeight="false" outlineLevel="0" collapsed="false">
      <c r="B19" s="37"/>
      <c r="C19" s="37"/>
      <c r="D19" s="37"/>
      <c r="E19" s="37"/>
    </row>
    <row r="20" customFormat="false" ht="15" hidden="false" customHeight="false" outlineLevel="0" collapsed="false">
      <c r="A20" s="1" t="s">
        <v>211</v>
      </c>
      <c r="B20" s="1"/>
      <c r="C20" s="1"/>
      <c r="D20" s="1"/>
      <c r="E20" s="1"/>
      <c r="F20" s="2"/>
      <c r="G20" s="2"/>
      <c r="H20" s="2"/>
      <c r="I20" s="2"/>
      <c r="J20" s="2"/>
    </row>
    <row r="21" customFormat="false" ht="15" hidden="false" customHeight="false" outlineLevel="0" collapsed="false">
      <c r="A21" s="3" t="s">
        <v>212</v>
      </c>
      <c r="B21" s="5" t="n">
        <f aca="false">Datos!G29</f>
        <v>23618</v>
      </c>
      <c r="C21" s="5" t="n">
        <f aca="false">Datos!G55</f>
        <v>80848.1</v>
      </c>
      <c r="D21" s="5" t="n">
        <f aca="false">Datos!G81</f>
        <v>56744.34</v>
      </c>
      <c r="E21" s="5" t="n">
        <f aca="false">Datos!G107</f>
        <v>2441.8</v>
      </c>
    </row>
    <row r="22" customFormat="false" ht="15" hidden="false" customHeight="false" outlineLevel="0" collapsed="false">
      <c r="A22" s="3" t="s">
        <v>13</v>
      </c>
      <c r="B22" s="5" t="n">
        <f aca="false">Datos!G17</f>
        <v>9295</v>
      </c>
      <c r="C22" s="5" t="n">
        <f aca="false">Datos!G43</f>
        <v>28591.2</v>
      </c>
      <c r="D22" s="5" t="n">
        <f aca="false">Datos!G69</f>
        <v>14640.16</v>
      </c>
      <c r="E22" s="5" t="n">
        <f aca="false">Datos!G95</f>
        <v>2962.8</v>
      </c>
    </row>
    <row r="23" customFormat="false" ht="15" hidden="false" customHeight="false" outlineLevel="0" collapsed="false">
      <c r="A23" s="3" t="s">
        <v>213</v>
      </c>
      <c r="B23" s="41" t="n">
        <f aca="false">B21/B18</f>
        <v>0.391908934023629</v>
      </c>
      <c r="C23" s="10" t="n">
        <f aca="false">C21/C18</f>
        <v>0.0993680602651657</v>
      </c>
      <c r="D23" s="10" t="n">
        <f aca="false">D21/D18</f>
        <v>0.635819239376842</v>
      </c>
      <c r="E23" s="10" t="n">
        <f aca="false">E21/E18</f>
        <v>0.0714185434337526</v>
      </c>
    </row>
    <row r="24" customFormat="false" ht="15" hidden="false" customHeight="false" outlineLevel="0" collapsed="false">
      <c r="A24" s="3" t="s">
        <v>214</v>
      </c>
      <c r="B24" s="4" t="n">
        <f aca="false">B21/(B21+B18)</f>
        <v>0.281562194511337</v>
      </c>
      <c r="C24" s="4" t="n">
        <f aca="false">C21/(C21+C18)</f>
        <v>0.090386526457025</v>
      </c>
      <c r="D24" s="4" t="n">
        <f aca="false">D21/(D21+D18)</f>
        <v>0.38868551247695</v>
      </c>
      <c r="E24" s="4" t="n">
        <f aca="false">E21/(E21+E18)</f>
        <v>0.0666579310871975</v>
      </c>
    </row>
    <row r="25" customFormat="false" ht="15" hidden="false" customHeight="false" outlineLevel="0" collapsed="false">
      <c r="A25" s="3" t="s">
        <v>215</v>
      </c>
      <c r="B25" s="4" t="n">
        <f aca="false">B18/(B21+B18)</f>
        <v>0.718437805488663</v>
      </c>
      <c r="C25" s="4" t="n">
        <f aca="false">C18/(C21+C18)</f>
        <v>0.909613473542975</v>
      </c>
      <c r="D25" s="4" t="n">
        <f aca="false">D18/(D21+D18)</f>
        <v>0.61131448752305</v>
      </c>
      <c r="E25" s="4" t="n">
        <f aca="false">E18/(E21+E18)</f>
        <v>0.933342068912803</v>
      </c>
    </row>
    <row r="26" customFormat="false" ht="15" hidden="false" customHeight="false" outlineLevel="0" collapsed="false">
      <c r="B26" s="37"/>
      <c r="C26" s="37"/>
      <c r="D26" s="37"/>
      <c r="E26" s="37"/>
    </row>
    <row r="27" customFormat="false" ht="15" hidden="false" customHeight="false" outlineLevel="0" collapsed="false">
      <c r="A27" s="1" t="s">
        <v>216</v>
      </c>
      <c r="B27" s="1"/>
      <c r="C27" s="1"/>
      <c r="D27" s="1"/>
      <c r="E27" s="1"/>
      <c r="F27" s="2"/>
      <c r="G27" s="2"/>
      <c r="H27" s="2"/>
      <c r="I27" s="2"/>
      <c r="J27" s="2"/>
    </row>
    <row r="28" customFormat="false" ht="15" hidden="false" customHeight="false" outlineLevel="0" collapsed="false">
      <c r="A28" s="3" t="s">
        <v>217</v>
      </c>
      <c r="B28" s="24" t="n">
        <f aca="false">B9*(1+(1-B10)*B23)</f>
        <v>0.828318564980751</v>
      </c>
      <c r="C28" s="24" t="n">
        <f aca="false">C9*(1+(1-C10)*C23)</f>
        <v>0.69521246742065</v>
      </c>
      <c r="D28" s="24" t="n">
        <f aca="false">D9*(1+(1-D10)*D23)</f>
        <v>0.939297753916463</v>
      </c>
      <c r="E28" s="24" t="n">
        <f aca="false">E9*(1+(1-E10)*E23)</f>
        <v>0.682495437262357</v>
      </c>
    </row>
    <row r="29" customFormat="false" ht="15" hidden="false" customHeight="false" outlineLevel="0" collapsed="false">
      <c r="A29" s="3" t="s">
        <v>218</v>
      </c>
      <c r="B29" s="4" t="n">
        <f aca="false">B5+B28*B8</f>
        <v>0.130207875298686</v>
      </c>
      <c r="C29" s="4" t="n">
        <f aca="false">C5+C28*C8</f>
        <v>0.124577487371894</v>
      </c>
      <c r="D29" s="4" t="n">
        <f aca="false">D5+D28*D8</f>
        <v>0.134902294990666</v>
      </c>
      <c r="E29" s="4" t="n">
        <f aca="false">E5+E28*E8</f>
        <v>0.124039556996198</v>
      </c>
    </row>
    <row r="30" customFormat="false" ht="15" hidden="false" customHeight="false" outlineLevel="0" collapsed="false">
      <c r="A30" s="3" t="s">
        <v>219</v>
      </c>
      <c r="B30" s="5" t="n">
        <f aca="false">Datos!G10</f>
        <v>3074</v>
      </c>
      <c r="C30" s="5" t="n">
        <f aca="false">Datos!G36</f>
        <v>11464.7</v>
      </c>
      <c r="D30" s="5" t="n">
        <f aca="false">Datos!G62</f>
        <v>3846.89</v>
      </c>
      <c r="E30" s="5" t="n">
        <f aca="false">Datos!G88</f>
        <v>265.96</v>
      </c>
    </row>
    <row r="31" customFormat="false" ht="15" hidden="false" customHeight="false" outlineLevel="0" collapsed="false">
      <c r="A31" s="3" t="s">
        <v>220</v>
      </c>
      <c r="B31" s="4" t="n">
        <f aca="false">B30/B21</f>
        <v>0.130154966550936</v>
      </c>
      <c r="C31" s="4" t="n">
        <f aca="false">C30/C21</f>
        <v>0.141805435130819</v>
      </c>
      <c r="D31" s="4" t="n">
        <f aca="false">D30/D21</f>
        <v>0.0677933693474979</v>
      </c>
      <c r="E31" s="4" t="n">
        <f aca="false">E30/E21</f>
        <v>0.108919649438938</v>
      </c>
    </row>
    <row r="32" customFormat="false" ht="15" hidden="false" customHeight="false" outlineLevel="0" collapsed="false">
      <c r="A32" s="3" t="s">
        <v>221</v>
      </c>
      <c r="B32" s="4" t="n">
        <f aca="false">B31*(1-B10)</f>
        <v>0.091108476585655</v>
      </c>
      <c r="C32" s="4" t="n">
        <f aca="false">C31*(1-C10)</f>
        <v>0.0992638045915736</v>
      </c>
      <c r="D32" s="4" t="n">
        <f aca="false">D31*(1-D10)</f>
        <v>0.0474553585432485</v>
      </c>
      <c r="E32" s="4" t="n">
        <f aca="false">E31*(1-E10)</f>
        <v>0.0762437546072569</v>
      </c>
    </row>
    <row r="33" customFormat="false" ht="15" hidden="false" customHeight="false" outlineLevel="0" collapsed="false">
      <c r="A33" s="3" t="s">
        <v>222</v>
      </c>
      <c r="B33" s="4" t="n">
        <f aca="false">B25*B29+B24*B32</f>
        <v>0.119198962792971</v>
      </c>
      <c r="C33" s="4" t="n">
        <f aca="false">C25*C29+C24*C32</f>
        <v>0.122289471513545</v>
      </c>
      <c r="D33" s="4" t="n">
        <f aca="false">D25*D29+D24*D32</f>
        <v>0.100912937683063</v>
      </c>
      <c r="E33" s="4" t="n">
        <f aca="false">E25*E29+E24*E32</f>
        <v>0.120853587694298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0"/>
  <sheetViews>
    <sheetView showFormulas="false" showGridLines="true" showRowColHeaders="true" showZeros="true" rightToLeft="false" tabSelected="false" showOutlineSymbols="true" defaultGridColor="true" view="normal" topLeftCell="A1" colorId="64" zoomScale="87" zoomScaleNormal="87" zoomScalePageLayoutView="100" workbookViewId="0">
      <selection pane="topLeft" activeCell="B40" activeCellId="0" sqref="B40"/>
    </sheetView>
  </sheetViews>
  <sheetFormatPr defaultColWidth="11.5078125" defaultRowHeight="15" zeroHeight="false" outlineLevelRow="0" outlineLevelCol="0"/>
  <cols>
    <col collapsed="false" customWidth="true" hidden="false" outlineLevel="0" max="1" min="1" style="0" width="61.16"/>
    <col collapsed="false" customWidth="true" hidden="false" outlineLevel="0" max="2" min="2" style="0" width="35.16"/>
    <col collapsed="false" customWidth="true" hidden="false" outlineLevel="0" max="8" min="3" style="0" width="15.83"/>
  </cols>
  <sheetData>
    <row r="1" customFormat="false" ht="18.75" hidden="false" customHeight="true" outlineLevel="0" collapsed="false">
      <c r="A1" s="13"/>
    </row>
    <row r="2" customFormat="false" ht="15" hidden="false" customHeight="false" outlineLevel="0" collapsed="false">
      <c r="A2" s="14"/>
    </row>
    <row r="3" customFormat="false" ht="15" hidden="false" customHeight="false" outlineLevel="0" collapsed="false">
      <c r="B3" s="42"/>
    </row>
    <row r="4" customFormat="false" ht="15" hidden="false" customHeight="false" outlineLevel="0" collapsed="false">
      <c r="A4" s="3" t="s">
        <v>223</v>
      </c>
      <c r="B4" s="11" t="n">
        <v>0.035</v>
      </c>
    </row>
    <row r="5" customFormat="false" ht="15" hidden="false" customHeight="false" outlineLevel="0" collapsed="false">
      <c r="A5" s="3" t="s">
        <v>224</v>
      </c>
      <c r="B5" s="11" t="n">
        <v>0.035</v>
      </c>
    </row>
    <row r="6" customFormat="false" ht="15" hidden="false" customHeight="false" outlineLevel="0" collapsed="false">
      <c r="B6" s="42"/>
    </row>
    <row r="7" customFormat="false" ht="15" hidden="false" customHeight="false" outlineLevel="0" collapsed="false">
      <c r="B7" s="42"/>
    </row>
    <row r="8" customFormat="false" ht="15" hidden="false" customHeight="false" outlineLevel="0" collapsed="false">
      <c r="A8" s="43" t="s">
        <v>185</v>
      </c>
      <c r="B8" s="44" t="s">
        <v>225</v>
      </c>
      <c r="C8" s="1" t="s">
        <v>226</v>
      </c>
      <c r="D8" s="1" t="s">
        <v>227</v>
      </c>
      <c r="E8" s="1" t="s">
        <v>228</v>
      </c>
      <c r="F8" s="1" t="s">
        <v>229</v>
      </c>
      <c r="G8" s="1" t="s">
        <v>230</v>
      </c>
      <c r="H8" s="2"/>
      <c r="I8" s="2"/>
      <c r="J8" s="2"/>
    </row>
    <row r="9" customFormat="false" ht="15" hidden="false" customHeight="false" outlineLevel="0" collapsed="false">
      <c r="A9" s="3" t="s">
        <v>231</v>
      </c>
      <c r="B9" s="4" t="n">
        <f aca="false">$B$5</f>
        <v>0.035</v>
      </c>
      <c r="C9" s="27"/>
      <c r="D9" s="27"/>
      <c r="E9" s="27"/>
      <c r="F9" s="27"/>
      <c r="G9" s="27"/>
    </row>
    <row r="10" customFormat="false" ht="15" hidden="false" customHeight="false" outlineLevel="0" collapsed="false">
      <c r="A10" s="3" t="s">
        <v>232</v>
      </c>
      <c r="B10" s="4" t="n">
        <f aca="false">Datos!G9/Datos!G6</f>
        <v>0.042542883699969</v>
      </c>
      <c r="C10" s="27"/>
      <c r="D10" s="27"/>
      <c r="E10" s="27"/>
      <c r="F10" s="27"/>
      <c r="G10" s="27"/>
    </row>
    <row r="11" customFormat="false" ht="15" hidden="false" customHeight="false" outlineLevel="0" collapsed="false">
      <c r="A11" s="3" t="s">
        <v>233</v>
      </c>
      <c r="B11" s="4" t="n">
        <f aca="false">Datos!G14/Datos!G6</f>
        <v>0.0244599047967777</v>
      </c>
      <c r="C11" s="27"/>
      <c r="D11" s="27"/>
      <c r="E11" s="27"/>
      <c r="F11" s="27"/>
      <c r="G11" s="27"/>
    </row>
    <row r="12" customFormat="false" ht="15" hidden="false" customHeight="false" outlineLevel="0" collapsed="false">
      <c r="A12" s="3" t="s">
        <v>234</v>
      </c>
      <c r="B12" s="4" t="n">
        <f aca="false">Datos!G16/Datos!G6</f>
        <v>0.0161507478241275</v>
      </c>
      <c r="C12" s="27"/>
      <c r="D12" s="27"/>
      <c r="E12" s="27"/>
      <c r="F12" s="27"/>
      <c r="G12" s="27"/>
    </row>
    <row r="13" customFormat="false" ht="15" hidden="false" customHeight="false" outlineLevel="0" collapsed="false">
      <c r="A13" s="3" t="s">
        <v>235</v>
      </c>
      <c r="B13" s="4" t="n">
        <f aca="false">-SUM('Proyección Soriana'!C64:G64)/('Proyección Soriana'!G19-'Proyección Soriana'!B19)</f>
        <v>0.0207926090752896</v>
      </c>
      <c r="C13" s="27"/>
      <c r="D13" s="27"/>
      <c r="E13" s="27"/>
      <c r="F13" s="27"/>
      <c r="G13" s="27"/>
    </row>
    <row r="14" customFormat="false" ht="15" hidden="false" customHeight="false" outlineLevel="0" collapsed="false">
      <c r="A14" s="3" t="s">
        <v>236</v>
      </c>
      <c r="B14" s="4" t="n">
        <f aca="false">WACC!B10</f>
        <v>0.3</v>
      </c>
      <c r="C14" s="27"/>
      <c r="D14" s="27"/>
      <c r="E14" s="27"/>
      <c r="F14" s="27"/>
      <c r="G14" s="27"/>
    </row>
    <row r="15" customFormat="false" ht="15" hidden="false" customHeight="false" outlineLevel="0" collapsed="false">
      <c r="A15" s="3" t="s">
        <v>5</v>
      </c>
      <c r="B15" s="4" t="n">
        <f aca="false">WACC!B33</f>
        <v>0.119198962792971</v>
      </c>
      <c r="C15" s="27"/>
      <c r="D15" s="27"/>
      <c r="E15" s="27"/>
      <c r="F15" s="27"/>
      <c r="G15" s="27"/>
    </row>
    <row r="16" customFormat="false" ht="15" hidden="false" customHeight="false" outlineLevel="0" collapsed="false">
      <c r="A16" s="3" t="s">
        <v>6</v>
      </c>
      <c r="B16" s="4" t="n">
        <f aca="false">$B$4</f>
        <v>0.035</v>
      </c>
      <c r="C16" s="27"/>
      <c r="D16" s="27"/>
      <c r="E16" s="27"/>
      <c r="F16" s="27"/>
      <c r="G16" s="27"/>
    </row>
    <row r="18" customFormat="false" ht="15" hidden="false" customHeight="false" outlineLevel="0" collapsed="false">
      <c r="A18" s="1" t="s">
        <v>237</v>
      </c>
      <c r="B18" s="1" t="s">
        <v>225</v>
      </c>
      <c r="C18" s="1" t="s">
        <v>226</v>
      </c>
      <c r="D18" s="1" t="s">
        <v>227</v>
      </c>
      <c r="E18" s="1" t="s">
        <v>228</v>
      </c>
      <c r="F18" s="1" t="s">
        <v>229</v>
      </c>
      <c r="G18" s="1" t="s">
        <v>230</v>
      </c>
      <c r="H18" s="2"/>
      <c r="I18" s="2"/>
      <c r="J18" s="2"/>
    </row>
    <row r="19" customFormat="false" ht="15" hidden="false" customHeight="false" outlineLevel="0" collapsed="false">
      <c r="A19" s="3" t="s">
        <v>238</v>
      </c>
      <c r="B19" s="45" t="n">
        <v>0</v>
      </c>
      <c r="C19" s="45" t="n">
        <v>1</v>
      </c>
      <c r="D19" s="45" t="n">
        <v>2</v>
      </c>
      <c r="E19" s="45" t="n">
        <v>3</v>
      </c>
      <c r="F19" s="45" t="n">
        <v>4</v>
      </c>
      <c r="G19" s="45" t="n">
        <v>5</v>
      </c>
    </row>
    <row r="20" customFormat="false" ht="15" hidden="false" customHeight="false" outlineLevel="0" collapsed="false">
      <c r="A20" s="3" t="s">
        <v>239</v>
      </c>
      <c r="B20" s="5" t="n">
        <f aca="false">Datos!G6</f>
        <v>177515</v>
      </c>
      <c r="C20" s="5" t="n">
        <f aca="false">B20*(1+$B$9)</f>
        <v>183728.025</v>
      </c>
      <c r="D20" s="5" t="n">
        <f aca="false">C20*(1+$B$9)</f>
        <v>190158.505875</v>
      </c>
      <c r="E20" s="5" t="n">
        <f aca="false">D20*(1+$B$9)</f>
        <v>196814.053580625</v>
      </c>
      <c r="F20" s="5" t="n">
        <f aca="false">E20*(1+$B$9)</f>
        <v>203702.545455947</v>
      </c>
      <c r="G20" s="5" t="n">
        <f aca="false">F20*(1+$B$9)</f>
        <v>210832.134546905</v>
      </c>
    </row>
    <row r="21" customFormat="false" ht="15" hidden="false" customHeight="false" outlineLevel="0" collapsed="false">
      <c r="A21" s="3" t="s">
        <v>81</v>
      </c>
      <c r="B21" s="5" t="n">
        <f aca="false">Datos!G9</f>
        <v>7552</v>
      </c>
      <c r="C21" s="5" t="n">
        <f aca="false">C20*$B$10</f>
        <v>7816.32</v>
      </c>
      <c r="D21" s="5" t="n">
        <f aca="false">D20*$B$10</f>
        <v>8089.8912</v>
      </c>
      <c r="E21" s="5" t="n">
        <f aca="false">E20*$B$10</f>
        <v>8373.037392</v>
      </c>
      <c r="F21" s="5" t="n">
        <f aca="false">F20*$B$10</f>
        <v>8666.09370072</v>
      </c>
      <c r="G21" s="5" t="n">
        <f aca="false">G20*$B$10</f>
        <v>8969.4069802452</v>
      </c>
    </row>
    <row r="22" customFormat="false" ht="15" hidden="false" customHeight="false" outlineLevel="0" collapsed="false">
      <c r="A22" s="3" t="s">
        <v>240</v>
      </c>
      <c r="B22" s="5" t="n">
        <f aca="false">-B21*$B$14</f>
        <v>-2265.6</v>
      </c>
      <c r="C22" s="5" t="n">
        <f aca="false">-C21*$B$14</f>
        <v>-2344.896</v>
      </c>
      <c r="D22" s="5" t="n">
        <f aca="false">-D21*$B$14</f>
        <v>-2426.96736</v>
      </c>
      <c r="E22" s="5" t="n">
        <f aca="false">-E21*$B$14</f>
        <v>-2511.9112176</v>
      </c>
      <c r="F22" s="5" t="n">
        <f aca="false">-F21*$B$14</f>
        <v>-2599.828110216</v>
      </c>
      <c r="G22" s="5" t="n">
        <f aca="false">-G21*$B$14</f>
        <v>-2690.82209407356</v>
      </c>
    </row>
    <row r="23" customFormat="false" ht="15" hidden="false" customHeight="false" outlineLevel="0" collapsed="false">
      <c r="A23" s="3" t="s">
        <v>241</v>
      </c>
      <c r="B23" s="5" t="n">
        <f aca="false">B21+B22</f>
        <v>5286.4</v>
      </c>
      <c r="C23" s="5" t="n">
        <f aca="false">C21+C22</f>
        <v>5471.424</v>
      </c>
      <c r="D23" s="5" t="n">
        <f aca="false">D21+D22</f>
        <v>5662.92384</v>
      </c>
      <c r="E23" s="5" t="n">
        <f aca="false">E21+E22</f>
        <v>5861.1261744</v>
      </c>
      <c r="F23" s="5" t="n">
        <f aca="false">F21+F22</f>
        <v>6066.265590504</v>
      </c>
      <c r="G23" s="5" t="n">
        <f aca="false">G21+G22</f>
        <v>6278.58488617164</v>
      </c>
    </row>
    <row r="24" customFormat="false" ht="15" hidden="false" customHeight="false" outlineLevel="0" collapsed="false">
      <c r="A24" s="3" t="s">
        <v>242</v>
      </c>
      <c r="B24" s="5" t="n">
        <f aca="false">Datos!G14</f>
        <v>4342</v>
      </c>
      <c r="C24" s="5" t="n">
        <f aca="false">C20*$B$11</f>
        <v>4493.97</v>
      </c>
      <c r="D24" s="5" t="n">
        <f aca="false">D20*$B$11</f>
        <v>4651.25895</v>
      </c>
      <c r="E24" s="5" t="n">
        <f aca="false">E20*$B$11</f>
        <v>4814.05301325</v>
      </c>
      <c r="F24" s="5" t="n">
        <f aca="false">F20*$B$11</f>
        <v>4982.54486871375</v>
      </c>
      <c r="G24" s="5" t="n">
        <f aca="false">G20*$B$11</f>
        <v>5156.93393911873</v>
      </c>
    </row>
    <row r="25" customFormat="false" ht="15" hidden="false" customHeight="false" outlineLevel="0" collapsed="false">
      <c r="A25" s="3" t="s">
        <v>243</v>
      </c>
      <c r="B25" s="5" t="n">
        <f aca="false">-Datos!G16</f>
        <v>-2867</v>
      </c>
      <c r="C25" s="5" t="n">
        <f aca="false">-C20*$B$12</f>
        <v>-2967.345</v>
      </c>
      <c r="D25" s="5" t="n">
        <f aca="false">-D20*$B$12</f>
        <v>-3071.202075</v>
      </c>
      <c r="E25" s="5" t="n">
        <f aca="false">-E20*$B$12</f>
        <v>-3178.694147625</v>
      </c>
      <c r="F25" s="5" t="n">
        <f aca="false">-F20*$B$12</f>
        <v>-3289.94844279187</v>
      </c>
      <c r="G25" s="5" t="n">
        <f aca="false">-G20*$B$12</f>
        <v>-3405.09663828959</v>
      </c>
    </row>
    <row r="26" customFormat="false" ht="15" hidden="false" customHeight="false" outlineLevel="0" collapsed="false">
      <c r="A26" s="3" t="s">
        <v>244</v>
      </c>
      <c r="B26" s="5" t="n">
        <v>0</v>
      </c>
      <c r="C26" s="5" t="n">
        <f aca="false">-(C20-B20)*$B$13</f>
        <v>-129.185000000001</v>
      </c>
      <c r="D26" s="5" t="n">
        <f aca="false">-(D20-C20)*$B$13</f>
        <v>-133.706475000001</v>
      </c>
      <c r="E26" s="5" t="n">
        <f aca="false">-(E20-D20)*$B$13</f>
        <v>-138.386201625001</v>
      </c>
      <c r="F26" s="5" t="n">
        <f aca="false">-(F20-E20)*$B$13</f>
        <v>-143.229718681876</v>
      </c>
      <c r="G26" s="5" t="n">
        <f aca="false">-(G20-F20)*$B$13</f>
        <v>-148.242758835741</v>
      </c>
    </row>
    <row r="27" customFormat="false" ht="15" hidden="false" customHeight="false" outlineLevel="0" collapsed="false">
      <c r="A27" s="3" t="s">
        <v>245</v>
      </c>
      <c r="B27" s="5" t="n">
        <f aca="false">B23+B24+B25+B26</f>
        <v>6761.4</v>
      </c>
      <c r="C27" s="5" t="n">
        <f aca="false">C23+C24+C25+C26</f>
        <v>6868.864</v>
      </c>
      <c r="D27" s="5" t="n">
        <f aca="false">D23+D24+D25+D26</f>
        <v>7109.27424</v>
      </c>
      <c r="E27" s="5" t="n">
        <f aca="false">E23+E24+E25+E26</f>
        <v>7358.0988384</v>
      </c>
      <c r="F27" s="5" t="n">
        <f aca="false">F23+F24+F25+F26</f>
        <v>7615.632297744</v>
      </c>
      <c r="G27" s="5" t="n">
        <f aca="false">G23+G24+G25+G26</f>
        <v>7882.17942816504</v>
      </c>
    </row>
    <row r="28" customFormat="false" ht="15" hidden="false" customHeight="false" outlineLevel="0" collapsed="false">
      <c r="A28" s="3" t="s">
        <v>246</v>
      </c>
      <c r="B28" s="46"/>
      <c r="C28" s="46" t="n">
        <f aca="false">1/(1+$B$15)^C19</f>
        <v>0.893496181862509</v>
      </c>
      <c r="D28" s="46" t="n">
        <f aca="false">1/(1+$B$15)^D19</f>
        <v>0.798335427002882</v>
      </c>
      <c r="E28" s="46" t="n">
        <f aca="false">1/(1+$B$15)^E19</f>
        <v>0.713309655872651</v>
      </c>
      <c r="F28" s="46" t="n">
        <f aca="false">1/(1+$B$15)^F19</f>
        <v>0.637339454007874</v>
      </c>
      <c r="G28" s="46" t="n">
        <f aca="false">1/(1+$B$15)^G19</f>
        <v>0.569460368706371</v>
      </c>
    </row>
    <row r="29" customFormat="false" ht="15" hidden="false" customHeight="false" outlineLevel="0" collapsed="false">
      <c r="A29" s="3" t="s">
        <v>247</v>
      </c>
      <c r="B29" s="5"/>
      <c r="C29" s="5" t="n">
        <f aca="false">C27*C28</f>
        <v>6137.30375773284</v>
      </c>
      <c r="D29" s="5" t="n">
        <f aca="false">D27*D28</f>
        <v>5675.58548607099</v>
      </c>
      <c r="E29" s="5" t="n">
        <f aca="false">E27*E28</f>
        <v>5248.60295029605</v>
      </c>
      <c r="F29" s="5" t="n">
        <f aca="false">F27*F28</f>
        <v>4853.74293056889</v>
      </c>
      <c r="G29" s="5" t="n">
        <f aca="false">G27*G28</f>
        <v>4488.58880337264</v>
      </c>
    </row>
    <row r="30" customFormat="false" ht="15" hidden="false" customHeight="false" outlineLevel="0" collapsed="false">
      <c r="B30" s="35"/>
      <c r="C30" s="35"/>
      <c r="D30" s="35"/>
      <c r="E30" s="35"/>
      <c r="F30" s="35"/>
      <c r="G30" s="35"/>
    </row>
    <row r="31" customFormat="false" ht="15" hidden="false" customHeight="false" outlineLevel="0" collapsed="false">
      <c r="A31" s="3" t="s">
        <v>8</v>
      </c>
      <c r="B31" s="5" t="n">
        <f aca="false">SUM(C29:G29)</f>
        <v>26403.8239280414</v>
      </c>
      <c r="C31" s="47"/>
      <c r="D31" s="47"/>
      <c r="E31" s="47"/>
      <c r="F31" s="47"/>
      <c r="G31" s="47"/>
    </row>
    <row r="32" customFormat="false" ht="15" hidden="false" customHeight="false" outlineLevel="0" collapsed="false">
      <c r="A32" s="3" t="s">
        <v>248</v>
      </c>
      <c r="B32" s="5" t="n">
        <f aca="false">G27*(1+B16)</f>
        <v>8158.05570815081</v>
      </c>
    </row>
    <row r="33" customFormat="false" ht="15" hidden="false" customHeight="false" outlineLevel="0" collapsed="false">
      <c r="A33" s="3" t="s">
        <v>249</v>
      </c>
      <c r="B33" s="5" t="n">
        <f aca="false">B32/(B15-B16)</f>
        <v>96890.2161919725</v>
      </c>
      <c r="C33" s="2"/>
      <c r="D33" s="2"/>
      <c r="E33" s="2"/>
      <c r="F33" s="2"/>
      <c r="G33" s="2"/>
    </row>
    <row r="34" customFormat="false" ht="15" hidden="false" customHeight="false" outlineLevel="0" collapsed="false">
      <c r="A34" s="3" t="s">
        <v>10</v>
      </c>
      <c r="B34" s="5" t="n">
        <f aca="false">B33*G28</f>
        <v>55175.1382367207</v>
      </c>
    </row>
    <row r="35" customFormat="false" ht="15" hidden="false" customHeight="false" outlineLevel="0" collapsed="false">
      <c r="A35" s="3" t="s">
        <v>250</v>
      </c>
      <c r="B35" s="5" t="n">
        <f aca="false">B31+B34</f>
        <v>81578.9621647621</v>
      </c>
      <c r="C35" s="2"/>
      <c r="D35" s="2"/>
      <c r="E35" s="2"/>
      <c r="F35" s="2"/>
      <c r="G35" s="2"/>
    </row>
    <row r="36" customFormat="false" ht="15" hidden="false" customHeight="false" outlineLevel="0" collapsed="false">
      <c r="A36" s="3" t="s">
        <v>251</v>
      </c>
      <c r="B36" s="5" t="n">
        <f aca="false">-WACC!B21</f>
        <v>-23618</v>
      </c>
    </row>
    <row r="37" customFormat="false" ht="15" hidden="false" customHeight="false" outlineLevel="0" collapsed="false">
      <c r="A37" s="3" t="s">
        <v>252</v>
      </c>
      <c r="B37" s="5" t="n">
        <f aca="false">WACC!B22</f>
        <v>9295</v>
      </c>
    </row>
    <row r="38" customFormat="false" ht="15" hidden="false" customHeight="false" outlineLevel="0" collapsed="false">
      <c r="A38" s="3" t="s">
        <v>253</v>
      </c>
      <c r="B38" s="5" t="n">
        <f aca="false">-(B36+B37)</f>
        <v>14323</v>
      </c>
    </row>
    <row r="39" customFormat="false" ht="15" hidden="false" customHeight="false" outlineLevel="0" collapsed="false">
      <c r="A39" s="3" t="s">
        <v>254</v>
      </c>
      <c r="B39" s="5" t="n">
        <f aca="false">B35+B36+B37</f>
        <v>67255.9621647621</v>
      </c>
      <c r="C39" s="2"/>
      <c r="D39" s="2"/>
      <c r="E39" s="2"/>
      <c r="F39" s="2"/>
      <c r="G39" s="2"/>
    </row>
    <row r="40" customFormat="false" ht="15" hidden="false" customHeight="false" outlineLevel="0" collapsed="false">
      <c r="A40" s="3" t="s">
        <v>57</v>
      </c>
      <c r="B40" s="5" t="n">
        <f aca="false">WACC!B17</f>
        <v>1800</v>
      </c>
    </row>
    <row r="41" customFormat="false" ht="31.5" hidden="false" customHeight="true" outlineLevel="0" collapsed="false">
      <c r="A41" s="48" t="s">
        <v>15</v>
      </c>
      <c r="B41" s="49" t="n">
        <f aca="false">B39/B40</f>
        <v>37.3644234248678</v>
      </c>
      <c r="C41" s="50"/>
      <c r="D41" s="51" t="s">
        <v>255</v>
      </c>
      <c r="E41" s="52" t="n">
        <f aca="false">'Proyección Soriana'!B85</f>
        <v>37.3596430809461</v>
      </c>
      <c r="F41" s="2"/>
      <c r="G41" s="2"/>
    </row>
    <row r="42" customFormat="false" ht="31.5" hidden="false" customHeight="true" outlineLevel="0" collapsed="false">
      <c r="A42" s="48" t="s">
        <v>16</v>
      </c>
      <c r="B42" s="49" t="n">
        <f aca="false">WACC!B13</f>
        <v>33.48</v>
      </c>
      <c r="C42" s="53"/>
      <c r="D42" s="51" t="s">
        <v>256</v>
      </c>
      <c r="E42" s="54" t="n">
        <f aca="false">B41-E41</f>
        <v>0.00478034392171622</v>
      </c>
    </row>
    <row r="43" customFormat="false" ht="15.75" hidden="false" customHeight="true" outlineLevel="0" collapsed="false">
      <c r="A43" s="48" t="s">
        <v>17</v>
      </c>
      <c r="B43" s="55" t="n">
        <f aca="false">B41/B42-1</f>
        <v>0.116022205043842</v>
      </c>
      <c r="C43" s="53"/>
      <c r="D43" s="51" t="s">
        <v>257</v>
      </c>
      <c r="E43" s="56" t="n">
        <f aca="false">B41/E41-1</f>
        <v>0.000127954753512016</v>
      </c>
    </row>
    <row r="44" customFormat="false" ht="15" hidden="false" customHeight="false" outlineLevel="0" collapsed="false">
      <c r="A44" s="3" t="s">
        <v>258</v>
      </c>
      <c r="B44" s="7" t="n">
        <f aca="false">B34/B35</f>
        <v>0.676340281521178</v>
      </c>
    </row>
    <row r="46" customFormat="false" ht="15" hidden="false" customHeight="false" outlineLevel="0" collapsed="false">
      <c r="A46" s="43" t="s">
        <v>192</v>
      </c>
      <c r="B46" s="44" t="s">
        <v>225</v>
      </c>
      <c r="C46" s="1" t="s">
        <v>226</v>
      </c>
      <c r="D46" s="1" t="s">
        <v>227</v>
      </c>
      <c r="E46" s="1" t="s">
        <v>228</v>
      </c>
      <c r="F46" s="1" t="s">
        <v>229</v>
      </c>
      <c r="G46" s="1" t="s">
        <v>230</v>
      </c>
      <c r="H46" s="2"/>
      <c r="I46" s="2"/>
      <c r="J46" s="2"/>
    </row>
    <row r="47" customFormat="false" ht="15" hidden="false" customHeight="false" outlineLevel="0" collapsed="false">
      <c r="A47" s="3" t="s">
        <v>231</v>
      </c>
      <c r="B47" s="4" t="n">
        <f aca="false">$B$5</f>
        <v>0.035</v>
      </c>
      <c r="C47" s="27"/>
      <c r="D47" s="27"/>
      <c r="E47" s="27"/>
      <c r="F47" s="27"/>
      <c r="G47" s="27"/>
    </row>
    <row r="48" customFormat="false" ht="15" hidden="false" customHeight="false" outlineLevel="0" collapsed="false">
      <c r="A48" s="3" t="s">
        <v>232</v>
      </c>
      <c r="B48" s="4" t="n">
        <f aca="false">Datos!G35/Datos!G32</f>
        <v>0.0775938740086353</v>
      </c>
      <c r="C48" s="27"/>
      <c r="D48" s="27"/>
      <c r="E48" s="27"/>
      <c r="F48" s="27"/>
      <c r="G48" s="27"/>
    </row>
    <row r="49" customFormat="false" ht="15" hidden="false" customHeight="false" outlineLevel="0" collapsed="false">
      <c r="A49" s="3" t="s">
        <v>233</v>
      </c>
      <c r="B49" s="4" t="n">
        <f aca="false">Datos!G40/Datos!G32</f>
        <v>0.024667014433304</v>
      </c>
      <c r="C49" s="27"/>
      <c r="D49" s="27"/>
      <c r="E49" s="27"/>
      <c r="F49" s="27"/>
      <c r="G49" s="27"/>
    </row>
    <row r="50" customFormat="false" ht="15" hidden="false" customHeight="false" outlineLevel="0" collapsed="false">
      <c r="A50" s="3" t="s">
        <v>234</v>
      </c>
      <c r="B50" s="4" t="n">
        <f aca="false">Datos!G42/Datos!G32</f>
        <v>0.0385350740645073</v>
      </c>
      <c r="C50" s="27"/>
      <c r="D50" s="27"/>
      <c r="E50" s="27"/>
      <c r="F50" s="27"/>
      <c r="G50" s="27"/>
    </row>
    <row r="51" customFormat="false" ht="15" hidden="false" customHeight="false" outlineLevel="0" collapsed="false">
      <c r="A51" s="3" t="s">
        <v>235</v>
      </c>
      <c r="B51" s="4" t="n">
        <v>0</v>
      </c>
      <c r="C51" s="27"/>
      <c r="D51" s="27"/>
      <c r="E51" s="27"/>
      <c r="F51" s="27"/>
      <c r="G51" s="27"/>
    </row>
    <row r="52" customFormat="false" ht="15" hidden="false" customHeight="false" outlineLevel="0" collapsed="false">
      <c r="A52" s="3" t="s">
        <v>236</v>
      </c>
      <c r="B52" s="4" t="n">
        <f aca="false">WACC!C10</f>
        <v>0.3</v>
      </c>
      <c r="C52" s="27"/>
      <c r="D52" s="27"/>
      <c r="E52" s="27"/>
      <c r="F52" s="27"/>
      <c r="G52" s="27"/>
    </row>
    <row r="53" customFormat="false" ht="15" hidden="false" customHeight="false" outlineLevel="0" collapsed="false">
      <c r="A53" s="3" t="s">
        <v>5</v>
      </c>
      <c r="B53" s="4" t="n">
        <f aca="false">WACC!C33</f>
        <v>0.122289471513545</v>
      </c>
      <c r="C53" s="27"/>
      <c r="D53" s="27"/>
      <c r="E53" s="27"/>
      <c r="F53" s="27"/>
      <c r="G53" s="27"/>
    </row>
    <row r="54" customFormat="false" ht="15" hidden="false" customHeight="false" outlineLevel="0" collapsed="false">
      <c r="A54" s="3" t="s">
        <v>6</v>
      </c>
      <c r="B54" s="4" t="n">
        <f aca="false">$B$4</f>
        <v>0.035</v>
      </c>
      <c r="C54" s="27"/>
      <c r="D54" s="27"/>
      <c r="E54" s="27"/>
      <c r="F54" s="27"/>
      <c r="G54" s="27"/>
    </row>
    <row r="55" customFormat="false" ht="15" hidden="false" customHeight="false" outlineLevel="0" collapsed="false">
      <c r="B55" s="35"/>
    </row>
    <row r="56" customFormat="false" ht="15" hidden="false" customHeight="false" outlineLevel="0" collapsed="false">
      <c r="A56" s="1" t="s">
        <v>237</v>
      </c>
      <c r="B56" s="1" t="s">
        <v>225</v>
      </c>
      <c r="C56" s="1" t="s">
        <v>226</v>
      </c>
      <c r="D56" s="1" t="s">
        <v>227</v>
      </c>
      <c r="E56" s="1" t="s">
        <v>228</v>
      </c>
      <c r="F56" s="1" t="s">
        <v>229</v>
      </c>
      <c r="G56" s="1" t="s">
        <v>230</v>
      </c>
      <c r="H56" s="2"/>
      <c r="I56" s="2"/>
      <c r="J56" s="2"/>
    </row>
    <row r="57" customFormat="false" ht="15" hidden="false" customHeight="false" outlineLevel="0" collapsed="false">
      <c r="A57" s="3" t="s">
        <v>238</v>
      </c>
      <c r="B57" s="45" t="n">
        <v>0</v>
      </c>
      <c r="C57" s="45" t="n">
        <v>1</v>
      </c>
      <c r="D57" s="45" t="n">
        <v>2</v>
      </c>
      <c r="E57" s="45" t="n">
        <v>3</v>
      </c>
      <c r="F57" s="45" t="n">
        <v>4</v>
      </c>
      <c r="G57" s="45" t="n">
        <v>5</v>
      </c>
    </row>
    <row r="58" customFormat="false" ht="15" hidden="false" customHeight="false" outlineLevel="0" collapsed="false">
      <c r="A58" s="3" t="s">
        <v>239</v>
      </c>
      <c r="B58" s="5" t="n">
        <f aca="false">Datos!G32</f>
        <v>1011597.9</v>
      </c>
      <c r="C58" s="5" t="n">
        <f aca="false">B58*(1+$B$47)</f>
        <v>1047003.8265</v>
      </c>
      <c r="D58" s="5" t="n">
        <f aca="false">C58*(1+$B$47)</f>
        <v>1083648.9604275</v>
      </c>
      <c r="E58" s="5" t="n">
        <f aca="false">D58*(1+$B$47)</f>
        <v>1121576.67404246</v>
      </c>
      <c r="F58" s="5" t="n">
        <f aca="false">E58*(1+$B$47)</f>
        <v>1160831.85763395</v>
      </c>
      <c r="G58" s="5" t="n">
        <f aca="false">F58*(1+$B$47)</f>
        <v>1201460.97265114</v>
      </c>
    </row>
    <row r="59" customFormat="false" ht="15" hidden="false" customHeight="false" outlineLevel="0" collapsed="false">
      <c r="A59" s="3" t="s">
        <v>81</v>
      </c>
      <c r="B59" s="5" t="n">
        <f aca="false">Datos!G35</f>
        <v>78493.8</v>
      </c>
      <c r="C59" s="5" t="n">
        <f aca="false">C58*$B$48</f>
        <v>81241.083</v>
      </c>
      <c r="D59" s="5" t="n">
        <f aca="false">D58*$B$48</f>
        <v>84084.520905</v>
      </c>
      <c r="E59" s="5" t="n">
        <f aca="false">E58*$B$48</f>
        <v>87027.479136675</v>
      </c>
      <c r="F59" s="5" t="n">
        <f aca="false">F58*$B$48</f>
        <v>90073.4409064586</v>
      </c>
      <c r="G59" s="5" t="n">
        <f aca="false">G58*$B$48</f>
        <v>93226.0113381846</v>
      </c>
    </row>
    <row r="60" customFormat="false" ht="15" hidden="false" customHeight="false" outlineLevel="0" collapsed="false">
      <c r="A60" s="3" t="s">
        <v>240</v>
      </c>
      <c r="B60" s="5" t="n">
        <f aca="false">-B59*$B$52</f>
        <v>-23548.14</v>
      </c>
      <c r="C60" s="5" t="n">
        <f aca="false">-C59*$B$52</f>
        <v>-24372.3249</v>
      </c>
      <c r="D60" s="5" t="n">
        <f aca="false">-D59*$B$52</f>
        <v>-25225.3562715</v>
      </c>
      <c r="E60" s="5" t="n">
        <f aca="false">-E59*$B$52</f>
        <v>-26108.2437410025</v>
      </c>
      <c r="F60" s="5" t="n">
        <f aca="false">-F59*$B$52</f>
        <v>-27022.0322719376</v>
      </c>
      <c r="G60" s="5" t="n">
        <f aca="false">-G59*$B$52</f>
        <v>-27967.8034014554</v>
      </c>
    </row>
    <row r="61" customFormat="false" ht="15" hidden="false" customHeight="false" outlineLevel="0" collapsed="false">
      <c r="A61" s="3" t="s">
        <v>241</v>
      </c>
      <c r="B61" s="5" t="n">
        <f aca="false">B59+B60</f>
        <v>54945.66</v>
      </c>
      <c r="C61" s="5" t="n">
        <f aca="false">C59+C60</f>
        <v>56868.7581</v>
      </c>
      <c r="D61" s="5" t="n">
        <f aca="false">D59+D60</f>
        <v>58859.1646335</v>
      </c>
      <c r="E61" s="5" t="n">
        <f aca="false">E59+E60</f>
        <v>60919.2353956725</v>
      </c>
      <c r="F61" s="5" t="n">
        <f aca="false">F59+F60</f>
        <v>63051.408634521</v>
      </c>
      <c r="G61" s="5" t="n">
        <f aca="false">G59+G60</f>
        <v>65258.2079367292</v>
      </c>
    </row>
    <row r="62" customFormat="false" ht="15" hidden="false" customHeight="false" outlineLevel="0" collapsed="false">
      <c r="A62" s="3" t="s">
        <v>242</v>
      </c>
      <c r="B62" s="5" t="n">
        <f aca="false">Datos!G40</f>
        <v>24953.1</v>
      </c>
      <c r="C62" s="5" t="n">
        <f aca="false">C58*$B$49</f>
        <v>25826.4585</v>
      </c>
      <c r="D62" s="5" t="n">
        <f aca="false">D58*$B$49</f>
        <v>26730.3845475</v>
      </c>
      <c r="E62" s="5" t="n">
        <f aca="false">E58*$B$49</f>
        <v>27665.9480066625</v>
      </c>
      <c r="F62" s="5" t="n">
        <f aca="false">F58*$B$49</f>
        <v>28634.2561868957</v>
      </c>
      <c r="G62" s="5" t="n">
        <f aca="false">G58*$B$49</f>
        <v>29636.455153437</v>
      </c>
    </row>
    <row r="63" customFormat="false" ht="15" hidden="false" customHeight="false" outlineLevel="0" collapsed="false">
      <c r="A63" s="3" t="s">
        <v>243</v>
      </c>
      <c r="B63" s="5" t="n">
        <f aca="false">-Datos!G42</f>
        <v>-38982</v>
      </c>
      <c r="C63" s="5" t="n">
        <f aca="false">-C58*$B$50</f>
        <v>-40346.37</v>
      </c>
      <c r="D63" s="5" t="n">
        <f aca="false">-D58*$B$50</f>
        <v>-41758.49295</v>
      </c>
      <c r="E63" s="5" t="n">
        <f aca="false">-E58*$B$50</f>
        <v>-43220.04020325</v>
      </c>
      <c r="F63" s="5" t="n">
        <f aca="false">-F58*$B$50</f>
        <v>-44732.7416103637</v>
      </c>
      <c r="G63" s="5" t="n">
        <f aca="false">-G58*$B$50</f>
        <v>-46298.3875667265</v>
      </c>
    </row>
    <row r="64" customFormat="false" ht="15" hidden="false" customHeight="false" outlineLevel="0" collapsed="false">
      <c r="A64" s="3" t="s">
        <v>244</v>
      </c>
      <c r="B64" s="5" t="n">
        <v>0</v>
      </c>
      <c r="C64" s="5" t="n">
        <f aca="false">-(C58-B58)*$B$51</f>
        <v>-0</v>
      </c>
      <c r="D64" s="5" t="n">
        <f aca="false">-(D58-C58)*$B$51</f>
        <v>-0</v>
      </c>
      <c r="E64" s="5" t="n">
        <f aca="false">-(E58-D58)*$B$51</f>
        <v>-0</v>
      </c>
      <c r="F64" s="5" t="n">
        <f aca="false">-(F58-E58)*$B$51</f>
        <v>-0</v>
      </c>
      <c r="G64" s="5" t="n">
        <f aca="false">-(G58-F58)*$B$51</f>
        <v>-0</v>
      </c>
    </row>
    <row r="65" customFormat="false" ht="15" hidden="false" customHeight="false" outlineLevel="0" collapsed="false">
      <c r="A65" s="3" t="s">
        <v>245</v>
      </c>
      <c r="B65" s="5" t="n">
        <f aca="false">B61+B62+B63+B64</f>
        <v>40916.76</v>
      </c>
      <c r="C65" s="5" t="n">
        <f aca="false">C61+C62+C63+C64</f>
        <v>42348.8466</v>
      </c>
      <c r="D65" s="5" t="n">
        <f aca="false">D61+D62+D63+D64</f>
        <v>43831.056231</v>
      </c>
      <c r="E65" s="5" t="n">
        <f aca="false">E61+E62+E63+E64</f>
        <v>45365.143199085</v>
      </c>
      <c r="F65" s="5" t="n">
        <f aca="false">F61+F62+F63+F64</f>
        <v>46952.923211053</v>
      </c>
      <c r="G65" s="5" t="n">
        <f aca="false">G61+G62+G63+G64</f>
        <v>48596.2755234398</v>
      </c>
    </row>
    <row r="66" customFormat="false" ht="15" hidden="false" customHeight="false" outlineLevel="0" collapsed="false">
      <c r="A66" s="3" t="s">
        <v>246</v>
      </c>
      <c r="B66" s="46"/>
      <c r="C66" s="46" t="n">
        <f aca="false">1/(1+$B$53)^C57</f>
        <v>0.891035713496784</v>
      </c>
      <c r="D66" s="46" t="n">
        <f aca="false">1/(1+$B$53)^D57</f>
        <v>0.793944642726722</v>
      </c>
      <c r="E66" s="46" t="n">
        <f aca="false">1/(1+$B$53)^E57</f>
        <v>0.707433031208954</v>
      </c>
      <c r="F66" s="46" t="n">
        <f aca="false">1/(1+$B$53)^F57</f>
        <v>0.630348095714462</v>
      </c>
      <c r="G66" s="46" t="n">
        <f aca="false">1/(1+$B$53)^G57</f>
        <v>0.561662665216275</v>
      </c>
    </row>
    <row r="67" customFormat="false" ht="15" hidden="false" customHeight="false" outlineLevel="0" collapsed="false">
      <c r="A67" s="3" t="s">
        <v>247</v>
      </c>
      <c r="B67" s="5"/>
      <c r="C67" s="5" t="n">
        <f aca="false">C65*C66</f>
        <v>37734.3347459968</v>
      </c>
      <c r="D67" s="5" t="n">
        <f aca="false">D65*D66</f>
        <v>34799.4322796562</v>
      </c>
      <c r="E67" s="5" t="n">
        <f aca="false">E65*E66</f>
        <v>32092.8007645569</v>
      </c>
      <c r="F67" s="5" t="n">
        <f aca="false">F65*F66</f>
        <v>29596.6857343146</v>
      </c>
      <c r="G67" s="5" t="n">
        <f aca="false">G65*G66</f>
        <v>27294.7136300796</v>
      </c>
    </row>
    <row r="69" customFormat="false" ht="15" hidden="false" customHeight="false" outlineLevel="0" collapsed="false">
      <c r="A69" s="3" t="s">
        <v>8</v>
      </c>
      <c r="B69" s="5" t="n">
        <f aca="false">SUM(C67:G67)</f>
        <v>161517.967154604</v>
      </c>
      <c r="C69" s="2"/>
      <c r="D69" s="2"/>
      <c r="E69" s="2"/>
      <c r="F69" s="2"/>
      <c r="G69" s="2"/>
    </row>
    <row r="70" customFormat="false" ht="15" hidden="false" customHeight="false" outlineLevel="0" collapsed="false">
      <c r="A70" s="3" t="s">
        <v>248</v>
      </c>
      <c r="B70" s="5" t="n">
        <f aca="false">G65*(1+B54)</f>
        <v>50297.1451667602</v>
      </c>
    </row>
    <row r="71" customFormat="false" ht="15" hidden="false" customHeight="false" outlineLevel="0" collapsed="false">
      <c r="A71" s="3" t="s">
        <v>249</v>
      </c>
      <c r="B71" s="5" t="n">
        <f aca="false">B70/(B53-B54)</f>
        <v>576210.902582394</v>
      </c>
      <c r="C71" s="2"/>
      <c r="D71" s="2"/>
      <c r="E71" s="2"/>
      <c r="F71" s="2"/>
      <c r="G71" s="2"/>
    </row>
    <row r="72" customFormat="false" ht="15" hidden="false" customHeight="false" outlineLevel="0" collapsed="false">
      <c r="A72" s="3" t="s">
        <v>10</v>
      </c>
      <c r="B72" s="5" t="n">
        <f aca="false">B71*G66</f>
        <v>323636.151271103</v>
      </c>
    </row>
    <row r="73" customFormat="false" ht="15" hidden="false" customHeight="false" outlineLevel="0" collapsed="false">
      <c r="A73" s="3" t="s">
        <v>250</v>
      </c>
      <c r="B73" s="5" t="n">
        <f aca="false">B69+B72</f>
        <v>485154.118425707</v>
      </c>
      <c r="C73" s="2"/>
      <c r="D73" s="2"/>
      <c r="E73" s="2"/>
      <c r="F73" s="2"/>
      <c r="G73" s="2"/>
    </row>
    <row r="74" customFormat="false" ht="15" hidden="false" customHeight="false" outlineLevel="0" collapsed="false">
      <c r="A74" s="3" t="s">
        <v>251</v>
      </c>
      <c r="B74" s="5" t="n">
        <f aca="false">-WACC!C21</f>
        <v>-80848.1</v>
      </c>
    </row>
    <row r="75" customFormat="false" ht="15" hidden="false" customHeight="false" outlineLevel="0" collapsed="false">
      <c r="A75" s="3" t="s">
        <v>252</v>
      </c>
      <c r="B75" s="5" t="n">
        <f aca="false">WACC!C22</f>
        <v>28591.2</v>
      </c>
    </row>
    <row r="76" customFormat="false" ht="15" hidden="false" customHeight="false" outlineLevel="0" collapsed="false">
      <c r="A76" s="3" t="s">
        <v>253</v>
      </c>
      <c r="B76" s="5" t="n">
        <f aca="false">-(B74+B75)</f>
        <v>52256.9</v>
      </c>
    </row>
    <row r="77" customFormat="false" ht="15" hidden="false" customHeight="false" outlineLevel="0" collapsed="false">
      <c r="A77" s="3" t="s">
        <v>254</v>
      </c>
      <c r="B77" s="5" t="n">
        <f aca="false">B73+B74+B75</f>
        <v>432897.218425707</v>
      </c>
      <c r="C77" s="2"/>
      <c r="D77" s="2"/>
      <c r="E77" s="2"/>
      <c r="F77" s="2"/>
      <c r="G77" s="2"/>
    </row>
    <row r="78" customFormat="false" ht="15" hidden="false" customHeight="false" outlineLevel="0" collapsed="false">
      <c r="A78" s="3" t="s">
        <v>57</v>
      </c>
      <c r="B78" s="5" t="n">
        <f aca="false">WACC!C17</f>
        <v>17459.712543554</v>
      </c>
    </row>
    <row r="79" customFormat="false" ht="15" hidden="false" customHeight="false" outlineLevel="0" collapsed="false">
      <c r="A79" s="3" t="s">
        <v>15</v>
      </c>
      <c r="B79" s="6" t="n">
        <f aca="false">B77/B78</f>
        <v>24.7940633241141</v>
      </c>
      <c r="C79" s="2"/>
      <c r="D79" s="2"/>
      <c r="E79" s="2"/>
      <c r="F79" s="2"/>
      <c r="G79" s="2"/>
    </row>
    <row r="80" customFormat="false" ht="15" hidden="false" customHeight="false" outlineLevel="0" collapsed="false">
      <c r="A80" s="3" t="s">
        <v>16</v>
      </c>
      <c r="B80" s="6" t="n">
        <f aca="false">WACC!C13</f>
        <v>46.6</v>
      </c>
    </row>
    <row r="81" customFormat="false" ht="15" hidden="false" customHeight="false" outlineLevel="0" collapsed="false">
      <c r="A81" s="3" t="s">
        <v>17</v>
      </c>
      <c r="B81" s="7" t="n">
        <f aca="false">B79/B80-1</f>
        <v>-0.467938555276522</v>
      </c>
    </row>
    <row r="82" customFormat="false" ht="15" hidden="false" customHeight="false" outlineLevel="0" collapsed="false">
      <c r="A82" s="3" t="s">
        <v>258</v>
      </c>
      <c r="B82" s="7" t="n">
        <f aca="false">B72/B73</f>
        <v>0.667079055870495</v>
      </c>
    </row>
    <row r="84" customFormat="false" ht="15" hidden="false" customHeight="false" outlineLevel="0" collapsed="false">
      <c r="A84" s="43" t="s">
        <v>193</v>
      </c>
      <c r="B84" s="44" t="s">
        <v>225</v>
      </c>
      <c r="C84" s="1" t="s">
        <v>226</v>
      </c>
      <c r="D84" s="1" t="s">
        <v>227</v>
      </c>
      <c r="E84" s="1" t="s">
        <v>228</v>
      </c>
      <c r="F84" s="1" t="s">
        <v>229</v>
      </c>
      <c r="G84" s="1" t="s">
        <v>230</v>
      </c>
      <c r="H84" s="2"/>
      <c r="I84" s="2"/>
      <c r="J84" s="2"/>
    </row>
    <row r="85" customFormat="false" ht="15" hidden="false" customHeight="false" outlineLevel="0" collapsed="false">
      <c r="A85" s="3" t="s">
        <v>231</v>
      </c>
      <c r="B85" s="4" t="n">
        <f aca="false">$B$5</f>
        <v>0.035</v>
      </c>
      <c r="C85" s="27"/>
      <c r="D85" s="27"/>
      <c r="E85" s="27"/>
      <c r="F85" s="27"/>
      <c r="G85" s="27"/>
    </row>
    <row r="86" customFormat="false" ht="15" hidden="false" customHeight="false" outlineLevel="0" collapsed="false">
      <c r="A86" s="3" t="s">
        <v>232</v>
      </c>
      <c r="B86" s="4" t="n">
        <f aca="false">Datos!G61/Datos!G58</f>
        <v>0.0511249649313535</v>
      </c>
      <c r="C86" s="27"/>
      <c r="D86" s="27"/>
      <c r="E86" s="27"/>
      <c r="F86" s="27"/>
      <c r="G86" s="27"/>
    </row>
    <row r="87" customFormat="false" ht="15" hidden="false" customHeight="false" outlineLevel="0" collapsed="false">
      <c r="A87" s="3" t="s">
        <v>233</v>
      </c>
      <c r="B87" s="4" t="n">
        <f aca="false">Datos!G66/Datos!G58</f>
        <v>0.0314690838029329</v>
      </c>
      <c r="C87" s="27"/>
      <c r="D87" s="27"/>
      <c r="E87" s="27"/>
      <c r="F87" s="27"/>
      <c r="G87" s="27"/>
    </row>
    <row r="88" customFormat="false" ht="15" hidden="false" customHeight="false" outlineLevel="0" collapsed="false">
      <c r="A88" s="3" t="s">
        <v>234</v>
      </c>
      <c r="B88" s="4" t="n">
        <f aca="false">Datos!G68/Datos!G58</f>
        <v>0.0262361052392939</v>
      </c>
      <c r="C88" s="27"/>
      <c r="D88" s="27"/>
      <c r="E88" s="27"/>
      <c r="F88" s="27"/>
      <c r="G88" s="27"/>
    </row>
    <row r="89" customFormat="false" ht="15" hidden="false" customHeight="false" outlineLevel="0" collapsed="false">
      <c r="A89" s="3" t="s">
        <v>235</v>
      </c>
      <c r="B89" s="4" t="n">
        <v>0</v>
      </c>
      <c r="C89" s="27"/>
      <c r="D89" s="27"/>
      <c r="E89" s="27"/>
      <c r="F89" s="27"/>
      <c r="G89" s="27"/>
    </row>
    <row r="90" customFormat="false" ht="15" hidden="false" customHeight="false" outlineLevel="0" collapsed="false">
      <c r="A90" s="3" t="s">
        <v>236</v>
      </c>
      <c r="B90" s="4" t="n">
        <f aca="false">WACC!D10</f>
        <v>0.3</v>
      </c>
      <c r="C90" s="27"/>
      <c r="D90" s="27"/>
      <c r="E90" s="27"/>
      <c r="F90" s="27"/>
      <c r="G90" s="27"/>
    </row>
    <row r="91" customFormat="false" ht="15" hidden="false" customHeight="false" outlineLevel="0" collapsed="false">
      <c r="A91" s="3" t="s">
        <v>5</v>
      </c>
      <c r="B91" s="4" t="n">
        <f aca="false">WACC!D33</f>
        <v>0.100912937683063</v>
      </c>
      <c r="C91" s="27"/>
      <c r="D91" s="27"/>
      <c r="E91" s="27"/>
      <c r="F91" s="27"/>
      <c r="G91" s="27"/>
    </row>
    <row r="92" customFormat="false" ht="15" hidden="false" customHeight="false" outlineLevel="0" collapsed="false">
      <c r="A92" s="3" t="s">
        <v>6</v>
      </c>
      <c r="B92" s="4" t="n">
        <f aca="false">$B$4</f>
        <v>0.035</v>
      </c>
      <c r="C92" s="27"/>
      <c r="D92" s="27"/>
      <c r="E92" s="27"/>
      <c r="F92" s="27"/>
      <c r="G92" s="27"/>
    </row>
    <row r="94" customFormat="false" ht="15" hidden="false" customHeight="false" outlineLevel="0" collapsed="false">
      <c r="A94" s="1" t="s">
        <v>237</v>
      </c>
      <c r="B94" s="1" t="s">
        <v>225</v>
      </c>
      <c r="C94" s="1" t="s">
        <v>226</v>
      </c>
      <c r="D94" s="1" t="s">
        <v>227</v>
      </c>
      <c r="E94" s="1" t="s">
        <v>228</v>
      </c>
      <c r="F94" s="1" t="s">
        <v>229</v>
      </c>
      <c r="G94" s="1" t="s">
        <v>230</v>
      </c>
      <c r="H94" s="2"/>
      <c r="I94" s="2"/>
      <c r="J94" s="2"/>
    </row>
    <row r="95" customFormat="false" ht="15" hidden="false" customHeight="false" outlineLevel="0" collapsed="false">
      <c r="A95" s="3" t="s">
        <v>238</v>
      </c>
      <c r="B95" s="45" t="n">
        <v>0</v>
      </c>
      <c r="C95" s="45" t="n">
        <v>1</v>
      </c>
      <c r="D95" s="45" t="n">
        <v>2</v>
      </c>
      <c r="E95" s="45" t="n">
        <v>3</v>
      </c>
      <c r="F95" s="45" t="n">
        <v>4</v>
      </c>
      <c r="G95" s="45" t="n">
        <v>5</v>
      </c>
      <c r="H95" s="35"/>
      <c r="I95" s="35"/>
      <c r="J95" s="35"/>
      <c r="K95" s="35"/>
      <c r="L95" s="35"/>
    </row>
    <row r="96" customFormat="false" ht="15" hidden="false" customHeight="false" outlineLevel="0" collapsed="false">
      <c r="A96" s="3" t="s">
        <v>239</v>
      </c>
      <c r="B96" s="5" t="n">
        <f aca="false">Datos!G58</f>
        <v>295313.65</v>
      </c>
      <c r="C96" s="5" t="n">
        <f aca="false">B96*(1+$B$85)</f>
        <v>305649.62775</v>
      </c>
      <c r="D96" s="5" t="n">
        <f aca="false">C96*(1+$B$85)</f>
        <v>316347.36472125</v>
      </c>
      <c r="E96" s="5" t="n">
        <f aca="false">D96*(1+$B$85)</f>
        <v>327419.522486494</v>
      </c>
      <c r="F96" s="5" t="n">
        <f aca="false">E96*(1+$B$85)</f>
        <v>338879.205773521</v>
      </c>
      <c r="G96" s="5" t="n">
        <f aca="false">F96*(1+$B$85)</f>
        <v>350739.977975594</v>
      </c>
      <c r="H96" s="35"/>
      <c r="I96" s="35"/>
      <c r="J96" s="35"/>
      <c r="K96" s="35"/>
      <c r="L96" s="35"/>
    </row>
    <row r="97" customFormat="false" ht="15" hidden="false" customHeight="false" outlineLevel="0" collapsed="false">
      <c r="A97" s="3" t="s">
        <v>81</v>
      </c>
      <c r="B97" s="5" t="n">
        <f aca="false">Datos!G61</f>
        <v>15097.9</v>
      </c>
      <c r="C97" s="5" t="n">
        <f aca="false">C96*$B$86</f>
        <v>15626.3265</v>
      </c>
      <c r="D97" s="5" t="n">
        <f aca="false">D96*$B$86</f>
        <v>16173.2479275</v>
      </c>
      <c r="E97" s="5" t="n">
        <f aca="false">E96*$B$86</f>
        <v>16739.3116049625</v>
      </c>
      <c r="F97" s="5" t="n">
        <f aca="false">F96*$B$86</f>
        <v>17325.1875111362</v>
      </c>
      <c r="G97" s="5" t="n">
        <f aca="false">G96*$B$86</f>
        <v>17931.5690740259</v>
      </c>
      <c r="H97" s="35"/>
      <c r="I97" s="35"/>
      <c r="J97" s="35"/>
      <c r="K97" s="35"/>
      <c r="L97" s="35"/>
    </row>
    <row r="98" customFormat="false" ht="15" hidden="false" customHeight="false" outlineLevel="0" collapsed="false">
      <c r="A98" s="3" t="s">
        <v>240</v>
      </c>
      <c r="B98" s="5" t="n">
        <f aca="false">-B97*$B$90</f>
        <v>-4529.37</v>
      </c>
      <c r="C98" s="5" t="n">
        <f aca="false">-C97*$B$90</f>
        <v>-4687.89795</v>
      </c>
      <c r="D98" s="5" t="n">
        <f aca="false">-D97*$B$90</f>
        <v>-4851.97437825</v>
      </c>
      <c r="E98" s="5" t="n">
        <f aca="false">-E97*$B$90</f>
        <v>-5021.79348148875</v>
      </c>
      <c r="F98" s="5" t="n">
        <f aca="false">-F97*$B$90</f>
        <v>-5197.55625334085</v>
      </c>
      <c r="G98" s="5" t="n">
        <f aca="false">-G97*$B$90</f>
        <v>-5379.47072220778</v>
      </c>
      <c r="H98" s="35"/>
      <c r="I98" s="35"/>
      <c r="J98" s="35"/>
      <c r="K98" s="35"/>
      <c r="L98" s="35"/>
    </row>
    <row r="99" customFormat="false" ht="15" hidden="false" customHeight="false" outlineLevel="0" collapsed="false">
      <c r="A99" s="3" t="s">
        <v>241</v>
      </c>
      <c r="B99" s="5" t="n">
        <f aca="false">B97+B98</f>
        <v>10568.53</v>
      </c>
      <c r="C99" s="5" t="n">
        <f aca="false">C97+C98</f>
        <v>10938.42855</v>
      </c>
      <c r="D99" s="5" t="n">
        <f aca="false">D97+D98</f>
        <v>11321.27354925</v>
      </c>
      <c r="E99" s="5" t="n">
        <f aca="false">E97+E98</f>
        <v>11717.5181234737</v>
      </c>
      <c r="F99" s="5" t="n">
        <f aca="false">F97+F98</f>
        <v>12127.6312577953</v>
      </c>
      <c r="G99" s="5" t="n">
        <f aca="false">G97+G98</f>
        <v>12552.0983518182</v>
      </c>
      <c r="H99" s="35"/>
      <c r="I99" s="35"/>
      <c r="J99" s="35"/>
      <c r="K99" s="35"/>
      <c r="L99" s="35"/>
    </row>
    <row r="100" customFormat="false" ht="15" hidden="false" customHeight="false" outlineLevel="0" collapsed="false">
      <c r="A100" s="3" t="s">
        <v>242</v>
      </c>
      <c r="B100" s="5" t="n">
        <f aca="false">Datos!G66</f>
        <v>9293.25</v>
      </c>
      <c r="C100" s="5" t="n">
        <f aca="false">C96*$B$87</f>
        <v>9618.51375</v>
      </c>
      <c r="D100" s="5" t="n">
        <f aca="false">D96*$B$87</f>
        <v>9955.16173125</v>
      </c>
      <c r="E100" s="5" t="n">
        <f aca="false">E96*$B$87</f>
        <v>10303.5923918438</v>
      </c>
      <c r="F100" s="5" t="n">
        <f aca="false">F96*$B$87</f>
        <v>10664.2181255583</v>
      </c>
      <c r="G100" s="5" t="n">
        <f aca="false">G96*$B$87</f>
        <v>11037.4657599528</v>
      </c>
      <c r="H100" s="35"/>
      <c r="I100" s="35"/>
      <c r="J100" s="35"/>
      <c r="K100" s="35"/>
      <c r="L100" s="35"/>
    </row>
    <row r="101" customFormat="false" ht="15" hidden="false" customHeight="false" outlineLevel="0" collapsed="false">
      <c r="A101" s="3" t="s">
        <v>243</v>
      </c>
      <c r="B101" s="5" t="n">
        <f aca="false">-Datos!G68</f>
        <v>-7747.88</v>
      </c>
      <c r="C101" s="5" t="n">
        <f aca="false">-C96*$B$88</f>
        <v>-8019.0558</v>
      </c>
      <c r="D101" s="5" t="n">
        <f aca="false">-D96*$B$88</f>
        <v>-8299.722753</v>
      </c>
      <c r="E101" s="5" t="n">
        <f aca="false">-E96*$B$88</f>
        <v>-8590.213049355</v>
      </c>
      <c r="F101" s="5" t="n">
        <f aca="false">-F96*$B$88</f>
        <v>-8890.87050608242</v>
      </c>
      <c r="G101" s="5" t="n">
        <f aca="false">-G96*$B$88</f>
        <v>-9202.05097379531</v>
      </c>
      <c r="H101" s="35"/>
      <c r="I101" s="35"/>
      <c r="J101" s="35"/>
      <c r="K101" s="35"/>
      <c r="L101" s="35"/>
    </row>
    <row r="102" customFormat="false" ht="15" hidden="false" customHeight="false" outlineLevel="0" collapsed="false">
      <c r="A102" s="3" t="s">
        <v>244</v>
      </c>
      <c r="B102" s="5" t="n">
        <v>0</v>
      </c>
      <c r="C102" s="5" t="n">
        <f aca="false">-(C96-B96)*$B$89</f>
        <v>-0</v>
      </c>
      <c r="D102" s="5" t="n">
        <f aca="false">-(D96-C96)*$B$89</f>
        <v>-0</v>
      </c>
      <c r="E102" s="5" t="n">
        <f aca="false">-(E96-D96)*$B$89</f>
        <v>-0</v>
      </c>
      <c r="F102" s="5" t="n">
        <f aca="false">-(F96-E96)*$B$89</f>
        <v>-0</v>
      </c>
      <c r="G102" s="5" t="n">
        <f aca="false">-(G96-F96)*$B$89</f>
        <v>-0</v>
      </c>
      <c r="H102" s="35"/>
      <c r="I102" s="35"/>
      <c r="J102" s="35"/>
      <c r="K102" s="35"/>
      <c r="L102" s="35"/>
    </row>
    <row r="103" customFormat="false" ht="15" hidden="false" customHeight="false" outlineLevel="0" collapsed="false">
      <c r="A103" s="3" t="s">
        <v>245</v>
      </c>
      <c r="B103" s="5" t="n">
        <f aca="false">B99+B100+B101+B102</f>
        <v>12113.9</v>
      </c>
      <c r="C103" s="5" t="n">
        <f aca="false">C99+C100+C101+C102</f>
        <v>12537.8865</v>
      </c>
      <c r="D103" s="5" t="n">
        <f aca="false">D99+D100+D101+D102</f>
        <v>12976.7125275</v>
      </c>
      <c r="E103" s="5" t="n">
        <f aca="false">E99+E100+E101+E102</f>
        <v>13430.8974659625</v>
      </c>
      <c r="F103" s="5" t="n">
        <f aca="false">F99+F100+F101+F102</f>
        <v>13900.9788772712</v>
      </c>
      <c r="G103" s="5" t="n">
        <f aca="false">G99+G100+G101+G102</f>
        <v>14387.5131379757</v>
      </c>
      <c r="H103" s="35"/>
      <c r="I103" s="35"/>
      <c r="J103" s="35"/>
      <c r="K103" s="35"/>
      <c r="L103" s="35"/>
    </row>
    <row r="104" customFormat="false" ht="15" hidden="false" customHeight="false" outlineLevel="0" collapsed="false">
      <c r="A104" s="3" t="s">
        <v>246</v>
      </c>
      <c r="B104" s="46"/>
      <c r="C104" s="46" t="n">
        <f aca="false">1/(1+$B$91)^C95</f>
        <v>0.908337040805934</v>
      </c>
      <c r="D104" s="46" t="n">
        <f aca="false">1/(1+$B$91)^D95</f>
        <v>0.82507617970008</v>
      </c>
      <c r="E104" s="46" t="n">
        <f aca="false">1/(1+$B$91)^E95</f>
        <v>0.749447255508235</v>
      </c>
      <c r="F104" s="46" t="n">
        <f aca="false">1/(1+$B$91)^F95</f>
        <v>0.680750702308479</v>
      </c>
      <c r="G104" s="46" t="n">
        <f aca="false">1/(1+$B$91)^G95</f>
        <v>0.618351078461445</v>
      </c>
      <c r="H104" s="35"/>
      <c r="I104" s="35"/>
      <c r="J104" s="35"/>
      <c r="K104" s="35"/>
      <c r="L104" s="35"/>
    </row>
    <row r="105" customFormat="false" ht="15" hidden="false" customHeight="false" outlineLevel="0" collapsed="false">
      <c r="A105" s="3" t="s">
        <v>247</v>
      </c>
      <c r="B105" s="5"/>
      <c r="C105" s="5" t="n">
        <f aca="false">C103*C104</f>
        <v>11388.6267213707</v>
      </c>
      <c r="D105" s="5" t="n">
        <f aca="false">D103*D104</f>
        <v>10706.7763972559</v>
      </c>
      <c r="E105" s="5" t="n">
        <f aca="false">E103*E104</f>
        <v>10065.7492448781</v>
      </c>
      <c r="F105" s="5" t="n">
        <f aca="false">F103*F104</f>
        <v>9463.10113347769</v>
      </c>
      <c r="G105" s="5" t="n">
        <f aca="false">G103*G104</f>
        <v>8896.53426524546</v>
      </c>
      <c r="H105" s="35"/>
      <c r="I105" s="35"/>
      <c r="J105" s="35"/>
      <c r="K105" s="35"/>
      <c r="L105" s="35"/>
    </row>
    <row r="106" customFormat="false" ht="15" hidden="false" customHeight="false" outlineLevel="0" collapsed="false"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</row>
    <row r="107" customFormat="false" ht="15" hidden="false" customHeight="false" outlineLevel="0" collapsed="false">
      <c r="A107" s="3" t="s">
        <v>8</v>
      </c>
      <c r="B107" s="5" t="n">
        <f aca="false">SUM(C105:G105)</f>
        <v>50520.7877622278</v>
      </c>
      <c r="C107" s="47"/>
      <c r="D107" s="47"/>
      <c r="E107" s="47"/>
      <c r="F107" s="47"/>
      <c r="G107" s="47"/>
      <c r="H107" s="35"/>
      <c r="I107" s="35"/>
      <c r="J107" s="35"/>
      <c r="K107" s="35"/>
      <c r="L107" s="35"/>
    </row>
    <row r="108" customFormat="false" ht="15" hidden="false" customHeight="false" outlineLevel="0" collapsed="false">
      <c r="A108" s="3" t="s">
        <v>248</v>
      </c>
      <c r="B108" s="5" t="n">
        <f aca="false">G103*(1+B92)</f>
        <v>14891.0760978048</v>
      </c>
    </row>
    <row r="109" customFormat="false" ht="15" hidden="false" customHeight="false" outlineLevel="0" collapsed="false">
      <c r="A109" s="3" t="s">
        <v>249</v>
      </c>
      <c r="B109" s="5" t="n">
        <f aca="false">B108/(B91-B92)</f>
        <v>225920.382572045</v>
      </c>
      <c r="C109" s="2"/>
      <c r="D109" s="2"/>
      <c r="E109" s="2"/>
      <c r="F109" s="2"/>
      <c r="G109" s="2"/>
    </row>
    <row r="110" customFormat="false" ht="15" hidden="false" customHeight="false" outlineLevel="0" collapsed="false">
      <c r="A110" s="3" t="s">
        <v>10</v>
      </c>
      <c r="B110" s="5" t="n">
        <f aca="false">B109*G104</f>
        <v>139698.112209846</v>
      </c>
    </row>
    <row r="111" customFormat="false" ht="15" hidden="false" customHeight="false" outlineLevel="0" collapsed="false">
      <c r="A111" s="3" t="s">
        <v>250</v>
      </c>
      <c r="B111" s="5" t="n">
        <f aca="false">B107+B110</f>
        <v>190218.899972074</v>
      </c>
      <c r="C111" s="2"/>
      <c r="D111" s="2"/>
      <c r="E111" s="2"/>
      <c r="F111" s="2"/>
      <c r="G111" s="2"/>
    </row>
    <row r="112" customFormat="false" ht="15" hidden="false" customHeight="false" outlineLevel="0" collapsed="false">
      <c r="A112" s="3" t="s">
        <v>251</v>
      </c>
      <c r="B112" s="5" t="n">
        <f aca="false">-WACC!D21</f>
        <v>-56744.34</v>
      </c>
    </row>
    <row r="113" customFormat="false" ht="15" hidden="false" customHeight="false" outlineLevel="0" collapsed="false">
      <c r="A113" s="3" t="s">
        <v>252</v>
      </c>
      <c r="B113" s="5" t="n">
        <f aca="false">WACC!D22</f>
        <v>14640.16</v>
      </c>
    </row>
    <row r="114" customFormat="false" ht="15" hidden="false" customHeight="false" outlineLevel="0" collapsed="false">
      <c r="A114" s="3" t="s">
        <v>253</v>
      </c>
      <c r="B114" s="5" t="n">
        <f aca="false">-(B112+B113)</f>
        <v>42104.18</v>
      </c>
    </row>
    <row r="115" customFormat="false" ht="15" hidden="false" customHeight="false" outlineLevel="0" collapsed="false">
      <c r="A115" s="3" t="s">
        <v>254</v>
      </c>
      <c r="B115" s="5" t="n">
        <f aca="false">B111+B112+B113</f>
        <v>148114.719972074</v>
      </c>
      <c r="C115" s="2"/>
      <c r="D115" s="2"/>
      <c r="E115" s="2"/>
      <c r="F115" s="2"/>
      <c r="G115" s="2"/>
    </row>
    <row r="116" customFormat="false" ht="15" hidden="false" customHeight="false" outlineLevel="0" collapsed="false">
      <c r="A116" s="3" t="s">
        <v>57</v>
      </c>
      <c r="B116" s="5" t="n">
        <f aca="false">WACC!D17</f>
        <v>960.254200775528</v>
      </c>
    </row>
    <row r="117" customFormat="false" ht="15" hidden="false" customHeight="false" outlineLevel="0" collapsed="false">
      <c r="A117" s="3" t="s">
        <v>15</v>
      </c>
      <c r="B117" s="6" t="n">
        <f aca="false">B115/B116</f>
        <v>154.24532363665</v>
      </c>
      <c r="C117" s="2"/>
      <c r="D117" s="2"/>
      <c r="E117" s="2"/>
      <c r="F117" s="2"/>
      <c r="G117" s="2"/>
    </row>
    <row r="118" customFormat="false" ht="15" hidden="false" customHeight="false" outlineLevel="0" collapsed="false">
      <c r="A118" s="3" t="s">
        <v>16</v>
      </c>
      <c r="B118" s="6" t="n">
        <f aca="false">WACC!D13</f>
        <v>92.94</v>
      </c>
    </row>
    <row r="119" customFormat="false" ht="15" hidden="false" customHeight="false" outlineLevel="0" collapsed="false">
      <c r="A119" s="3" t="s">
        <v>17</v>
      </c>
      <c r="B119" s="7" t="n">
        <f aca="false">B117/B118-1</f>
        <v>0.65962259131321</v>
      </c>
    </row>
    <row r="120" customFormat="false" ht="15" hidden="false" customHeight="false" outlineLevel="0" collapsed="false">
      <c r="A120" s="3" t="s">
        <v>258</v>
      </c>
      <c r="B120" s="7" t="n">
        <f aca="false">B110/B111</f>
        <v>0.734407107970634</v>
      </c>
    </row>
    <row r="122" customFormat="false" ht="15" hidden="false" customHeight="false" outlineLevel="0" collapsed="false">
      <c r="A122" s="43" t="s">
        <v>194</v>
      </c>
      <c r="B122" s="44" t="s">
        <v>225</v>
      </c>
      <c r="C122" s="1" t="s">
        <v>226</v>
      </c>
      <c r="D122" s="1" t="s">
        <v>227</v>
      </c>
      <c r="E122" s="1" t="s">
        <v>228</v>
      </c>
      <c r="F122" s="1" t="s">
        <v>229</v>
      </c>
      <c r="G122" s="1" t="s">
        <v>230</v>
      </c>
      <c r="H122" s="2"/>
      <c r="I122" s="2"/>
      <c r="J122" s="2"/>
    </row>
    <row r="123" customFormat="false" ht="15" hidden="false" customHeight="false" outlineLevel="0" collapsed="false">
      <c r="A123" s="3" t="s">
        <v>231</v>
      </c>
      <c r="B123" s="4" t="n">
        <f aca="false">$B$5</f>
        <v>0.035</v>
      </c>
      <c r="C123" s="27"/>
      <c r="D123" s="27"/>
      <c r="E123" s="27"/>
      <c r="F123" s="27"/>
      <c r="G123" s="27"/>
    </row>
    <row r="124" customFormat="false" ht="15" hidden="false" customHeight="false" outlineLevel="0" collapsed="false">
      <c r="A124" s="3" t="s">
        <v>232</v>
      </c>
      <c r="B124" s="4" t="n">
        <f aca="false">Datos!G87/Datos!G84</f>
        <v>0.0749907841160242</v>
      </c>
      <c r="C124" s="27"/>
      <c r="D124" s="27"/>
      <c r="E124" s="27"/>
      <c r="F124" s="27"/>
      <c r="G124" s="27"/>
    </row>
    <row r="125" customFormat="false" ht="15" hidden="false" customHeight="false" outlineLevel="0" collapsed="false">
      <c r="A125" s="3" t="s">
        <v>233</v>
      </c>
      <c r="B125" s="4" t="n">
        <f aca="false">Datos!G92/Datos!G84</f>
        <v>0.0347332531372563</v>
      </c>
      <c r="C125" s="27"/>
      <c r="D125" s="27"/>
      <c r="E125" s="27"/>
      <c r="F125" s="27"/>
      <c r="G125" s="27"/>
    </row>
    <row r="126" customFormat="false" ht="15" hidden="false" customHeight="false" outlineLevel="0" collapsed="false">
      <c r="A126" s="3" t="s">
        <v>234</v>
      </c>
      <c r="B126" s="4" t="n">
        <f aca="false">Datos!G94/Datos!G84</f>
        <v>0.0808530205211796</v>
      </c>
      <c r="C126" s="27"/>
      <c r="D126" s="27"/>
      <c r="E126" s="27"/>
      <c r="F126" s="27"/>
      <c r="G126" s="27"/>
    </row>
    <row r="127" customFormat="false" ht="15" hidden="false" customHeight="false" outlineLevel="0" collapsed="false">
      <c r="A127" s="3" t="s">
        <v>235</v>
      </c>
      <c r="B127" s="4" t="n">
        <v>0</v>
      </c>
      <c r="C127" s="27"/>
      <c r="D127" s="27"/>
      <c r="E127" s="27"/>
      <c r="F127" s="27"/>
      <c r="G127" s="27"/>
    </row>
    <row r="128" customFormat="false" ht="15" hidden="false" customHeight="false" outlineLevel="0" collapsed="false">
      <c r="A128" s="3" t="s">
        <v>236</v>
      </c>
      <c r="B128" s="4" t="n">
        <f aca="false">WACC!E10</f>
        <v>0.3</v>
      </c>
      <c r="C128" s="27"/>
      <c r="D128" s="27"/>
      <c r="E128" s="27"/>
      <c r="F128" s="27"/>
      <c r="G128" s="27"/>
    </row>
    <row r="129" customFormat="false" ht="15" hidden="false" customHeight="false" outlineLevel="0" collapsed="false">
      <c r="A129" s="3" t="s">
        <v>5</v>
      </c>
      <c r="B129" s="4" t="n">
        <f aca="false">WACC!E33</f>
        <v>0.120853587694298</v>
      </c>
      <c r="C129" s="27"/>
      <c r="D129" s="27"/>
      <c r="E129" s="27"/>
      <c r="F129" s="27"/>
      <c r="G129" s="27"/>
    </row>
    <row r="130" customFormat="false" ht="15" hidden="false" customHeight="false" outlineLevel="0" collapsed="false">
      <c r="A130" s="3" t="s">
        <v>6</v>
      </c>
      <c r="B130" s="4" t="n">
        <f aca="false">$B$4</f>
        <v>0.035</v>
      </c>
      <c r="C130" s="27"/>
      <c r="D130" s="27"/>
      <c r="E130" s="27"/>
      <c r="F130" s="27"/>
      <c r="G130" s="27"/>
    </row>
    <row r="132" customFormat="false" ht="15" hidden="false" customHeight="false" outlineLevel="0" collapsed="false">
      <c r="A132" s="1" t="s">
        <v>237</v>
      </c>
      <c r="B132" s="1" t="s">
        <v>225</v>
      </c>
      <c r="C132" s="1" t="s">
        <v>226</v>
      </c>
      <c r="D132" s="1" t="s">
        <v>227</v>
      </c>
      <c r="E132" s="1" t="s">
        <v>228</v>
      </c>
      <c r="F132" s="1" t="s">
        <v>229</v>
      </c>
      <c r="G132" s="1" t="s">
        <v>230</v>
      </c>
      <c r="H132" s="2"/>
      <c r="I132" s="2"/>
      <c r="J132" s="2"/>
    </row>
    <row r="133" customFormat="false" ht="15" hidden="false" customHeight="false" outlineLevel="0" collapsed="false">
      <c r="A133" s="3" t="s">
        <v>238</v>
      </c>
      <c r="B133" s="45" t="n">
        <v>0</v>
      </c>
      <c r="C133" s="45" t="n">
        <v>1</v>
      </c>
      <c r="D133" s="45" t="n">
        <v>2</v>
      </c>
      <c r="E133" s="45" t="n">
        <v>3</v>
      </c>
      <c r="F133" s="45" t="n">
        <v>4</v>
      </c>
      <c r="G133" s="45" t="n">
        <v>5</v>
      </c>
    </row>
    <row r="134" customFormat="false" ht="15" hidden="false" customHeight="false" outlineLevel="0" collapsed="false">
      <c r="A134" s="3" t="s">
        <v>239</v>
      </c>
      <c r="B134" s="5" t="n">
        <f aca="false">Datos!G84</f>
        <v>47526.64</v>
      </c>
      <c r="C134" s="5" t="n">
        <f aca="false">B134*(1+$B$123)</f>
        <v>49190.0724</v>
      </c>
      <c r="D134" s="5" t="n">
        <f aca="false">C134*(1+$B$123)</f>
        <v>50911.724934</v>
      </c>
      <c r="E134" s="5" t="n">
        <f aca="false">D134*(1+$B$123)</f>
        <v>52693.63530669</v>
      </c>
      <c r="F134" s="5" t="n">
        <f aca="false">E134*(1+$B$123)</f>
        <v>54537.9125424241</v>
      </c>
      <c r="G134" s="5" t="n">
        <f aca="false">F134*(1+$B$123)</f>
        <v>56446.739481409</v>
      </c>
    </row>
    <row r="135" customFormat="false" ht="15" hidden="false" customHeight="false" outlineLevel="0" collapsed="false">
      <c r="A135" s="3" t="s">
        <v>81</v>
      </c>
      <c r="B135" s="5" t="n">
        <f aca="false">Datos!G87</f>
        <v>3564.06</v>
      </c>
      <c r="C135" s="5" t="n">
        <f aca="false">C134*$B$124</f>
        <v>3688.8021</v>
      </c>
      <c r="D135" s="5" t="n">
        <f aca="false">D134*$B$124</f>
        <v>3817.9101735</v>
      </c>
      <c r="E135" s="5" t="n">
        <f aca="false">E134*$B$124</f>
        <v>3951.5370295725</v>
      </c>
      <c r="F135" s="5" t="n">
        <f aca="false">F134*$B$124</f>
        <v>4089.84082560754</v>
      </c>
      <c r="G135" s="5" t="n">
        <f aca="false">G134*$B$124</f>
        <v>4232.9852545038</v>
      </c>
    </row>
    <row r="136" customFormat="false" ht="15" hidden="false" customHeight="false" outlineLevel="0" collapsed="false">
      <c r="A136" s="3" t="s">
        <v>240</v>
      </c>
      <c r="B136" s="5" t="n">
        <f aca="false">-B135*$B$128</f>
        <v>-1069.218</v>
      </c>
      <c r="C136" s="5" t="n">
        <f aca="false">-C135*$B$128</f>
        <v>-1106.64063</v>
      </c>
      <c r="D136" s="5" t="n">
        <f aca="false">-D135*$B$128</f>
        <v>-1145.37305205</v>
      </c>
      <c r="E136" s="5" t="n">
        <f aca="false">-E135*$B$128</f>
        <v>-1185.46110887175</v>
      </c>
      <c r="F136" s="5" t="n">
        <f aca="false">-F135*$B$128</f>
        <v>-1226.95224768226</v>
      </c>
      <c r="G136" s="5" t="n">
        <f aca="false">-G135*$B$128</f>
        <v>-1269.89557635114</v>
      </c>
    </row>
    <row r="137" customFormat="false" ht="15" hidden="false" customHeight="false" outlineLevel="0" collapsed="false">
      <c r="A137" s="3" t="s">
        <v>241</v>
      </c>
      <c r="B137" s="5" t="n">
        <f aca="false">B135+B136</f>
        <v>2494.842</v>
      </c>
      <c r="C137" s="5" t="n">
        <f aca="false">C135+C136</f>
        <v>2582.16147</v>
      </c>
      <c r="D137" s="5" t="n">
        <f aca="false">D135+D136</f>
        <v>2672.53712145</v>
      </c>
      <c r="E137" s="5" t="n">
        <f aca="false">E135+E136</f>
        <v>2766.07592070075</v>
      </c>
      <c r="F137" s="5" t="n">
        <f aca="false">F135+F136</f>
        <v>2862.88857792528</v>
      </c>
      <c r="G137" s="5" t="n">
        <f aca="false">G135+G136</f>
        <v>2963.08967815266</v>
      </c>
    </row>
    <row r="138" customFormat="false" ht="15" hidden="false" customHeight="false" outlineLevel="0" collapsed="false">
      <c r="A138" s="3" t="s">
        <v>242</v>
      </c>
      <c r="B138" s="5" t="n">
        <f aca="false">Datos!G92</f>
        <v>1650.75481788325</v>
      </c>
      <c r="C138" s="5" t="n">
        <f aca="false">C134*$B$125</f>
        <v>1708.53123650916</v>
      </c>
      <c r="D138" s="5" t="n">
        <f aca="false">D134*$B$125</f>
        <v>1768.32982978699</v>
      </c>
      <c r="E138" s="5" t="n">
        <f aca="false">E134*$B$125</f>
        <v>1830.22137382953</v>
      </c>
      <c r="F138" s="5" t="n">
        <f aca="false">F134*$B$125</f>
        <v>1894.27912191356</v>
      </c>
      <c r="G138" s="5" t="n">
        <f aca="false">G134*$B$125</f>
        <v>1960.57889118054</v>
      </c>
    </row>
    <row r="139" customFormat="false" ht="15" hidden="false" customHeight="false" outlineLevel="0" collapsed="false">
      <c r="A139" s="3" t="s">
        <v>243</v>
      </c>
      <c r="B139" s="5" t="n">
        <f aca="false">-Datos!G94</f>
        <v>-3842.67239922271</v>
      </c>
      <c r="C139" s="5" t="n">
        <f aca="false">-C134*$B$126</f>
        <v>-3977.16593319551</v>
      </c>
      <c r="D139" s="5" t="n">
        <f aca="false">-D134*$B$126</f>
        <v>-4116.36674085735</v>
      </c>
      <c r="E139" s="5" t="n">
        <f aca="false">-E134*$B$126</f>
        <v>-4260.43957678736</v>
      </c>
      <c r="F139" s="5" t="n">
        <f aca="false">-F134*$B$126</f>
        <v>-4409.55496197492</v>
      </c>
      <c r="G139" s="5" t="n">
        <f aca="false">-G134*$B$126</f>
        <v>-4563.88938564404</v>
      </c>
    </row>
    <row r="140" customFormat="false" ht="15" hidden="false" customHeight="false" outlineLevel="0" collapsed="false">
      <c r="A140" s="3" t="s">
        <v>244</v>
      </c>
      <c r="B140" s="5" t="n">
        <v>0</v>
      </c>
      <c r="C140" s="5" t="n">
        <f aca="false">-(C134-B134)*$B$127</f>
        <v>-0</v>
      </c>
      <c r="D140" s="5" t="n">
        <f aca="false">-(D134-C134)*$B$127</f>
        <v>-0</v>
      </c>
      <c r="E140" s="5" t="n">
        <f aca="false">-(E134-D134)*$B$127</f>
        <v>-0</v>
      </c>
      <c r="F140" s="5" t="n">
        <f aca="false">-(F134-E134)*$B$127</f>
        <v>-0</v>
      </c>
      <c r="G140" s="5" t="n">
        <f aca="false">-(G134-F134)*$B$127</f>
        <v>-0</v>
      </c>
    </row>
    <row r="141" customFormat="false" ht="15" hidden="false" customHeight="false" outlineLevel="0" collapsed="false">
      <c r="A141" s="3" t="s">
        <v>245</v>
      </c>
      <c r="B141" s="5" t="n">
        <f aca="false">B137+B138+B139+B140</f>
        <v>302.924418660537</v>
      </c>
      <c r="C141" s="5" t="n">
        <f aca="false">C137+C138+C139+C140</f>
        <v>313.526773313655</v>
      </c>
      <c r="D141" s="5" t="n">
        <f aca="false">D137+D138+D139+D140</f>
        <v>324.500210379633</v>
      </c>
      <c r="E141" s="5" t="n">
        <f aca="false">E137+E138+E139+E140</f>
        <v>335.857717742921</v>
      </c>
      <c r="F141" s="5" t="n">
        <f aca="false">F137+F138+F139+F140</f>
        <v>347.612737863922</v>
      </c>
      <c r="G141" s="5" t="n">
        <f aca="false">G137+G138+G139+G140</f>
        <v>359.77918368916</v>
      </c>
    </row>
    <row r="142" customFormat="false" ht="15" hidden="false" customHeight="false" outlineLevel="0" collapsed="false">
      <c r="A142" s="3" t="s">
        <v>246</v>
      </c>
      <c r="B142" s="46"/>
      <c r="C142" s="46" t="n">
        <f aca="false">1/(1+$B$129)^C133</f>
        <v>0.892177186189942</v>
      </c>
      <c r="D142" s="46" t="n">
        <f aca="false">1/(1+$B$129)^D133</f>
        <v>0.795980131557802</v>
      </c>
      <c r="E142" s="46" t="n">
        <f aca="false">1/(1+$B$129)^E133</f>
        <v>0.710155314036339</v>
      </c>
      <c r="F142" s="46" t="n">
        <f aca="false">1/(1+$B$129)^F133</f>
        <v>0.633584369834775</v>
      </c>
      <c r="G142" s="46" t="n">
        <f aca="false">1/(1+$B$129)^G133</f>
        <v>0.565269520293117</v>
      </c>
    </row>
    <row r="143" customFormat="false" ht="15" hidden="false" customHeight="false" outlineLevel="0" collapsed="false">
      <c r="A143" s="3" t="s">
        <v>247</v>
      </c>
      <c r="B143" s="5"/>
      <c r="C143" s="5" t="n">
        <f aca="false">C141*C142</f>
        <v>279.721434410188</v>
      </c>
      <c r="D143" s="5" t="n">
        <f aca="false">D141*D142</f>
        <v>258.295720148515</v>
      </c>
      <c r="E143" s="5" t="n">
        <f aca="false">E141*E142</f>
        <v>238.511143015252</v>
      </c>
      <c r="F143" s="5" t="n">
        <f aca="false">F141*F142</f>
        <v>220.241997466054</v>
      </c>
      <c r="G143" s="5" t="n">
        <f aca="false">G141*G142</f>
        <v>203.372206575421</v>
      </c>
    </row>
    <row r="145" customFormat="false" ht="15" hidden="false" customHeight="false" outlineLevel="0" collapsed="false">
      <c r="A145" s="3" t="s">
        <v>8</v>
      </c>
      <c r="B145" s="5" t="n">
        <f aca="false">SUM(C143:G143)</f>
        <v>1200.14250161543</v>
      </c>
      <c r="C145" s="2"/>
      <c r="D145" s="2"/>
      <c r="E145" s="2"/>
      <c r="F145" s="2"/>
      <c r="G145" s="2"/>
    </row>
    <row r="146" customFormat="false" ht="15" hidden="false" customHeight="false" outlineLevel="0" collapsed="false">
      <c r="A146" s="3" t="s">
        <v>248</v>
      </c>
      <c r="B146" s="5" t="n">
        <f aca="false">G141*(1+B130)</f>
        <v>372.371455118281</v>
      </c>
    </row>
    <row r="147" customFormat="false" ht="15" hidden="false" customHeight="false" outlineLevel="0" collapsed="false">
      <c r="A147" s="3" t="s">
        <v>249</v>
      </c>
      <c r="B147" s="5" t="n">
        <f aca="false">B146/(B129-B130)</f>
        <v>4337.28473228394</v>
      </c>
      <c r="C147" s="2"/>
      <c r="D147" s="2"/>
      <c r="E147" s="2"/>
      <c r="F147" s="2"/>
      <c r="G147" s="2"/>
    </row>
    <row r="148" customFormat="false" ht="15" hidden="false" customHeight="false" outlineLevel="0" collapsed="false">
      <c r="A148" s="3" t="s">
        <v>10</v>
      </c>
      <c r="B148" s="5" t="n">
        <f aca="false">B147*G142</f>
        <v>2451.7348599928</v>
      </c>
    </row>
    <row r="149" customFormat="false" ht="15" hidden="false" customHeight="false" outlineLevel="0" collapsed="false">
      <c r="A149" s="3" t="s">
        <v>250</v>
      </c>
      <c r="B149" s="5" t="n">
        <f aca="false">B145+B148</f>
        <v>3651.87736160823</v>
      </c>
      <c r="C149" s="2"/>
      <c r="D149" s="2"/>
      <c r="E149" s="2"/>
      <c r="F149" s="2"/>
      <c r="G149" s="2"/>
    </row>
    <row r="150" customFormat="false" ht="15" hidden="false" customHeight="false" outlineLevel="0" collapsed="false">
      <c r="A150" s="3" t="s">
        <v>251</v>
      </c>
      <c r="B150" s="5" t="n">
        <f aca="false">-WACC!E21</f>
        <v>-2441.8</v>
      </c>
    </row>
    <row r="151" customFormat="false" ht="15" hidden="false" customHeight="false" outlineLevel="0" collapsed="false">
      <c r="A151" s="3" t="s">
        <v>252</v>
      </c>
      <c r="B151" s="5" t="n">
        <f aca="false">WACC!E22</f>
        <v>2962.8</v>
      </c>
    </row>
    <row r="152" customFormat="false" ht="15" hidden="false" customHeight="false" outlineLevel="0" collapsed="false">
      <c r="A152" s="3" t="s">
        <v>253</v>
      </c>
      <c r="B152" s="5" t="n">
        <f aca="false">-(B150+B151)</f>
        <v>-521</v>
      </c>
    </row>
    <row r="153" customFormat="false" ht="15" hidden="false" customHeight="false" outlineLevel="0" collapsed="false">
      <c r="A153" s="3" t="s">
        <v>254</v>
      </c>
      <c r="B153" s="5" t="n">
        <f aca="false">B149+B150+B151</f>
        <v>4172.87736160823</v>
      </c>
      <c r="C153" s="2"/>
      <c r="D153" s="2"/>
      <c r="E153" s="2"/>
      <c r="F153" s="2"/>
      <c r="G153" s="2"/>
    </row>
    <row r="154" customFormat="false" ht="15" hidden="false" customHeight="false" outlineLevel="0" collapsed="false">
      <c r="A154" s="3" t="s">
        <v>57</v>
      </c>
      <c r="B154" s="5" t="n">
        <f aca="false">WACC!E17</f>
        <v>1065.77306733167</v>
      </c>
    </row>
    <row r="155" customFormat="false" ht="15" hidden="false" customHeight="false" outlineLevel="0" collapsed="false">
      <c r="A155" s="3" t="s">
        <v>15</v>
      </c>
      <c r="B155" s="6" t="n">
        <f aca="false">B153/B154</f>
        <v>3.91535261071635</v>
      </c>
      <c r="C155" s="2"/>
      <c r="D155" s="2"/>
      <c r="E155" s="2"/>
      <c r="F155" s="2"/>
      <c r="G155" s="2"/>
    </row>
    <row r="156" customFormat="false" ht="15" hidden="false" customHeight="false" outlineLevel="0" collapsed="false">
      <c r="A156" s="3" t="s">
        <v>16</v>
      </c>
      <c r="B156" s="6" t="n">
        <f aca="false">WACC!E13</f>
        <v>32.08</v>
      </c>
    </row>
    <row r="157" customFormat="false" ht="15" hidden="false" customHeight="false" outlineLevel="0" collapsed="false">
      <c r="A157" s="3" t="s">
        <v>17</v>
      </c>
      <c r="B157" s="7" t="n">
        <f aca="false">B155/B156-1</f>
        <v>-0.877950355027545</v>
      </c>
    </row>
    <row r="158" customFormat="false" ht="15" hidden="false" customHeight="false" outlineLevel="0" collapsed="false">
      <c r="A158" s="3" t="s">
        <v>258</v>
      </c>
      <c r="B158" s="7" t="n">
        <f aca="false">B148/B149</f>
        <v>0.671362868251714</v>
      </c>
    </row>
    <row r="159" customFormat="false" ht="15" hidden="false" customHeight="false" outlineLevel="0" collapsed="false">
      <c r="B159" s="42"/>
    </row>
    <row r="160" customFormat="false" ht="15" hidden="false" customHeight="false" outlineLevel="0" collapsed="false">
      <c r="B160" s="4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7"/>
  <sheetViews>
    <sheetView showFormulas="false" showGridLines="true" showRowColHeaders="true" showZeros="true" rightToLeft="false" tabSelected="false" showOutlineSymbols="true" defaultGridColor="true" view="normal" topLeftCell="A55" colorId="64" zoomScale="100" zoomScaleNormal="100" zoomScalePageLayoutView="100" workbookViewId="0">
      <selection pane="topLeft" activeCell="B72" activeCellId="0" sqref="B72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55.5"/>
    <col collapsed="false" customWidth="true" hidden="false" outlineLevel="0" max="7" min="2" style="0" width="15.66"/>
  </cols>
  <sheetData>
    <row r="1" customFormat="false" ht="18.75" hidden="false" customHeight="true" outlineLevel="0" collapsed="false">
      <c r="A1" s="57"/>
      <c r="B1" s="35"/>
      <c r="C1" s="35"/>
      <c r="D1" s="35"/>
      <c r="E1" s="35"/>
      <c r="F1" s="35"/>
      <c r="G1" s="35"/>
    </row>
    <row r="2" customFormat="false" ht="15" hidden="false" customHeight="false" outlineLevel="0" collapsed="false">
      <c r="A2" s="35"/>
      <c r="B2" s="35"/>
      <c r="C2" s="35"/>
      <c r="D2" s="35"/>
      <c r="E2" s="35"/>
      <c r="F2" s="35"/>
      <c r="G2" s="35"/>
    </row>
    <row r="3" customFormat="false" ht="15" hidden="false" customHeight="false" outlineLevel="0" collapsed="false">
      <c r="A3" s="1" t="s">
        <v>259</v>
      </c>
      <c r="B3" s="1" t="s">
        <v>225</v>
      </c>
      <c r="C3" s="1" t="s">
        <v>226</v>
      </c>
      <c r="D3" s="1" t="s">
        <v>227</v>
      </c>
      <c r="E3" s="1" t="s">
        <v>228</v>
      </c>
      <c r="F3" s="1" t="s">
        <v>229</v>
      </c>
      <c r="G3" s="1" t="s">
        <v>230</v>
      </c>
    </row>
    <row r="4" customFormat="false" ht="15" hidden="false" customHeight="false" outlineLevel="0" collapsed="false">
      <c r="A4" s="3" t="s">
        <v>260</v>
      </c>
      <c r="B4" s="7"/>
      <c r="C4" s="7" t="n">
        <f aca="false">Valuación!$B$9</f>
        <v>0.035</v>
      </c>
      <c r="D4" s="7" t="n">
        <f aca="false">Valuación!$B$9</f>
        <v>0.035</v>
      </c>
      <c r="E4" s="7" t="n">
        <f aca="false">Valuación!$B$9</f>
        <v>0.035</v>
      </c>
      <c r="F4" s="7" t="n">
        <f aca="false">Valuación!$B$9</f>
        <v>0.035</v>
      </c>
      <c r="G4" s="7" t="n">
        <f aca="false">Valuación!$B$9</f>
        <v>0.035</v>
      </c>
    </row>
    <row r="5" customFormat="false" ht="15" hidden="false" customHeight="false" outlineLevel="0" collapsed="false">
      <c r="A5" s="3" t="s">
        <v>261</v>
      </c>
      <c r="B5" s="7" t="n">
        <f aca="false">-B20/B19</f>
        <v>0.759102047714278</v>
      </c>
      <c r="C5" s="7" t="n">
        <f aca="false">$B5</f>
        <v>0.759102047714278</v>
      </c>
      <c r="D5" s="7" t="n">
        <f aca="false">$B5</f>
        <v>0.759102047714278</v>
      </c>
      <c r="E5" s="7" t="n">
        <f aca="false">$B5</f>
        <v>0.759102047714278</v>
      </c>
      <c r="F5" s="7" t="n">
        <f aca="false">$B5</f>
        <v>0.759102047714278</v>
      </c>
      <c r="G5" s="7" t="n">
        <f aca="false">$B5</f>
        <v>0.759102047714278</v>
      </c>
    </row>
    <row r="6" customFormat="false" ht="15" hidden="false" customHeight="false" outlineLevel="0" collapsed="false">
      <c r="A6" s="3" t="s">
        <v>262</v>
      </c>
      <c r="B6" s="7" t="n">
        <f aca="false">-B22/B19</f>
        <v>0.173900797115737</v>
      </c>
      <c r="C6" s="7" t="n">
        <f aca="false">$B6</f>
        <v>0.173900797115737</v>
      </c>
      <c r="D6" s="7" t="n">
        <f aca="false">$B6</f>
        <v>0.173900797115737</v>
      </c>
      <c r="E6" s="7" t="n">
        <f aca="false">$B6</f>
        <v>0.173900797115737</v>
      </c>
      <c r="F6" s="7" t="n">
        <f aca="false">$B6</f>
        <v>0.173900797115737</v>
      </c>
      <c r="G6" s="7" t="n">
        <f aca="false">$B6</f>
        <v>0.173900797115737</v>
      </c>
    </row>
    <row r="7" customFormat="false" ht="15" hidden="false" customHeight="false" outlineLevel="0" collapsed="false">
      <c r="A7" s="3" t="s">
        <v>233</v>
      </c>
      <c r="B7" s="7" t="n">
        <f aca="false">-B24/B19</f>
        <v>0.0244599047967777</v>
      </c>
      <c r="C7" s="7" t="n">
        <f aca="false">$B7</f>
        <v>0.0244599047967777</v>
      </c>
      <c r="D7" s="7" t="n">
        <f aca="false">$B7</f>
        <v>0.0244599047967777</v>
      </c>
      <c r="E7" s="7" t="n">
        <f aca="false">$B7</f>
        <v>0.0244599047967777</v>
      </c>
      <c r="F7" s="7" t="n">
        <f aca="false">$B7</f>
        <v>0.0244599047967777</v>
      </c>
      <c r="G7" s="7" t="n">
        <f aca="false">$B7</f>
        <v>0.0244599047967777</v>
      </c>
    </row>
    <row r="8" customFormat="false" ht="15" hidden="false" customHeight="false" outlineLevel="0" collapsed="false">
      <c r="A8" s="3" t="s">
        <v>234</v>
      </c>
      <c r="B8" s="7" t="n">
        <f aca="false">Datos!G16/Datos!G6</f>
        <v>0.0161507478241275</v>
      </c>
      <c r="C8" s="7" t="n">
        <f aca="false">$B8</f>
        <v>0.0161507478241275</v>
      </c>
      <c r="D8" s="7" t="n">
        <f aca="false">$B8</f>
        <v>0.0161507478241275</v>
      </c>
      <c r="E8" s="7" t="n">
        <f aca="false">$B8</f>
        <v>0.0161507478241275</v>
      </c>
      <c r="F8" s="7" t="n">
        <f aca="false">$B8</f>
        <v>0.0161507478241275</v>
      </c>
      <c r="G8" s="7" t="n">
        <f aca="false">$B8</f>
        <v>0.0161507478241275</v>
      </c>
    </row>
    <row r="9" customFormat="false" ht="15" hidden="false" customHeight="false" outlineLevel="0" collapsed="false">
      <c r="A9" s="3" t="s">
        <v>263</v>
      </c>
      <c r="B9" s="7" t="n">
        <f aca="false">-B26/(B41+B42)</f>
        <v>0.130154966550936</v>
      </c>
      <c r="C9" s="7" t="n">
        <f aca="false">$B9</f>
        <v>0.130154966550936</v>
      </c>
      <c r="D9" s="7" t="n">
        <f aca="false">$B9</f>
        <v>0.130154966550936</v>
      </c>
      <c r="E9" s="7" t="n">
        <f aca="false">$B9</f>
        <v>0.130154966550936</v>
      </c>
      <c r="F9" s="7" t="n">
        <f aca="false">$B9</f>
        <v>0.130154966550936</v>
      </c>
      <c r="G9" s="7" t="n">
        <f aca="false">$B9</f>
        <v>0.130154966550936</v>
      </c>
    </row>
    <row r="10" customFormat="false" ht="15" hidden="false" customHeight="false" outlineLevel="0" collapsed="false">
      <c r="A10" s="3" t="s">
        <v>236</v>
      </c>
      <c r="B10" s="7" t="n">
        <f aca="false">Valuación!$B$14</f>
        <v>0.3</v>
      </c>
      <c r="C10" s="7" t="n">
        <f aca="false">$B10</f>
        <v>0.3</v>
      </c>
      <c r="D10" s="7" t="n">
        <f aca="false">$B10</f>
        <v>0.3</v>
      </c>
      <c r="E10" s="7" t="n">
        <f aca="false">$B10</f>
        <v>0.3</v>
      </c>
      <c r="F10" s="7" t="n">
        <f aca="false">$B10</f>
        <v>0.3</v>
      </c>
      <c r="G10" s="7" t="n">
        <f aca="false">$B10</f>
        <v>0.3</v>
      </c>
    </row>
    <row r="11" customFormat="false" ht="15" hidden="false" customHeight="false" outlineLevel="0" collapsed="false">
      <c r="A11" s="3" t="s">
        <v>264</v>
      </c>
      <c r="B11" s="12" t="n">
        <f aca="false">-B35/B20*365</f>
        <v>87.4443050938019</v>
      </c>
      <c r="C11" s="12" t="n">
        <f aca="false">$B11</f>
        <v>87.4443050938019</v>
      </c>
      <c r="D11" s="12" t="n">
        <f aca="false">$B11</f>
        <v>87.4443050938019</v>
      </c>
      <c r="E11" s="12" t="n">
        <f aca="false">$B11</f>
        <v>87.4443050938019</v>
      </c>
      <c r="F11" s="12" t="n">
        <f aca="false">$B11</f>
        <v>87.4443050938019</v>
      </c>
      <c r="G11" s="12" t="n">
        <f aca="false">$B11</f>
        <v>87.4443050938019</v>
      </c>
    </row>
    <row r="12" customFormat="false" ht="15" hidden="false" customHeight="false" outlineLevel="0" collapsed="false">
      <c r="A12" s="3" t="s">
        <v>265</v>
      </c>
      <c r="B12" s="7" t="n">
        <f aca="false">B36/B19</f>
        <v>0.0391572543165366</v>
      </c>
      <c r="C12" s="7" t="n">
        <f aca="false">$B12</f>
        <v>0.0391572543165366</v>
      </c>
      <c r="D12" s="7" t="n">
        <f aca="false">$B12</f>
        <v>0.0391572543165366</v>
      </c>
      <c r="E12" s="7" t="n">
        <f aca="false">$B12</f>
        <v>0.0391572543165366</v>
      </c>
      <c r="F12" s="7" t="n">
        <f aca="false">$B12</f>
        <v>0.0391572543165366</v>
      </c>
      <c r="G12" s="7" t="n">
        <f aca="false">$B12</f>
        <v>0.0391572543165366</v>
      </c>
    </row>
    <row r="13" customFormat="false" ht="15" hidden="false" customHeight="false" outlineLevel="0" collapsed="false">
      <c r="A13" s="3" t="s">
        <v>266</v>
      </c>
      <c r="B13" s="7" t="n">
        <f aca="false">B40/B19</f>
        <v>0.200225333070445</v>
      </c>
      <c r="C13" s="7" t="n">
        <f aca="false">$B13</f>
        <v>0.200225333070445</v>
      </c>
      <c r="D13" s="7" t="n">
        <f aca="false">$B13</f>
        <v>0.200225333070445</v>
      </c>
      <c r="E13" s="7" t="n">
        <f aca="false">$B13</f>
        <v>0.200225333070445</v>
      </c>
      <c r="F13" s="7" t="n">
        <f aca="false">$B13</f>
        <v>0.200225333070445</v>
      </c>
      <c r="G13" s="7" t="n">
        <f aca="false">$B13</f>
        <v>0.200225333070445</v>
      </c>
    </row>
    <row r="14" customFormat="false" ht="15" hidden="false" customHeight="false" outlineLevel="0" collapsed="false">
      <c r="A14" s="3" t="s">
        <v>267</v>
      </c>
      <c r="B14" s="7" t="n">
        <f aca="false">Generales!B62*Valuación!B40/B30</f>
        <v>0.300144057623049</v>
      </c>
      <c r="C14" s="7" t="n">
        <f aca="false">$B14</f>
        <v>0.300144057623049</v>
      </c>
      <c r="D14" s="7" t="n">
        <f aca="false">$B14</f>
        <v>0.300144057623049</v>
      </c>
      <c r="E14" s="7" t="n">
        <f aca="false">$B14</f>
        <v>0.300144057623049</v>
      </c>
      <c r="F14" s="7" t="n">
        <f aca="false">$B14</f>
        <v>0.300144057623049</v>
      </c>
      <c r="G14" s="7" t="n">
        <f aca="false">$B14</f>
        <v>0.300144057623049</v>
      </c>
    </row>
    <row r="15" customFormat="false" ht="15" hidden="false" customHeight="false" outlineLevel="0" collapsed="false">
      <c r="A15" s="3" t="s">
        <v>5</v>
      </c>
      <c r="B15" s="7"/>
      <c r="C15" s="7" t="n">
        <f aca="false">Valuación!$B$15</f>
        <v>0.119198962792971</v>
      </c>
      <c r="D15" s="7" t="n">
        <f aca="false">Valuación!$B$15</f>
        <v>0.119198962792971</v>
      </c>
      <c r="E15" s="7" t="n">
        <f aca="false">Valuación!$B$15</f>
        <v>0.119198962792971</v>
      </c>
      <c r="F15" s="7" t="n">
        <f aca="false">Valuación!$B$15</f>
        <v>0.119198962792971</v>
      </c>
      <c r="G15" s="7" t="n">
        <f aca="false">Valuación!$B$15</f>
        <v>0.119198962792971</v>
      </c>
    </row>
    <row r="16" customFormat="false" ht="15" hidden="false" customHeight="false" outlineLevel="0" collapsed="false">
      <c r="A16" s="3" t="s">
        <v>6</v>
      </c>
      <c r="B16" s="7"/>
      <c r="C16" s="7" t="n">
        <f aca="false">Valuación!$B$16</f>
        <v>0.035</v>
      </c>
      <c r="D16" s="7" t="n">
        <f aca="false">Valuación!$B$16</f>
        <v>0.035</v>
      </c>
      <c r="E16" s="7" t="n">
        <f aca="false">Valuación!$B$16</f>
        <v>0.035</v>
      </c>
      <c r="F16" s="7" t="n">
        <f aca="false">Valuación!$B$16</f>
        <v>0.035</v>
      </c>
      <c r="G16" s="7" t="n">
        <f aca="false">Valuación!$B$16</f>
        <v>0.035</v>
      </c>
    </row>
    <row r="17" customFormat="false" ht="15" hidden="false" customHeight="false" outlineLevel="0" collapsed="false">
      <c r="A17" s="35"/>
      <c r="B17" s="35"/>
      <c r="C17" s="35"/>
      <c r="D17" s="35"/>
      <c r="E17" s="35"/>
      <c r="F17" s="35"/>
      <c r="G17" s="35"/>
    </row>
    <row r="18" customFormat="false" ht="15" hidden="false" customHeight="false" outlineLevel="0" collapsed="false">
      <c r="A18" s="1" t="s">
        <v>268</v>
      </c>
      <c r="B18" s="1" t="s">
        <v>225</v>
      </c>
      <c r="C18" s="1" t="s">
        <v>226</v>
      </c>
      <c r="D18" s="1" t="s">
        <v>227</v>
      </c>
      <c r="E18" s="1" t="s">
        <v>228</v>
      </c>
      <c r="F18" s="1" t="s">
        <v>229</v>
      </c>
      <c r="G18" s="1" t="s">
        <v>230</v>
      </c>
    </row>
    <row r="19" customFormat="false" ht="15" hidden="false" customHeight="false" outlineLevel="0" collapsed="false">
      <c r="A19" s="3" t="s">
        <v>239</v>
      </c>
      <c r="B19" s="5" t="n">
        <f aca="false">Datos!G6</f>
        <v>177515</v>
      </c>
      <c r="C19" s="5" t="n">
        <f aca="false">B19*(1+C4)</f>
        <v>183728.025</v>
      </c>
      <c r="D19" s="5" t="n">
        <f aca="false">C19*(1+D4)</f>
        <v>190158.505875</v>
      </c>
      <c r="E19" s="5" t="n">
        <f aca="false">D19*(1+E4)</f>
        <v>196814.053580625</v>
      </c>
      <c r="F19" s="5" t="n">
        <f aca="false">E19*(1+F4)</f>
        <v>203702.545455947</v>
      </c>
      <c r="G19" s="5" t="n">
        <f aca="false">F19*(1+G4)</f>
        <v>210832.134546905</v>
      </c>
    </row>
    <row r="20" customFormat="false" ht="15" hidden="false" customHeight="false" outlineLevel="0" collapsed="false">
      <c r="A20" s="3" t="s">
        <v>86</v>
      </c>
      <c r="B20" s="5" t="n">
        <f aca="false">-Datos!G7</f>
        <v>-134752</v>
      </c>
      <c r="C20" s="5" t="n">
        <f aca="false">-C19*C5</f>
        <v>-139468.32</v>
      </c>
      <c r="D20" s="5" t="n">
        <f aca="false">-D19*D5</f>
        <v>-144349.7112</v>
      </c>
      <c r="E20" s="5" t="n">
        <f aca="false">-E19*E5</f>
        <v>-149401.951092</v>
      </c>
      <c r="F20" s="5" t="n">
        <f aca="false">-F19*F5</f>
        <v>-154631.01938022</v>
      </c>
      <c r="G20" s="5" t="n">
        <f aca="false">-G19*G5</f>
        <v>-160043.105058528</v>
      </c>
    </row>
    <row r="21" customFormat="false" ht="15" hidden="false" customHeight="false" outlineLevel="0" collapsed="false">
      <c r="A21" s="3" t="s">
        <v>80</v>
      </c>
      <c r="B21" s="5" t="n">
        <f aca="false">B19+B20</f>
        <v>42763</v>
      </c>
      <c r="C21" s="5" t="n">
        <f aca="false">C19+C20</f>
        <v>44259.705</v>
      </c>
      <c r="D21" s="5" t="n">
        <f aca="false">D19+D20</f>
        <v>45808.794675</v>
      </c>
      <c r="E21" s="5" t="n">
        <f aca="false">E19+E20</f>
        <v>47412.102488625</v>
      </c>
      <c r="F21" s="5" t="n">
        <f aca="false">F19+F20</f>
        <v>49071.5260757269</v>
      </c>
      <c r="G21" s="5" t="n">
        <f aca="false">G19+G20</f>
        <v>50789.0294883773</v>
      </c>
    </row>
    <row r="22" customFormat="false" ht="15" hidden="false" customHeight="false" outlineLevel="0" collapsed="false">
      <c r="A22" s="3" t="s">
        <v>269</v>
      </c>
      <c r="B22" s="5" t="n">
        <f aca="false">-(Datos!G8-Datos!G9-Datos!G14)</f>
        <v>-30870</v>
      </c>
      <c r="C22" s="5" t="n">
        <f aca="false">-C19*C6</f>
        <v>-31950.45</v>
      </c>
      <c r="D22" s="5" t="n">
        <f aca="false">-D19*D6</f>
        <v>-33068.71575</v>
      </c>
      <c r="E22" s="5" t="n">
        <f aca="false">-E19*E6</f>
        <v>-34226.12080125</v>
      </c>
      <c r="F22" s="5" t="n">
        <f aca="false">-F19*F6</f>
        <v>-35424.0350292937</v>
      </c>
      <c r="G22" s="5" t="n">
        <f aca="false">-G19*G6</f>
        <v>-36663.876255319</v>
      </c>
    </row>
    <row r="23" customFormat="false" ht="15" hidden="false" customHeight="false" outlineLevel="0" collapsed="false">
      <c r="A23" s="3" t="s">
        <v>270</v>
      </c>
      <c r="B23" s="5" t="n">
        <f aca="false">B21+B22</f>
        <v>11893</v>
      </c>
      <c r="C23" s="5" t="n">
        <f aca="false">C21+C22</f>
        <v>12309.255</v>
      </c>
      <c r="D23" s="5" t="n">
        <f aca="false">D21+D22</f>
        <v>12740.078925</v>
      </c>
      <c r="E23" s="5" t="n">
        <f aca="false">E21+E22</f>
        <v>13185.981687375</v>
      </c>
      <c r="F23" s="5" t="n">
        <f aca="false">F21+F22</f>
        <v>13647.4910464331</v>
      </c>
      <c r="G23" s="5" t="n">
        <f aca="false">G21+G22</f>
        <v>14125.1532330583</v>
      </c>
    </row>
    <row r="24" customFormat="false" ht="15" hidden="false" customHeight="false" outlineLevel="0" collapsed="false">
      <c r="A24" s="3" t="s">
        <v>154</v>
      </c>
      <c r="B24" s="5" t="n">
        <f aca="false">-Datos!G14</f>
        <v>-4342</v>
      </c>
      <c r="C24" s="5" t="n">
        <f aca="false">-C19*C7</f>
        <v>-4493.97</v>
      </c>
      <c r="D24" s="5" t="n">
        <f aca="false">-D19*D7</f>
        <v>-4651.25895</v>
      </c>
      <c r="E24" s="5" t="n">
        <f aca="false">-E19*E7</f>
        <v>-4814.05301325</v>
      </c>
      <c r="F24" s="5" t="n">
        <f aca="false">-F19*F7</f>
        <v>-4982.54486871375</v>
      </c>
      <c r="G24" s="5" t="n">
        <f aca="false">-G19*G7</f>
        <v>-5156.93393911873</v>
      </c>
    </row>
    <row r="25" customFormat="false" ht="15" hidden="false" customHeight="false" outlineLevel="0" collapsed="false">
      <c r="A25" s="3" t="s">
        <v>81</v>
      </c>
      <c r="B25" s="5" t="n">
        <f aca="false">B23+B24</f>
        <v>7551</v>
      </c>
      <c r="C25" s="5" t="n">
        <f aca="false">C23+C24</f>
        <v>7815.28499999999</v>
      </c>
      <c r="D25" s="5" t="n">
        <f aca="false">D23+D24</f>
        <v>8088.81997499999</v>
      </c>
      <c r="E25" s="5" t="n">
        <f aca="false">E23+E24</f>
        <v>8371.92867412499</v>
      </c>
      <c r="F25" s="5" t="n">
        <f aca="false">F23+F24</f>
        <v>8664.94617771939</v>
      </c>
      <c r="G25" s="5" t="n">
        <f aca="false">G23+G24</f>
        <v>8968.21929393956</v>
      </c>
    </row>
    <row r="26" customFormat="false" ht="15" hidden="false" customHeight="false" outlineLevel="0" collapsed="false">
      <c r="A26" s="3" t="s">
        <v>88</v>
      </c>
      <c r="B26" s="5" t="n">
        <f aca="false">-Datos!G10</f>
        <v>-3074</v>
      </c>
      <c r="C26" s="5" t="n">
        <f aca="false">-C9*(B41+B42)</f>
        <v>-3074</v>
      </c>
      <c r="D26" s="5" t="n">
        <f aca="false">-D9*(C41+C42)</f>
        <v>-3074</v>
      </c>
      <c r="E26" s="5" t="n">
        <f aca="false">-E9*(D41+D42)</f>
        <v>-3074</v>
      </c>
      <c r="F26" s="5" t="n">
        <f aca="false">-F9*(E41+E42)</f>
        <v>-3074</v>
      </c>
      <c r="G26" s="5" t="n">
        <f aca="false">-G9*(F41+F42)</f>
        <v>-3074</v>
      </c>
    </row>
    <row r="27" customFormat="false" ht="15" hidden="false" customHeight="false" outlineLevel="0" collapsed="false">
      <c r="A27" s="3" t="s">
        <v>271</v>
      </c>
      <c r="B27" s="5" t="n">
        <f aca="false">Datos!G11-Datos!G9+Datos!G10</f>
        <v>288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</row>
    <row r="28" customFormat="false" ht="15" hidden="false" customHeight="false" outlineLevel="0" collapsed="false">
      <c r="A28" s="3" t="s">
        <v>152</v>
      </c>
      <c r="B28" s="5" t="n">
        <f aca="false">B25+B26+B27</f>
        <v>4765</v>
      </c>
      <c r="C28" s="5" t="n">
        <f aca="false">C25+C26+C27</f>
        <v>4741.28499999999</v>
      </c>
      <c r="D28" s="5" t="n">
        <f aca="false">D25+D26+D27</f>
        <v>5014.81997499999</v>
      </c>
      <c r="E28" s="5" t="n">
        <f aca="false">E25+E26+E27</f>
        <v>5297.92867412499</v>
      </c>
      <c r="F28" s="5" t="n">
        <f aca="false">F25+F26+F27</f>
        <v>5590.94617771939</v>
      </c>
      <c r="G28" s="5" t="n">
        <f aca="false">G25+G26+G27</f>
        <v>5894.21929393956</v>
      </c>
    </row>
    <row r="29" customFormat="false" ht="15" hidden="false" customHeight="false" outlineLevel="0" collapsed="false">
      <c r="A29" s="3" t="s">
        <v>153</v>
      </c>
      <c r="B29" s="5" t="n">
        <f aca="false">-Datos!G12</f>
        <v>-1433</v>
      </c>
      <c r="C29" s="5" t="n">
        <f aca="false">-C28*C10</f>
        <v>-1422.3855</v>
      </c>
      <c r="D29" s="5" t="n">
        <f aca="false">-D28*D10</f>
        <v>-1504.4459925</v>
      </c>
      <c r="E29" s="5" t="n">
        <f aca="false">-E28*E10</f>
        <v>-1589.3786022375</v>
      </c>
      <c r="F29" s="5" t="n">
        <f aca="false">-F28*F10</f>
        <v>-1677.28385331582</v>
      </c>
      <c r="G29" s="5" t="n">
        <f aca="false">-G28*G10</f>
        <v>-1768.26578818187</v>
      </c>
    </row>
    <row r="30" customFormat="false" ht="15" hidden="false" customHeight="false" outlineLevel="0" collapsed="false">
      <c r="A30" s="3" t="s">
        <v>89</v>
      </c>
      <c r="B30" s="5" t="n">
        <f aca="false">B28+B29</f>
        <v>3332</v>
      </c>
      <c r="C30" s="5" t="n">
        <f aca="false">C28+C29</f>
        <v>3318.89949999999</v>
      </c>
      <c r="D30" s="5" t="n">
        <f aca="false">D28+D29</f>
        <v>3510.37398249999</v>
      </c>
      <c r="E30" s="5" t="n">
        <f aca="false">E28+E29</f>
        <v>3708.55007188749</v>
      </c>
      <c r="F30" s="5" t="n">
        <f aca="false">F28+F29</f>
        <v>3913.66232440357</v>
      </c>
      <c r="G30" s="5" t="n">
        <f aca="false">G28+G29</f>
        <v>4125.95350575769</v>
      </c>
    </row>
    <row r="31" customFormat="false" ht="15" hidden="false" customHeight="false" outlineLevel="0" collapsed="false">
      <c r="A31" s="3" t="s">
        <v>272</v>
      </c>
      <c r="B31" s="5"/>
      <c r="C31" s="5" t="n">
        <f aca="false">-C30*C14</f>
        <v>-996.147962773107</v>
      </c>
      <c r="D31" s="5" t="n">
        <f aca="false">-D30*D14</f>
        <v>-1053.61789088193</v>
      </c>
      <c r="E31" s="5" t="n">
        <f aca="false">-E30*E14</f>
        <v>-1113.09926647456</v>
      </c>
      <c r="F31" s="5" t="n">
        <f aca="false">-F30*F14</f>
        <v>-1174.66249021294</v>
      </c>
      <c r="G31" s="5" t="n">
        <f aca="false">-G30*G14</f>
        <v>-1238.38042678216</v>
      </c>
    </row>
    <row r="32" customFormat="false" ht="15" hidden="false" customHeight="false" outlineLevel="0" collapsed="false">
      <c r="A32" s="35"/>
      <c r="B32" s="35"/>
      <c r="C32" s="35"/>
      <c r="D32" s="35"/>
      <c r="E32" s="35"/>
      <c r="F32" s="35"/>
      <c r="G32" s="35"/>
    </row>
    <row r="33" customFormat="false" ht="15" hidden="false" customHeight="false" outlineLevel="0" collapsed="false">
      <c r="A33" s="1" t="s">
        <v>273</v>
      </c>
      <c r="B33" s="1" t="s">
        <v>225</v>
      </c>
      <c r="C33" s="1" t="s">
        <v>226</v>
      </c>
      <c r="D33" s="1" t="s">
        <v>227</v>
      </c>
      <c r="E33" s="1" t="s">
        <v>228</v>
      </c>
      <c r="F33" s="1" t="s">
        <v>229</v>
      </c>
      <c r="G33" s="1" t="s">
        <v>230</v>
      </c>
    </row>
    <row r="34" customFormat="false" ht="15" hidden="false" customHeight="false" outlineLevel="0" collapsed="false">
      <c r="A34" s="3" t="s">
        <v>13</v>
      </c>
      <c r="B34" s="5" t="n">
        <f aca="false">Datos!G17</f>
        <v>9295</v>
      </c>
      <c r="C34" s="5" t="n">
        <f aca="false">B34+C56</f>
        <v>13015.1915372269</v>
      </c>
      <c r="D34" s="5" t="n">
        <f aca="false">C34+D56</f>
        <v>16918.2980288449</v>
      </c>
      <c r="E34" s="5" t="n">
        <f aca="false">D34+E56</f>
        <v>21010.7214982579</v>
      </c>
      <c r="F34" s="5" t="n">
        <f aca="false">E34+F56</f>
        <v>25299.0880396885</v>
      </c>
      <c r="G34" s="5" t="n">
        <f aca="false">F34+G56</f>
        <v>29790.2556606574</v>
      </c>
    </row>
    <row r="35" customFormat="false" ht="15" hidden="false" customHeight="false" outlineLevel="0" collapsed="false">
      <c r="A35" s="3" t="s">
        <v>156</v>
      </c>
      <c r="B35" s="5" t="n">
        <f aca="false">Datos!G18</f>
        <v>32283</v>
      </c>
      <c r="C35" s="5" t="n">
        <f aca="false">-C20*C11/365</f>
        <v>33412.905</v>
      </c>
      <c r="D35" s="5" t="n">
        <f aca="false">-D20*D11/365</f>
        <v>34582.356675</v>
      </c>
      <c r="E35" s="5" t="n">
        <f aca="false">-E20*E11/365</f>
        <v>35792.739158625</v>
      </c>
      <c r="F35" s="5" t="n">
        <f aca="false">-F20*F11/365</f>
        <v>37045.4850291769</v>
      </c>
      <c r="G35" s="5" t="n">
        <f aca="false">-G20*G11/365</f>
        <v>38342.0770051981</v>
      </c>
    </row>
    <row r="36" customFormat="false" ht="15" hidden="false" customHeight="false" outlineLevel="0" collapsed="false">
      <c r="A36" s="3" t="s">
        <v>274</v>
      </c>
      <c r="B36" s="5" t="n">
        <f aca="false">Datos!G19-Datos!G17-Datos!G18</f>
        <v>6951</v>
      </c>
      <c r="C36" s="5" t="n">
        <f aca="false">C19*C12</f>
        <v>7194.285</v>
      </c>
      <c r="D36" s="5" t="n">
        <f aca="false">D19*D12</f>
        <v>7446.084975</v>
      </c>
      <c r="E36" s="5" t="n">
        <f aca="false">E19*E12</f>
        <v>7706.697949125</v>
      </c>
      <c r="F36" s="5" t="n">
        <f aca="false">F19*F12</f>
        <v>7976.43237734437</v>
      </c>
      <c r="G36" s="5" t="n">
        <f aca="false">G19*G12</f>
        <v>8255.60751055143</v>
      </c>
    </row>
    <row r="37" customFormat="false" ht="15" hidden="false" customHeight="false" outlineLevel="0" collapsed="false">
      <c r="A37" s="3" t="s">
        <v>157</v>
      </c>
      <c r="B37" s="5" t="n">
        <f aca="false">SUM(B34:B36)</f>
        <v>48529</v>
      </c>
      <c r="C37" s="5" t="n">
        <f aca="false">SUM(C34:C36)</f>
        <v>53622.3815372269</v>
      </c>
      <c r="D37" s="5" t="n">
        <f aca="false">SUM(D34:D36)</f>
        <v>58946.7396788449</v>
      </c>
      <c r="E37" s="5" t="n">
        <f aca="false">SUM(E34:E36)</f>
        <v>64510.1586060079</v>
      </c>
      <c r="F37" s="5" t="n">
        <f aca="false">SUM(F34:F36)</f>
        <v>70321.0054462098</v>
      </c>
      <c r="G37" s="5" t="n">
        <f aca="false">SUM(G34:G36)</f>
        <v>76387.9401764069</v>
      </c>
    </row>
    <row r="38" customFormat="false" ht="15" hidden="false" customHeight="false" outlineLevel="0" collapsed="false">
      <c r="A38" s="3" t="s">
        <v>275</v>
      </c>
      <c r="B38" s="5" t="n">
        <f aca="false">Datos!G20-Datos!G19</f>
        <v>107509</v>
      </c>
      <c r="C38" s="5" t="n">
        <f aca="false">B38-C54+C24</f>
        <v>105982.375</v>
      </c>
      <c r="D38" s="5" t="n">
        <f aca="false">C38-D54+D24</f>
        <v>104402.318125</v>
      </c>
      <c r="E38" s="5" t="n">
        <f aca="false">D38-E54+E24</f>
        <v>102766.959259375</v>
      </c>
      <c r="F38" s="5" t="n">
        <f aca="false">E38-F54+F24</f>
        <v>101074.362833453</v>
      </c>
      <c r="G38" s="5" t="n">
        <f aca="false">F38-G54+G24</f>
        <v>99322.525532624</v>
      </c>
    </row>
    <row r="39" customFormat="false" ht="15" hidden="false" customHeight="false" outlineLevel="0" collapsed="false">
      <c r="A39" s="3" t="s">
        <v>92</v>
      </c>
      <c r="B39" s="5" t="n">
        <f aca="false">B37+B38</f>
        <v>156038</v>
      </c>
      <c r="C39" s="5" t="n">
        <f aca="false">C37+C38</f>
        <v>159604.756537227</v>
      </c>
      <c r="D39" s="5" t="n">
        <f aca="false">D37+D38</f>
        <v>163349.057803845</v>
      </c>
      <c r="E39" s="5" t="n">
        <f aca="false">E37+E38</f>
        <v>167277.117865383</v>
      </c>
      <c r="F39" s="5" t="n">
        <f aca="false">F37+F38</f>
        <v>171395.368279663</v>
      </c>
      <c r="G39" s="5" t="n">
        <f aca="false">G37+G38</f>
        <v>175710.465709031</v>
      </c>
    </row>
    <row r="40" customFormat="false" ht="15" hidden="false" customHeight="false" outlineLevel="0" collapsed="false">
      <c r="A40" s="3" t="s">
        <v>276</v>
      </c>
      <c r="B40" s="5" t="n">
        <f aca="false">Datos!G21-Datos!G25-Datos!G27</f>
        <v>35543</v>
      </c>
      <c r="C40" s="5" t="n">
        <f aca="false">C19*C13</f>
        <v>36787.005</v>
      </c>
      <c r="D40" s="5" t="n">
        <f aca="false">D19*D13</f>
        <v>38074.550175</v>
      </c>
      <c r="E40" s="5" t="n">
        <f aca="false">E19*E13</f>
        <v>39407.159431125</v>
      </c>
      <c r="F40" s="5" t="n">
        <f aca="false">F19*F13</f>
        <v>40786.4100112144</v>
      </c>
      <c r="G40" s="5" t="n">
        <f aca="false">G19*G13</f>
        <v>42213.9343616069</v>
      </c>
    </row>
    <row r="41" customFormat="false" ht="15" hidden="false" customHeight="false" outlineLevel="0" collapsed="false">
      <c r="A41" s="3" t="s">
        <v>277</v>
      </c>
      <c r="B41" s="5" t="n">
        <f aca="false">Datos!G25+Datos!G26</f>
        <v>11500</v>
      </c>
      <c r="C41" s="5" t="n">
        <f aca="false">B41</f>
        <v>11500</v>
      </c>
      <c r="D41" s="5" t="n">
        <f aca="false">C41</f>
        <v>11500</v>
      </c>
      <c r="E41" s="5" t="n">
        <f aca="false">D41</f>
        <v>11500</v>
      </c>
      <c r="F41" s="5" t="n">
        <f aca="false">E41</f>
        <v>11500</v>
      </c>
      <c r="G41" s="5" t="n">
        <f aca="false">F41</f>
        <v>11500</v>
      </c>
    </row>
    <row r="42" customFormat="false" ht="15" hidden="false" customHeight="false" outlineLevel="0" collapsed="false">
      <c r="A42" s="3" t="s">
        <v>278</v>
      </c>
      <c r="B42" s="5" t="n">
        <f aca="false">Datos!G27+Datos!G28</f>
        <v>12118</v>
      </c>
      <c r="C42" s="5" t="n">
        <f aca="false">B42</f>
        <v>12118</v>
      </c>
      <c r="D42" s="5" t="n">
        <f aca="false">C42</f>
        <v>12118</v>
      </c>
      <c r="E42" s="5" t="n">
        <f aca="false">D42</f>
        <v>12118</v>
      </c>
      <c r="F42" s="5" t="n">
        <f aca="false">E42</f>
        <v>12118</v>
      </c>
      <c r="G42" s="5" t="n">
        <f aca="false">F42</f>
        <v>12118</v>
      </c>
    </row>
    <row r="43" customFormat="false" ht="15" hidden="false" customHeight="false" outlineLevel="0" collapsed="false">
      <c r="A43" s="3" t="s">
        <v>279</v>
      </c>
      <c r="B43" s="5" t="n">
        <f aca="false">Datos!G23-Datos!G21-Datos!G26-Datos!G28</f>
        <v>12145</v>
      </c>
      <c r="C43" s="5" t="n">
        <f aca="false">B43</f>
        <v>12145</v>
      </c>
      <c r="D43" s="5" t="n">
        <f aca="false">C43</f>
        <v>12145</v>
      </c>
      <c r="E43" s="5" t="n">
        <f aca="false">D43</f>
        <v>12145</v>
      </c>
      <c r="F43" s="5" t="n">
        <f aca="false">E43</f>
        <v>12145</v>
      </c>
      <c r="G43" s="5" t="n">
        <f aca="false">F43</f>
        <v>12145</v>
      </c>
    </row>
    <row r="44" customFormat="false" ht="15" hidden="false" customHeight="false" outlineLevel="0" collapsed="false">
      <c r="A44" s="3" t="s">
        <v>93</v>
      </c>
      <c r="B44" s="5" t="n">
        <f aca="false">SUM(B40:B43)</f>
        <v>71306</v>
      </c>
      <c r="C44" s="5" t="n">
        <f aca="false">SUM(C40:C43)</f>
        <v>72550.005</v>
      </c>
      <c r="D44" s="5" t="n">
        <f aca="false">SUM(D40:D43)</f>
        <v>73837.550175</v>
      </c>
      <c r="E44" s="5" t="n">
        <f aca="false">SUM(E40:E43)</f>
        <v>75170.159431125</v>
      </c>
      <c r="F44" s="5" t="n">
        <f aca="false">SUM(F40:F43)</f>
        <v>76549.4100112144</v>
      </c>
      <c r="G44" s="5" t="n">
        <f aca="false">SUM(G40:G43)</f>
        <v>77976.9343616069</v>
      </c>
    </row>
    <row r="45" customFormat="false" ht="15" hidden="false" customHeight="false" outlineLevel="0" collapsed="false">
      <c r="A45" s="3" t="s">
        <v>94</v>
      </c>
      <c r="B45" s="5" t="n">
        <f aca="false">Datos!G24</f>
        <v>84732</v>
      </c>
      <c r="C45" s="5" t="n">
        <f aca="false">B45+C30+C31</f>
        <v>87054.7515372269</v>
      </c>
      <c r="D45" s="5" t="n">
        <f aca="false">C45+D30+D31</f>
        <v>89511.507628845</v>
      </c>
      <c r="E45" s="5" t="n">
        <f aca="false">D45+E30+E31</f>
        <v>92106.9584342579</v>
      </c>
      <c r="F45" s="5" t="n">
        <f aca="false">E45+F30+F31</f>
        <v>94845.9582684485</v>
      </c>
      <c r="G45" s="5" t="n">
        <f aca="false">F45+G30+G31</f>
        <v>97733.5313474241</v>
      </c>
    </row>
    <row r="46" customFormat="false" ht="15" hidden="false" customHeight="false" outlineLevel="0" collapsed="false">
      <c r="A46" s="3" t="s">
        <v>280</v>
      </c>
      <c r="B46" s="5" t="n">
        <f aca="false">B44+B45</f>
        <v>156038</v>
      </c>
      <c r="C46" s="5" t="n">
        <f aca="false">C44+C45</f>
        <v>159604.756537227</v>
      </c>
      <c r="D46" s="5" t="n">
        <f aca="false">D44+D45</f>
        <v>163349.057803845</v>
      </c>
      <c r="E46" s="5" t="n">
        <f aca="false">E44+E45</f>
        <v>167277.117865383</v>
      </c>
      <c r="F46" s="5" t="n">
        <f aca="false">F44+F45</f>
        <v>171395.368279663</v>
      </c>
      <c r="G46" s="5" t="n">
        <f aca="false">G44+G45</f>
        <v>175710.465709031</v>
      </c>
    </row>
    <row r="47" customFormat="false" ht="15" hidden="false" customHeight="false" outlineLevel="0" collapsed="false">
      <c r="A47" s="58" t="s">
        <v>281</v>
      </c>
      <c r="B47" s="59" t="n">
        <f aca="false">B39-B46</f>
        <v>0</v>
      </c>
      <c r="C47" s="59" t="n">
        <f aca="false">C39-C46</f>
        <v>0</v>
      </c>
      <c r="D47" s="59" t="n">
        <f aca="false">D39-D46</f>
        <v>0</v>
      </c>
      <c r="E47" s="59" t="n">
        <f aca="false">E39-E46</f>
        <v>0</v>
      </c>
      <c r="F47" s="59" t="n">
        <f aca="false">F39-F46</f>
        <v>0</v>
      </c>
      <c r="G47" s="59" t="n">
        <f aca="false">G39-G46</f>
        <v>0</v>
      </c>
    </row>
    <row r="48" customFormat="false" ht="15" hidden="false" customHeight="false" outlineLevel="0" collapsed="false">
      <c r="A48" s="35"/>
      <c r="B48" s="35"/>
      <c r="C48" s="35"/>
      <c r="D48" s="35"/>
      <c r="E48" s="35"/>
      <c r="F48" s="35"/>
      <c r="G48" s="35"/>
    </row>
    <row r="49" customFormat="false" ht="15" hidden="false" customHeight="false" outlineLevel="0" collapsed="false">
      <c r="A49" s="1" t="s">
        <v>282</v>
      </c>
      <c r="B49" s="1" t="s">
        <v>225</v>
      </c>
      <c r="C49" s="1" t="s">
        <v>226</v>
      </c>
      <c r="D49" s="1" t="s">
        <v>227</v>
      </c>
      <c r="E49" s="1" t="s">
        <v>228</v>
      </c>
      <c r="F49" s="1" t="s">
        <v>229</v>
      </c>
      <c r="G49" s="1" t="s">
        <v>230</v>
      </c>
    </row>
    <row r="50" customFormat="false" ht="15" hidden="false" customHeight="false" outlineLevel="0" collapsed="false">
      <c r="A50" s="3" t="s">
        <v>89</v>
      </c>
      <c r="B50" s="3"/>
      <c r="C50" s="5" t="n">
        <f aca="false">C30</f>
        <v>3318.89949999999</v>
      </c>
      <c r="D50" s="5" t="n">
        <f aca="false">D30</f>
        <v>3510.37398249999</v>
      </c>
      <c r="E50" s="5" t="n">
        <f aca="false">E30</f>
        <v>3708.55007188749</v>
      </c>
      <c r="F50" s="5" t="n">
        <f aca="false">F30</f>
        <v>3913.66232440357</v>
      </c>
      <c r="G50" s="5" t="n">
        <f aca="false">G30</f>
        <v>4125.95350575769</v>
      </c>
    </row>
    <row r="51" customFormat="false" ht="15" hidden="false" customHeight="false" outlineLevel="0" collapsed="false">
      <c r="A51" s="3" t="s">
        <v>242</v>
      </c>
      <c r="B51" s="3"/>
      <c r="C51" s="5" t="n">
        <f aca="false">-C24</f>
        <v>4493.97</v>
      </c>
      <c r="D51" s="5" t="n">
        <f aca="false">-D24</f>
        <v>4651.25895</v>
      </c>
      <c r="E51" s="5" t="n">
        <f aca="false">-E24</f>
        <v>4814.05301325</v>
      </c>
      <c r="F51" s="5" t="n">
        <f aca="false">-F24</f>
        <v>4982.54486871375</v>
      </c>
      <c r="G51" s="5" t="n">
        <f aca="false">-G24</f>
        <v>5156.93393911873</v>
      </c>
    </row>
    <row r="52" customFormat="false" ht="15" hidden="false" customHeight="false" outlineLevel="0" collapsed="false">
      <c r="A52" s="3" t="s">
        <v>283</v>
      </c>
      <c r="B52" s="3"/>
      <c r="C52" s="5" t="n">
        <f aca="false">-(C35-B35)</f>
        <v>-1129.905</v>
      </c>
      <c r="D52" s="5" t="n">
        <f aca="false">-(D35-C35)</f>
        <v>-1169.451675</v>
      </c>
      <c r="E52" s="5" t="n">
        <f aca="false">-(E35-D35)</f>
        <v>-1210.382483625</v>
      </c>
      <c r="F52" s="5" t="n">
        <f aca="false">-(F35-E35)</f>
        <v>-1252.74587055187</v>
      </c>
      <c r="G52" s="5" t="n">
        <f aca="false">-(G35-F35)</f>
        <v>-1296.59197602119</v>
      </c>
    </row>
    <row r="53" customFormat="false" ht="15" hidden="false" customHeight="false" outlineLevel="0" collapsed="false">
      <c r="A53" s="3" t="s">
        <v>284</v>
      </c>
      <c r="B53" s="3"/>
      <c r="C53" s="5" t="n">
        <f aca="false">-(C36-B36)</f>
        <v>-243.285</v>
      </c>
      <c r="D53" s="5" t="n">
        <f aca="false">-(D36-C36)</f>
        <v>-251.799975</v>
      </c>
      <c r="E53" s="5" t="n">
        <f aca="false">-(E36-D36)</f>
        <v>-260.612974124999</v>
      </c>
      <c r="F53" s="5" t="n">
        <f aca="false">-(F36-E36)</f>
        <v>-269.734428219374</v>
      </c>
      <c r="G53" s="5" t="n">
        <f aca="false">-(G36-F36)</f>
        <v>-279.175133207054</v>
      </c>
    </row>
    <row r="54" customFormat="false" ht="15" hidden="false" customHeight="false" outlineLevel="0" collapsed="false">
      <c r="A54" s="3" t="s">
        <v>243</v>
      </c>
      <c r="B54" s="3"/>
      <c r="C54" s="5" t="n">
        <f aca="false">-C19*C8</f>
        <v>-2967.345</v>
      </c>
      <c r="D54" s="5" t="n">
        <f aca="false">-D19*D8</f>
        <v>-3071.202075</v>
      </c>
      <c r="E54" s="5" t="n">
        <f aca="false">-E19*E8</f>
        <v>-3178.694147625</v>
      </c>
      <c r="F54" s="5" t="n">
        <f aca="false">-F19*F8</f>
        <v>-3289.94844279187</v>
      </c>
      <c r="G54" s="5" t="n">
        <f aca="false">-G19*G8</f>
        <v>-3405.09663828959</v>
      </c>
    </row>
    <row r="55" customFormat="false" ht="15" hidden="false" customHeight="false" outlineLevel="0" collapsed="false">
      <c r="A55" s="3" t="s">
        <v>285</v>
      </c>
      <c r="B55" s="3"/>
      <c r="C55" s="5" t="n">
        <f aca="false">C40-B40</f>
        <v>1244.005</v>
      </c>
      <c r="D55" s="5" t="n">
        <f aca="false">D40-C40</f>
        <v>1287.54517499999</v>
      </c>
      <c r="E55" s="5" t="n">
        <f aca="false">E40-D40</f>
        <v>1332.609256125</v>
      </c>
      <c r="F55" s="5" t="n">
        <f aca="false">F40-E40</f>
        <v>1379.25058008938</v>
      </c>
      <c r="G55" s="5" t="n">
        <f aca="false">G40-F40</f>
        <v>1427.52435039249</v>
      </c>
    </row>
    <row r="56" customFormat="false" ht="15" hidden="false" customHeight="false" outlineLevel="0" collapsed="false">
      <c r="A56" s="3" t="s">
        <v>286</v>
      </c>
      <c r="B56" s="3"/>
      <c r="C56" s="5" t="n">
        <f aca="false">SUM(C50:C55)+C31</f>
        <v>3720.19153722689</v>
      </c>
      <c r="D56" s="5" t="n">
        <f aca="false">SUM(D50:D55)+D31</f>
        <v>3903.10649161806</v>
      </c>
      <c r="E56" s="5" t="n">
        <f aca="false">SUM(E50:E55)+E31</f>
        <v>4092.42346941293</v>
      </c>
      <c r="F56" s="5" t="n">
        <f aca="false">SUM(F50:F55)+F31</f>
        <v>4288.36654143064</v>
      </c>
      <c r="G56" s="5" t="n">
        <f aca="false">SUM(G50:G55)+G31</f>
        <v>4491.16762096892</v>
      </c>
    </row>
    <row r="57" customFormat="false" ht="15" hidden="false" customHeight="false" outlineLevel="0" collapsed="false">
      <c r="A57" s="35"/>
      <c r="B57" s="35"/>
      <c r="C57" s="35"/>
      <c r="D57" s="35"/>
      <c r="E57" s="35"/>
      <c r="F57" s="35"/>
      <c r="G57" s="35"/>
    </row>
    <row r="58" customFormat="false" ht="15" hidden="false" customHeight="false" outlineLevel="0" collapsed="false">
      <c r="A58" s="1" t="s">
        <v>287</v>
      </c>
      <c r="B58" s="1" t="s">
        <v>225</v>
      </c>
      <c r="C58" s="1" t="s">
        <v>226</v>
      </c>
      <c r="D58" s="1" t="s">
        <v>227</v>
      </c>
      <c r="E58" s="1" t="s">
        <v>228</v>
      </c>
      <c r="F58" s="1" t="s">
        <v>229</v>
      </c>
      <c r="G58" s="1" t="s">
        <v>230</v>
      </c>
    </row>
    <row r="59" customFormat="false" ht="15" hidden="false" customHeight="false" outlineLevel="0" collapsed="false">
      <c r="A59" s="3" t="s">
        <v>81</v>
      </c>
      <c r="B59" s="3"/>
      <c r="C59" s="5" t="n">
        <f aca="false">C25</f>
        <v>7815.28499999999</v>
      </c>
      <c r="D59" s="5" t="n">
        <f aca="false">D25</f>
        <v>8088.81997499999</v>
      </c>
      <c r="E59" s="5" t="n">
        <f aca="false">E25</f>
        <v>8371.92867412499</v>
      </c>
      <c r="F59" s="5" t="n">
        <f aca="false">F25</f>
        <v>8664.94617771939</v>
      </c>
      <c r="G59" s="5" t="n">
        <f aca="false">G25</f>
        <v>8968.21929393956</v>
      </c>
    </row>
    <row r="60" customFormat="false" ht="15" hidden="false" customHeight="false" outlineLevel="0" collapsed="false">
      <c r="A60" s="3" t="s">
        <v>240</v>
      </c>
      <c r="B60" s="3"/>
      <c r="C60" s="5" t="n">
        <f aca="false">-C59*C10</f>
        <v>-2344.5855</v>
      </c>
      <c r="D60" s="5" t="n">
        <f aca="false">-D59*D10</f>
        <v>-2426.6459925</v>
      </c>
      <c r="E60" s="5" t="n">
        <f aca="false">-E59*E10</f>
        <v>-2511.5786022375</v>
      </c>
      <c r="F60" s="5" t="n">
        <f aca="false">-F59*F10</f>
        <v>-2599.48385331582</v>
      </c>
      <c r="G60" s="5" t="n">
        <f aca="false">-G59*G10</f>
        <v>-2690.46578818187</v>
      </c>
    </row>
    <row r="61" customFormat="false" ht="15" hidden="false" customHeight="false" outlineLevel="0" collapsed="false">
      <c r="A61" s="3" t="s">
        <v>288</v>
      </c>
      <c r="B61" s="3"/>
      <c r="C61" s="5" t="n">
        <f aca="false">C59+C60</f>
        <v>5470.69949999999</v>
      </c>
      <c r="D61" s="5" t="n">
        <f aca="false">D59+D60</f>
        <v>5662.17398249999</v>
      </c>
      <c r="E61" s="5" t="n">
        <f aca="false">E59+E60</f>
        <v>5860.35007188749</v>
      </c>
      <c r="F61" s="5" t="n">
        <f aca="false">F59+F60</f>
        <v>6065.46232440357</v>
      </c>
      <c r="G61" s="5" t="n">
        <f aca="false">G59+G60</f>
        <v>6277.75350575769</v>
      </c>
    </row>
    <row r="62" customFormat="false" ht="15" hidden="false" customHeight="false" outlineLevel="0" collapsed="false">
      <c r="A62" s="3" t="s">
        <v>242</v>
      </c>
      <c r="B62" s="3"/>
      <c r="C62" s="5" t="n">
        <f aca="false">C51</f>
        <v>4493.97</v>
      </c>
      <c r="D62" s="5" t="n">
        <f aca="false">D51</f>
        <v>4651.25895</v>
      </c>
      <c r="E62" s="5" t="n">
        <f aca="false">E51</f>
        <v>4814.05301325</v>
      </c>
      <c r="F62" s="5" t="n">
        <f aca="false">F51</f>
        <v>4982.54486871375</v>
      </c>
      <c r="G62" s="5" t="n">
        <f aca="false">G51</f>
        <v>5156.93393911873</v>
      </c>
    </row>
    <row r="63" customFormat="false" ht="15" hidden="false" customHeight="false" outlineLevel="0" collapsed="false">
      <c r="A63" s="3" t="s">
        <v>243</v>
      </c>
      <c r="B63" s="3"/>
      <c r="C63" s="5" t="n">
        <f aca="false">C54</f>
        <v>-2967.345</v>
      </c>
      <c r="D63" s="5" t="n">
        <f aca="false">D54</f>
        <v>-3071.202075</v>
      </c>
      <c r="E63" s="5" t="n">
        <f aca="false">E54</f>
        <v>-3178.694147625</v>
      </c>
      <c r="F63" s="5" t="n">
        <f aca="false">F54</f>
        <v>-3289.94844279187</v>
      </c>
      <c r="G63" s="5" t="n">
        <f aca="false">G54</f>
        <v>-3405.09663828959</v>
      </c>
    </row>
    <row r="64" customFormat="false" ht="15" hidden="false" customHeight="false" outlineLevel="0" collapsed="false">
      <c r="A64" s="3" t="s">
        <v>244</v>
      </c>
      <c r="B64" s="3"/>
      <c r="C64" s="5" t="n">
        <f aca="false">C52+C53+C55</f>
        <v>-129.185000000001</v>
      </c>
      <c r="D64" s="5" t="n">
        <f aca="false">D52+D53+D55</f>
        <v>-133.706475000005</v>
      </c>
      <c r="E64" s="5" t="n">
        <f aca="false">E52+E53+E55</f>
        <v>-138.386201625</v>
      </c>
      <c r="F64" s="5" t="n">
        <f aca="false">F52+F53+F55</f>
        <v>-143.229718681862</v>
      </c>
      <c r="G64" s="5" t="n">
        <f aca="false">G52+G53+G55</f>
        <v>-148.24275883575</v>
      </c>
    </row>
    <row r="65" customFormat="false" ht="15" hidden="false" customHeight="false" outlineLevel="0" collapsed="false">
      <c r="A65" s="3" t="s">
        <v>289</v>
      </c>
      <c r="B65" s="3"/>
      <c r="C65" s="5" t="n">
        <f aca="false">SUM(C61:C64)</f>
        <v>6868.13949999999</v>
      </c>
      <c r="D65" s="5" t="n">
        <f aca="false">SUM(D61:D64)</f>
        <v>7108.52438249999</v>
      </c>
      <c r="E65" s="5" t="n">
        <f aca="false">SUM(E61:E64)</f>
        <v>7357.32273588749</v>
      </c>
      <c r="F65" s="5" t="n">
        <f aca="false">SUM(F61:F64)</f>
        <v>7614.82903164358</v>
      </c>
      <c r="G65" s="5" t="n">
        <f aca="false">SUM(G61:G64)</f>
        <v>7881.34804775108</v>
      </c>
    </row>
    <row r="66" customFormat="false" ht="15" hidden="false" customHeight="false" outlineLevel="0" collapsed="false">
      <c r="A66" s="3" t="s">
        <v>238</v>
      </c>
      <c r="B66" s="3"/>
      <c r="C66" s="45" t="n">
        <v>1</v>
      </c>
      <c r="D66" s="45" t="n">
        <f aca="false">C66+1</f>
        <v>2</v>
      </c>
      <c r="E66" s="45" t="n">
        <f aca="false">D66+1</f>
        <v>3</v>
      </c>
      <c r="F66" s="45" t="n">
        <f aca="false">E66+1</f>
        <v>4</v>
      </c>
      <c r="G66" s="45" t="n">
        <f aca="false">F66+1</f>
        <v>5</v>
      </c>
    </row>
    <row r="67" customFormat="false" ht="15" hidden="false" customHeight="false" outlineLevel="0" collapsed="false">
      <c r="A67" s="3" t="s">
        <v>246</v>
      </c>
      <c r="B67" s="3"/>
      <c r="C67" s="46" t="n">
        <f aca="false">1/(1+C15)^C66</f>
        <v>0.893496181862509</v>
      </c>
      <c r="D67" s="46" t="n">
        <f aca="false">1/(1+D15)^D66</f>
        <v>0.798335427002882</v>
      </c>
      <c r="E67" s="46" t="n">
        <f aca="false">1/(1+E15)^E66</f>
        <v>0.713309655872651</v>
      </c>
      <c r="F67" s="46" t="n">
        <f aca="false">1/(1+F15)^F66</f>
        <v>0.637339454007874</v>
      </c>
      <c r="G67" s="46" t="n">
        <f aca="false">1/(1+G15)^G66</f>
        <v>0.569460368706371</v>
      </c>
    </row>
    <row r="68" customFormat="false" ht="15" hidden="false" customHeight="false" outlineLevel="0" collapsed="false">
      <c r="A68" s="3" t="s">
        <v>290</v>
      </c>
      <c r="B68" s="3"/>
      <c r="C68" s="5" t="n">
        <f aca="false">C65*C67</f>
        <v>6136.65641974908</v>
      </c>
      <c r="D68" s="5" t="n">
        <f aca="false">D65*D67</f>
        <v>5674.98684826353</v>
      </c>
      <c r="E68" s="5" t="n">
        <f aca="false">E65*E67</f>
        <v>5248.04934887994</v>
      </c>
      <c r="F68" s="5" t="n">
        <f aca="false">F65*F67</f>
        <v>4853.23097739103</v>
      </c>
      <c r="G68" s="5" t="n">
        <f aca="false">G65*G67</f>
        <v>4488.11536517557</v>
      </c>
    </row>
    <row r="69" customFormat="false" ht="15" hidden="false" customHeight="false" outlineLevel="0" collapsed="false">
      <c r="A69" s="35"/>
      <c r="B69" s="35"/>
      <c r="C69" s="35"/>
      <c r="D69" s="35"/>
      <c r="E69" s="35"/>
      <c r="F69" s="35"/>
      <c r="G69" s="35"/>
    </row>
    <row r="70" customFormat="false" ht="15" hidden="false" customHeight="false" outlineLevel="0" collapsed="false">
      <c r="A70" s="1" t="s">
        <v>291</v>
      </c>
      <c r="B70" s="1" t="s">
        <v>78</v>
      </c>
      <c r="C70" s="35"/>
      <c r="D70" s="35"/>
      <c r="E70" s="35"/>
      <c r="F70" s="35"/>
      <c r="G70" s="35"/>
    </row>
    <row r="71" customFormat="false" ht="15" hidden="false" customHeight="false" outlineLevel="0" collapsed="false">
      <c r="A71" s="3" t="s">
        <v>292</v>
      </c>
      <c r="B71" s="5" t="n">
        <f aca="false">SUM(C68:G68)</f>
        <v>26401.0389594591</v>
      </c>
      <c r="C71" s="35"/>
      <c r="D71" s="35"/>
      <c r="E71" s="35"/>
      <c r="F71" s="35"/>
      <c r="G71" s="35"/>
    </row>
    <row r="72" customFormat="false" ht="15" hidden="false" customHeight="false" outlineLevel="0" collapsed="false">
      <c r="A72" s="3" t="s">
        <v>293</v>
      </c>
      <c r="B72" s="5" t="n">
        <f aca="false">G65*(1+G16)</f>
        <v>8157.19522942237</v>
      </c>
      <c r="C72" s="35"/>
      <c r="D72" s="35"/>
      <c r="E72" s="35"/>
      <c r="F72" s="35"/>
      <c r="G72" s="35"/>
    </row>
    <row r="73" customFormat="false" ht="15" hidden="false" customHeight="false" outlineLevel="0" collapsed="false">
      <c r="A73" s="3" t="s">
        <v>294</v>
      </c>
      <c r="B73" s="5" t="n">
        <f aca="false">B72/(G15-G16)</f>
        <v>96879.9966037507</v>
      </c>
      <c r="C73" s="35"/>
      <c r="D73" s="35"/>
      <c r="E73" s="35"/>
      <c r="F73" s="35"/>
      <c r="G73" s="35"/>
    </row>
    <row r="74" customFormat="false" ht="15" hidden="false" customHeight="false" outlineLevel="0" collapsed="false">
      <c r="A74" s="3" t="s">
        <v>295</v>
      </c>
      <c r="B74" s="5" t="n">
        <f aca="false">B73*G67</f>
        <v>55169.3185862439</v>
      </c>
      <c r="C74" s="35"/>
      <c r="D74" s="35"/>
      <c r="E74" s="35"/>
      <c r="F74" s="35"/>
      <c r="G74" s="35"/>
    </row>
    <row r="75" customFormat="false" ht="15" hidden="false" customHeight="false" outlineLevel="0" collapsed="false">
      <c r="A75" s="3" t="s">
        <v>296</v>
      </c>
      <c r="B75" s="5" t="n">
        <f aca="false">B71+B74</f>
        <v>81570.357545703</v>
      </c>
      <c r="C75" s="35"/>
      <c r="D75" s="35"/>
      <c r="E75" s="35"/>
      <c r="F75" s="35"/>
      <c r="G75" s="35"/>
    </row>
    <row r="76" customFormat="false" ht="15" hidden="false" customHeight="false" outlineLevel="0" collapsed="false">
      <c r="A76" s="3" t="s">
        <v>297</v>
      </c>
      <c r="B76" s="7" t="n">
        <f aca="false">B74/B75</f>
        <v>0.676340281521177</v>
      </c>
      <c r="C76" s="35"/>
      <c r="D76" s="35"/>
      <c r="E76" s="35"/>
      <c r="F76" s="35"/>
      <c r="G76" s="35"/>
    </row>
    <row r="77" customFormat="false" ht="15" hidden="false" customHeight="false" outlineLevel="0" collapsed="false">
      <c r="A77" s="35"/>
      <c r="B77" s="35"/>
      <c r="C77" s="35"/>
      <c r="D77" s="35"/>
      <c r="E77" s="35"/>
      <c r="F77" s="35"/>
      <c r="G77" s="35"/>
    </row>
    <row r="78" customFormat="false" ht="15" hidden="false" customHeight="false" outlineLevel="0" collapsed="false">
      <c r="A78" s="1" t="s">
        <v>298</v>
      </c>
      <c r="B78" s="1" t="s">
        <v>78</v>
      </c>
      <c r="C78" s="35"/>
      <c r="D78" s="35"/>
      <c r="E78" s="35"/>
      <c r="F78" s="35"/>
      <c r="G78" s="35"/>
    </row>
    <row r="79" customFormat="false" ht="15" hidden="false" customHeight="false" outlineLevel="0" collapsed="false">
      <c r="A79" s="3" t="s">
        <v>296</v>
      </c>
      <c r="B79" s="5" t="n">
        <f aca="false">B75</f>
        <v>81570.357545703</v>
      </c>
      <c r="C79" s="35"/>
      <c r="D79" s="35"/>
      <c r="E79" s="35"/>
      <c r="F79" s="35"/>
      <c r="G79" s="35"/>
    </row>
    <row r="80" customFormat="false" ht="15" hidden="false" customHeight="false" outlineLevel="0" collapsed="false">
      <c r="A80" s="3" t="s">
        <v>299</v>
      </c>
      <c r="B80" s="5" t="n">
        <f aca="false">-B41</f>
        <v>-11500</v>
      </c>
      <c r="C80" s="35"/>
      <c r="D80" s="35"/>
      <c r="E80" s="35"/>
      <c r="F80" s="35"/>
      <c r="G80" s="35"/>
    </row>
    <row r="81" customFormat="false" ht="15" hidden="false" customHeight="false" outlineLevel="0" collapsed="false">
      <c r="A81" s="3" t="s">
        <v>300</v>
      </c>
      <c r="B81" s="5" t="n">
        <f aca="false">-B42</f>
        <v>-12118</v>
      </c>
      <c r="C81" s="35"/>
      <c r="D81" s="35"/>
      <c r="E81" s="35"/>
      <c r="F81" s="35"/>
      <c r="G81" s="35"/>
    </row>
    <row r="82" customFormat="false" ht="15" hidden="false" customHeight="false" outlineLevel="0" collapsed="false">
      <c r="A82" s="3" t="s">
        <v>301</v>
      </c>
      <c r="B82" s="5" t="n">
        <f aca="false">B34</f>
        <v>9295</v>
      </c>
      <c r="C82" s="35"/>
      <c r="D82" s="35"/>
      <c r="E82" s="35"/>
      <c r="F82" s="35"/>
      <c r="G82" s="35"/>
    </row>
    <row r="83" customFormat="false" ht="15" hidden="false" customHeight="false" outlineLevel="0" collapsed="false">
      <c r="A83" s="3" t="s">
        <v>302</v>
      </c>
      <c r="B83" s="5" t="n">
        <f aca="false">SUM(B79:B82)</f>
        <v>67247.357545703</v>
      </c>
      <c r="C83" s="35"/>
      <c r="D83" s="35"/>
      <c r="E83" s="35"/>
      <c r="F83" s="35"/>
      <c r="G83" s="35"/>
    </row>
    <row r="84" customFormat="false" ht="15" hidden="false" customHeight="false" outlineLevel="0" collapsed="false">
      <c r="A84" s="3" t="s">
        <v>57</v>
      </c>
      <c r="B84" s="16" t="n">
        <f aca="false">Valuación!B40</f>
        <v>1800</v>
      </c>
      <c r="C84" s="35"/>
      <c r="D84" s="35"/>
      <c r="E84" s="35"/>
      <c r="F84" s="35"/>
      <c r="G84" s="35"/>
    </row>
    <row r="85" customFormat="false" ht="15" hidden="false" customHeight="false" outlineLevel="0" collapsed="false">
      <c r="A85" s="3" t="s">
        <v>303</v>
      </c>
      <c r="B85" s="24" t="n">
        <f aca="false">B83/B84</f>
        <v>37.3596430809461</v>
      </c>
      <c r="C85" s="35"/>
      <c r="D85" s="35"/>
      <c r="E85" s="35"/>
      <c r="F85" s="35"/>
      <c r="G85" s="35"/>
    </row>
    <row r="86" customFormat="false" ht="15" hidden="false" customHeight="false" outlineLevel="0" collapsed="false">
      <c r="A86" s="3" t="s">
        <v>16</v>
      </c>
      <c r="B86" s="24" t="n">
        <f aca="false">Valuación!B42</f>
        <v>33.48</v>
      </c>
      <c r="C86" s="35"/>
      <c r="D86" s="35"/>
      <c r="E86" s="35"/>
      <c r="F86" s="35"/>
      <c r="G86" s="35"/>
    </row>
    <row r="87" customFormat="false" ht="15" hidden="false" customHeight="false" outlineLevel="0" collapsed="false">
      <c r="A87" s="3" t="s">
        <v>17</v>
      </c>
      <c r="B87" s="7" t="n">
        <f aca="false">B85/B86-1</f>
        <v>0.115879422967327</v>
      </c>
      <c r="C87" s="35"/>
      <c r="D87" s="35"/>
      <c r="E87" s="35"/>
      <c r="F87" s="35"/>
      <c r="G87" s="3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F1" activePane="topRight" state="frozen"/>
      <selection pane="topLeft" activeCell="A1" activeCellId="0" sqref="A1"/>
      <selection pane="topRight" activeCell="H30" activeCellId="0" sqref="H30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61.16"/>
    <col collapsed="false" customWidth="true" hidden="false" outlineLevel="0" max="5" min="2" style="0" width="20"/>
    <col collapsed="false" customWidth="true" hidden="false" outlineLevel="0" max="8" min="6" style="0" width="26.83"/>
    <col collapsed="false" customWidth="true" hidden="false" outlineLevel="0" max="10" min="9" style="0" width="20"/>
  </cols>
  <sheetData>
    <row r="1" customFormat="false" ht="15" hidden="false" customHeight="true" outlineLevel="0" collapsed="false">
      <c r="A1" s="60"/>
      <c r="B1" s="60"/>
      <c r="C1" s="60"/>
      <c r="D1" s="60"/>
      <c r="E1" s="60"/>
      <c r="F1" s="60"/>
      <c r="G1" s="60"/>
      <c r="H1" s="60"/>
      <c r="I1" s="60"/>
    </row>
    <row r="2" customFormat="false" ht="15" hidden="false" customHeight="true" outlineLevel="0" collapsed="false">
      <c r="A2" s="60"/>
      <c r="B2" s="60"/>
      <c r="C2" s="60"/>
      <c r="D2" s="60"/>
      <c r="E2" s="60"/>
      <c r="F2" s="60"/>
      <c r="G2" s="60"/>
      <c r="H2" s="60"/>
      <c r="I2" s="60"/>
      <c r="J2" s="60"/>
    </row>
    <row r="3" customFormat="false" ht="15" hidden="false" customHeight="true" outlineLevel="0" collapsed="false">
      <c r="A3" s="61" t="s">
        <v>304</v>
      </c>
      <c r="B3" s="60"/>
      <c r="C3" s="60"/>
      <c r="D3" s="60"/>
      <c r="E3" s="60"/>
      <c r="F3" s="60"/>
      <c r="G3" s="60"/>
      <c r="H3" s="60"/>
      <c r="I3" s="60"/>
      <c r="J3" s="60"/>
    </row>
    <row r="4" customFormat="false" ht="15" hidden="false" customHeight="true" outlineLevel="0" collapsed="false">
      <c r="A4" s="48" t="s">
        <v>195</v>
      </c>
      <c r="B4" s="48" t="s">
        <v>305</v>
      </c>
      <c r="C4" s="48" t="s">
        <v>306</v>
      </c>
      <c r="D4" s="48" t="s">
        <v>307</v>
      </c>
      <c r="E4" s="48" t="s">
        <v>308</v>
      </c>
      <c r="F4" s="48" t="s">
        <v>309</v>
      </c>
      <c r="G4" s="48" t="s">
        <v>310</v>
      </c>
      <c r="H4" s="48" t="s">
        <v>311</v>
      </c>
      <c r="I4" s="60"/>
      <c r="J4" s="60"/>
    </row>
    <row r="5" customFormat="false" ht="15" hidden="false" customHeight="true" outlineLevel="0" collapsed="false">
      <c r="A5" s="48" t="s">
        <v>312</v>
      </c>
      <c r="B5" s="62" t="n">
        <f aca="false">I39</f>
        <v>3</v>
      </c>
      <c r="C5" s="62" t="n">
        <f aca="false">I40</f>
        <v>4</v>
      </c>
      <c r="D5" s="62" t="n">
        <f aca="false">I41</f>
        <v>5</v>
      </c>
      <c r="E5" s="62" t="n">
        <f aca="false">I42</f>
        <v>6</v>
      </c>
      <c r="F5" s="63"/>
      <c r="G5" s="63"/>
      <c r="H5" s="55"/>
      <c r="I5" s="60"/>
      <c r="J5" s="60"/>
    </row>
    <row r="6" customFormat="false" ht="15" hidden="false" customHeight="true" outlineLevel="0" collapsed="false">
      <c r="A6" s="48" t="s">
        <v>239</v>
      </c>
      <c r="B6" s="63" t="n">
        <f aca="false">J39</f>
        <v>41995.3</v>
      </c>
      <c r="C6" s="63" t="n">
        <f aca="false">J40</f>
        <v>41321.2</v>
      </c>
      <c r="D6" s="63" t="n">
        <f aca="false">J41</f>
        <v>40647.1</v>
      </c>
      <c r="E6" s="63" t="n">
        <f aca="false">J42</f>
        <v>39973</v>
      </c>
      <c r="F6" s="63" t="n">
        <f aca="false">SUM(B6:E6)</f>
        <v>163936.6</v>
      </c>
      <c r="G6" s="63" t="n">
        <f aca="false">SUM(Datos!C6:F6)</f>
        <v>174278</v>
      </c>
      <c r="H6" s="55" t="n">
        <f aca="false">IFERROR((F6-G6)/ABS(G6),"")</f>
        <v>-0.0593385280987848</v>
      </c>
      <c r="I6" s="60"/>
      <c r="J6" s="60"/>
    </row>
    <row r="7" customFormat="false" ht="15" hidden="false" customHeight="true" outlineLevel="0" collapsed="false">
      <c r="A7" s="48" t="s">
        <v>313</v>
      </c>
      <c r="B7" s="63" t="n">
        <f aca="false">J56</f>
        <v>40013.5</v>
      </c>
      <c r="C7" s="63" t="n">
        <f aca="false">J57</f>
        <v>39314.8</v>
      </c>
      <c r="D7" s="63" t="n">
        <f aca="false">J58</f>
        <v>38616.1</v>
      </c>
      <c r="E7" s="63" t="n">
        <f aca="false">J59</f>
        <v>37917.4</v>
      </c>
      <c r="F7" s="63" t="n">
        <f aca="false">SUM(B7:E7)</f>
        <v>155861.8</v>
      </c>
      <c r="G7" s="63" t="n">
        <f aca="false">SUM(Datos!C6:F6)-SUM(Datos!C9:F9)</f>
        <v>166647</v>
      </c>
      <c r="H7" s="55" t="n">
        <f aca="false">IFERROR((F7-G7)/ABS(G7),"")</f>
        <v>-0.0647188368227452</v>
      </c>
      <c r="I7" s="60"/>
      <c r="J7" s="60"/>
    </row>
    <row r="8" customFormat="false" ht="15" hidden="false" customHeight="true" outlineLevel="0" collapsed="false">
      <c r="A8" s="48" t="s">
        <v>314</v>
      </c>
      <c r="B8" s="63" t="n">
        <f aca="false">B6-B7</f>
        <v>1981.8</v>
      </c>
      <c r="C8" s="63" t="n">
        <f aca="false">C6-C7</f>
        <v>2006.4</v>
      </c>
      <c r="D8" s="63" t="n">
        <f aca="false">D6-D7</f>
        <v>2031</v>
      </c>
      <c r="E8" s="63" t="n">
        <f aca="false">E6-E7</f>
        <v>2055.60000000001</v>
      </c>
      <c r="F8" s="63" t="n">
        <f aca="false">SUM(B8:E8)</f>
        <v>8074.8</v>
      </c>
      <c r="G8" s="63" t="n">
        <f aca="false">G6-G7</f>
        <v>7631</v>
      </c>
      <c r="H8" s="55" t="n">
        <f aca="false">IFERROR((F8-G8)/ABS(G8),"")</f>
        <v>0.0581575153977202</v>
      </c>
      <c r="I8" s="60"/>
      <c r="J8" s="60"/>
    </row>
    <row r="9" customFormat="false" ht="15" hidden="false" customHeight="true" outlineLevel="0" collapsed="false">
      <c r="A9" s="48" t="s">
        <v>232</v>
      </c>
      <c r="B9" s="55" t="n">
        <f aca="false">B8/B6</f>
        <v>0.0471909951827942</v>
      </c>
      <c r="C9" s="55" t="n">
        <f aca="false">C8/C6</f>
        <v>0.0485561890748575</v>
      </c>
      <c r="D9" s="55" t="n">
        <f aca="false">D8/D6</f>
        <v>0.0499666642884732</v>
      </c>
      <c r="E9" s="55" t="n">
        <f aca="false">E8/E6</f>
        <v>0.0514247116803844</v>
      </c>
      <c r="F9" s="55" t="n">
        <f aca="false">F8/F6</f>
        <v>0.0492556268703877</v>
      </c>
      <c r="G9" s="55" t="n">
        <f aca="false">G8/G6</f>
        <v>0.0437863643144861</v>
      </c>
      <c r="H9" s="55"/>
      <c r="I9" s="60"/>
      <c r="J9" s="60"/>
    </row>
    <row r="10" customFormat="false" ht="15" hidden="false" customHeight="true" outlineLevel="0" collapsed="false">
      <c r="A10" s="48" t="s">
        <v>315</v>
      </c>
      <c r="B10" s="55" t="n">
        <f aca="false">J73</f>
        <v>0.224855634155331</v>
      </c>
      <c r="C10" s="55" t="n">
        <f aca="false">J74</f>
        <v>0.202996529891104</v>
      </c>
      <c r="D10" s="55" t="n">
        <f aca="false">J75</f>
        <v>0.181137425626876</v>
      </c>
      <c r="E10" s="55" t="n">
        <f aca="false">J76</f>
        <v>0.159278321362649</v>
      </c>
      <c r="F10" s="55" t="n">
        <f aca="false">1-F11/F8</f>
        <v>0.191734007304675</v>
      </c>
      <c r="G10" s="55" t="n">
        <f aca="false">SUM(Datos!C12:F12)/SUM(Datos!C11:F11)</f>
        <v>0.269473684210526</v>
      </c>
      <c r="H10" s="55"/>
      <c r="I10" s="60"/>
      <c r="J10" s="60"/>
    </row>
    <row r="11" customFormat="false" ht="15" hidden="false" customHeight="true" outlineLevel="0" collapsed="false">
      <c r="A11" s="48" t="s">
        <v>316</v>
      </c>
      <c r="B11" s="63" t="n">
        <f aca="false">B8*(1-B10)</f>
        <v>1536.18110423096</v>
      </c>
      <c r="C11" s="63" t="n">
        <f aca="false">C8*(1-C10)</f>
        <v>1599.10776242649</v>
      </c>
      <c r="D11" s="63" t="n">
        <f aca="false">D8*(1-D10)</f>
        <v>1663.10988855181</v>
      </c>
      <c r="E11" s="63" t="n">
        <f aca="false">E8*(1-E10)</f>
        <v>1728.18748260694</v>
      </c>
      <c r="F11" s="63" t="n">
        <f aca="false">SUM(B11:E11)</f>
        <v>6526.58623781621</v>
      </c>
      <c r="G11" s="63" t="n">
        <f aca="false">G8*(1-G10)</f>
        <v>5574.64631578947</v>
      </c>
      <c r="H11" s="55" t="n">
        <f aca="false">IFERROR((F11-G11)/ABS(G11),"")</f>
        <v>0.17076238887667</v>
      </c>
      <c r="I11" s="60"/>
      <c r="J11" s="60"/>
    </row>
    <row r="12" customFormat="false" ht="15" hidden="false" customHeight="true" outlineLevel="0" collapsed="false">
      <c r="A12" s="48" t="s">
        <v>242</v>
      </c>
      <c r="B12" s="63" t="n">
        <f aca="false">J90</f>
        <v>1011.854</v>
      </c>
      <c r="C12" s="63" t="n">
        <f aca="false">J91</f>
        <v>996.7536</v>
      </c>
      <c r="D12" s="63" t="n">
        <f aca="false">J92</f>
        <v>981.6532</v>
      </c>
      <c r="E12" s="63" t="n">
        <f aca="false">J93</f>
        <v>966.5528</v>
      </c>
      <c r="F12" s="63" t="n">
        <f aca="false">SUM(B12:E12)</f>
        <v>3956.8136</v>
      </c>
      <c r="G12" s="63" t="n">
        <f aca="false">SUM(Datos!C14:F14)</f>
        <v>4179.871</v>
      </c>
      <c r="H12" s="55" t="n">
        <f aca="false">IFERROR((F12-G12)/ABS(G12),"")</f>
        <v>-0.0533646612539</v>
      </c>
      <c r="I12" s="60"/>
      <c r="J12" s="60"/>
    </row>
    <row r="13" customFormat="false" ht="15" hidden="false" customHeight="true" outlineLevel="0" collapsed="false">
      <c r="A13" s="48" t="s">
        <v>243</v>
      </c>
      <c r="B13" s="63" t="n">
        <f aca="false">J107</f>
        <v>798.82</v>
      </c>
      <c r="C13" s="63" t="n">
        <f aca="false">J108</f>
        <v>820.74</v>
      </c>
      <c r="D13" s="63" t="n">
        <f aca="false">J109</f>
        <v>842.66</v>
      </c>
      <c r="E13" s="63" t="n">
        <f aca="false">J110</f>
        <v>864.58</v>
      </c>
      <c r="F13" s="63" t="n">
        <f aca="false">SUM(B13:E13)</f>
        <v>3326.8</v>
      </c>
      <c r="G13" s="63" t="n">
        <f aca="false">SUM(Datos!C16:F16)</f>
        <v>3002.1</v>
      </c>
      <c r="H13" s="55" t="n">
        <f aca="false">IFERROR((F13-G13)/ABS(G13),"")</f>
        <v>0.108157622997235</v>
      </c>
      <c r="I13" s="60"/>
      <c r="J13" s="60"/>
    </row>
    <row r="14" customFormat="false" ht="15" hidden="false" customHeight="true" outlineLevel="0" collapsed="false">
      <c r="A14" s="48" t="s">
        <v>317</v>
      </c>
      <c r="B14" s="63" t="n">
        <f aca="false">J124</f>
        <v>6975.4312</v>
      </c>
      <c r="C14" s="63" t="n">
        <f aca="false">J125</f>
        <v>6036.11400000001</v>
      </c>
      <c r="D14" s="63" t="n">
        <f aca="false">J126</f>
        <v>5096.79680000001</v>
      </c>
      <c r="E14" s="63" t="n">
        <f aca="false">J127</f>
        <v>4157.47960000001</v>
      </c>
      <c r="F14" s="63" t="n">
        <f aca="false">E14</f>
        <v>4157.47960000001</v>
      </c>
      <c r="G14" s="63" t="n">
        <f aca="false">Datos!F19-Datos!F21</f>
        <v>7301.914</v>
      </c>
      <c r="H14" s="55"/>
      <c r="I14" s="60"/>
      <c r="J14" s="60"/>
    </row>
    <row r="15" customFormat="false" ht="15" hidden="false" customHeight="true" outlineLevel="0" collapsed="false">
      <c r="A15" s="48" t="s">
        <v>318</v>
      </c>
      <c r="B15" s="63" t="n">
        <f aca="false">B14-(Datos!$F$19-Datos!$F$21)</f>
        <v>-326.482800000001</v>
      </c>
      <c r="C15" s="63" t="n">
        <f aca="false">C14-B14</f>
        <v>-939.317199999999</v>
      </c>
      <c r="D15" s="63" t="n">
        <f aca="false">D14-C14</f>
        <v>-939.3172</v>
      </c>
      <c r="E15" s="63" t="n">
        <f aca="false">E14-D14</f>
        <v>-939.3172</v>
      </c>
      <c r="F15" s="63" t="n">
        <f aca="false">SUM(B15:E15)</f>
        <v>-3144.4344</v>
      </c>
      <c r="G15" s="63" t="n">
        <f aca="false">(Datos!F19-Datos!F21)-(Datos!B19-Datos!B21)</f>
        <v>-3764.086</v>
      </c>
      <c r="H15" s="55"/>
      <c r="I15" s="60"/>
      <c r="J15" s="60"/>
    </row>
    <row r="16" customFormat="false" ht="15" hidden="false" customHeight="true" outlineLevel="0" collapsed="false">
      <c r="A16" s="48" t="s">
        <v>319</v>
      </c>
      <c r="B16" s="63" t="n">
        <f aca="false">B11+B12-B13-B15</f>
        <v>2075.69790423096</v>
      </c>
      <c r="C16" s="63" t="n">
        <f aca="false">C11+C12-C13-C15</f>
        <v>2714.43856242649</v>
      </c>
      <c r="D16" s="63" t="n">
        <f aca="false">D11+D12-D13-D15</f>
        <v>2741.42028855181</v>
      </c>
      <c r="E16" s="63" t="n">
        <f aca="false">E11+E12-E13-E15</f>
        <v>2769.47748260694</v>
      </c>
      <c r="F16" s="63" t="n">
        <f aca="false">F11+F12-F13-F15</f>
        <v>10301.0342378162</v>
      </c>
      <c r="G16" s="63" t="n">
        <f aca="false">G11+G12-G13-G15</f>
        <v>10516.5033157895</v>
      </c>
      <c r="H16" s="55" t="n">
        <f aca="false">IFERROR((F16-G16)/ABS(G16),"")</f>
        <v>-0.0204886616305018</v>
      </c>
      <c r="I16" s="60"/>
      <c r="J16" s="60"/>
    </row>
    <row r="17" customFormat="false" ht="15" hidden="false" customHeight="true" outlineLevel="0" collapsed="false">
      <c r="A17" s="60"/>
      <c r="B17" s="60"/>
      <c r="C17" s="60"/>
      <c r="D17" s="60"/>
      <c r="E17" s="60"/>
      <c r="F17" s="60"/>
      <c r="G17" s="60"/>
      <c r="H17" s="60"/>
      <c r="I17" s="60"/>
      <c r="J17" s="60"/>
    </row>
    <row r="18" customFormat="false" ht="15" hidden="false" customHeight="true" outlineLevel="0" collapsed="false">
      <c r="A18" s="64" t="s">
        <v>320</v>
      </c>
      <c r="B18" s="48"/>
      <c r="C18" s="60"/>
      <c r="D18" s="60"/>
      <c r="E18" s="60"/>
      <c r="F18" s="60"/>
      <c r="G18" s="60"/>
      <c r="H18" s="60"/>
      <c r="I18" s="60"/>
      <c r="J18" s="60"/>
    </row>
    <row r="19" customFormat="false" ht="15" hidden="false" customHeight="true" outlineLevel="0" collapsed="false">
      <c r="A19" s="48" t="s">
        <v>321</v>
      </c>
      <c r="B19" s="65" t="n">
        <f aca="false">'Variables Externas'!H22</f>
        <v>-0.009</v>
      </c>
      <c r="C19" s="60"/>
      <c r="D19" s="60"/>
      <c r="E19" s="60"/>
      <c r="F19" s="60"/>
      <c r="G19" s="60"/>
      <c r="H19" s="60"/>
      <c r="I19" s="60"/>
      <c r="J19" s="60"/>
    </row>
    <row r="20" customFormat="false" ht="15" hidden="false" customHeight="true" outlineLevel="0" collapsed="false">
      <c r="A20" s="48" t="s">
        <v>322</v>
      </c>
      <c r="B20" s="65" t="n">
        <f aca="false">'Variables Externas'!I22</f>
        <v>0.0052</v>
      </c>
      <c r="C20" s="60"/>
      <c r="D20" s="60"/>
      <c r="E20" s="60"/>
      <c r="F20" s="60"/>
      <c r="G20" s="60"/>
      <c r="H20" s="60"/>
      <c r="I20" s="60"/>
      <c r="J20" s="60"/>
    </row>
    <row r="21" customFormat="false" ht="15" hidden="false" customHeight="true" outlineLevel="0" collapsed="false">
      <c r="A21" s="48" t="s">
        <v>323</v>
      </c>
      <c r="B21" s="65" t="n">
        <f aca="false">'Variables Externas'!J22</f>
        <v>0.025</v>
      </c>
      <c r="C21" s="60"/>
      <c r="D21" s="60"/>
      <c r="E21" s="60"/>
      <c r="F21" s="60"/>
      <c r="G21" s="60"/>
      <c r="H21" s="60"/>
      <c r="I21" s="60"/>
      <c r="J21" s="60"/>
    </row>
    <row r="22" customFormat="false" ht="15" hidden="false" customHeight="true" outlineLevel="0" collapsed="false">
      <c r="A22" s="60"/>
      <c r="B22" s="60"/>
      <c r="C22" s="60"/>
      <c r="D22" s="60"/>
      <c r="E22" s="60"/>
      <c r="F22" s="60"/>
      <c r="G22" s="60"/>
      <c r="H22" s="60"/>
      <c r="I22" s="60"/>
      <c r="J22" s="60"/>
    </row>
    <row r="23" customFormat="false" ht="15" hidden="false" customHeight="true" outlineLevel="0" collapsed="false">
      <c r="A23" s="48" t="s">
        <v>195</v>
      </c>
      <c r="B23" s="48" t="s">
        <v>305</v>
      </c>
      <c r="C23" s="48" t="s">
        <v>306</v>
      </c>
      <c r="D23" s="48" t="s">
        <v>307</v>
      </c>
      <c r="E23" s="48" t="s">
        <v>308</v>
      </c>
      <c r="F23" s="48" t="s">
        <v>324</v>
      </c>
      <c r="G23" s="48" t="s">
        <v>325</v>
      </c>
      <c r="H23" s="48" t="s">
        <v>326</v>
      </c>
      <c r="I23" s="60"/>
      <c r="J23" s="60"/>
    </row>
    <row r="24" customFormat="false" ht="15" hidden="false" customHeight="true" outlineLevel="0" collapsed="false">
      <c r="A24" s="48" t="s">
        <v>239</v>
      </c>
      <c r="B24" s="63" t="n">
        <f aca="false">B6*(1+$B$19)</f>
        <v>41617.3423</v>
      </c>
      <c r="C24" s="63" t="n">
        <f aca="false">C6*(1+$B$19)</f>
        <v>40949.3092</v>
      </c>
      <c r="D24" s="63" t="n">
        <f aca="false">D6*(1+$B$19)</f>
        <v>40281.2761</v>
      </c>
      <c r="E24" s="63" t="n">
        <f aca="false">E6*(1+$B$19)</f>
        <v>39613.243</v>
      </c>
      <c r="F24" s="63" t="n">
        <f aca="false">SUM(B24:E24)</f>
        <v>162461.1706</v>
      </c>
      <c r="G24" s="63" t="n">
        <f aca="false">F6</f>
        <v>163936.6</v>
      </c>
      <c r="H24" s="55" t="n">
        <f aca="false">IFERROR((F24-G24)/ABS(G24),"")</f>
        <v>-0.00899999999999978</v>
      </c>
      <c r="I24" s="60"/>
      <c r="J24" s="60"/>
    </row>
    <row r="25" customFormat="false" ht="15" hidden="false" customHeight="true" outlineLevel="0" collapsed="false">
      <c r="A25" s="48" t="s">
        <v>313</v>
      </c>
      <c r="B25" s="63" t="n">
        <f aca="false">B7*(1+$B$19)*(1+$B$20)</f>
        <v>39859.5760682</v>
      </c>
      <c r="C25" s="63" t="n">
        <f aca="false">C7*(1+$B$19)*(1+$B$20)</f>
        <v>39163.56382736</v>
      </c>
      <c r="D25" s="63" t="n">
        <f aca="false">D7*(1+$B$19)*(1+$B$20)</f>
        <v>38467.55158652</v>
      </c>
      <c r="E25" s="63" t="n">
        <f aca="false">E7*(1+$B$19)*(1+$B$20)</f>
        <v>37771.53934568</v>
      </c>
      <c r="F25" s="63" t="n">
        <f aca="false">SUM(B25:E25)</f>
        <v>155262.23082776</v>
      </c>
      <c r="G25" s="63" t="n">
        <f aca="false">F7</f>
        <v>155861.8</v>
      </c>
      <c r="H25" s="55" t="n">
        <f aca="false">IFERROR((F25-G25)/ABS(G25),"")</f>
        <v>-0.00384679999999986</v>
      </c>
      <c r="I25" s="60"/>
      <c r="J25" s="60"/>
    </row>
    <row r="26" customFormat="false" ht="15" hidden="false" customHeight="true" outlineLevel="0" collapsed="false">
      <c r="A26" s="48" t="s">
        <v>314</v>
      </c>
      <c r="B26" s="63" t="n">
        <f aca="false">B24-B25</f>
        <v>1757.76623179999</v>
      </c>
      <c r="C26" s="63" t="n">
        <f aca="false">C24-C25</f>
        <v>1785.74537264</v>
      </c>
      <c r="D26" s="63" t="n">
        <f aca="false">D24-D25</f>
        <v>1813.72451348</v>
      </c>
      <c r="E26" s="63" t="n">
        <f aca="false">E24-E25</f>
        <v>1841.70365432001</v>
      </c>
      <c r="F26" s="63" t="n">
        <f aca="false">SUM(B26:E26)</f>
        <v>7198.93977224</v>
      </c>
      <c r="G26" s="63" t="n">
        <f aca="false">F8</f>
        <v>8074.8</v>
      </c>
      <c r="H26" s="55" t="n">
        <f aca="false">IFERROR((F26-G26)/ABS(G26),"")</f>
        <v>-0.108468349403082</v>
      </c>
      <c r="I26" s="60"/>
      <c r="J26" s="60"/>
    </row>
    <row r="27" customFormat="false" ht="15" hidden="false" customHeight="true" outlineLevel="0" collapsed="false">
      <c r="A27" s="48" t="s">
        <v>232</v>
      </c>
      <c r="B27" s="55" t="n">
        <f aca="false">B26/B24</f>
        <v>0.0422363883577446</v>
      </c>
      <c r="C27" s="55" t="n">
        <f aca="false">C26/C24</f>
        <v>0.0436086812580467</v>
      </c>
      <c r="D27" s="55" t="n">
        <f aca="false">D26/D24</f>
        <v>0.0450264909427732</v>
      </c>
      <c r="E27" s="55" t="n">
        <f aca="false">E26/E24</f>
        <v>0.0464921201811225</v>
      </c>
      <c r="F27" s="55" t="n">
        <f aca="false">F26/F24</f>
        <v>0.0443117561301137</v>
      </c>
      <c r="G27" s="55" t="n">
        <f aca="false">F9</f>
        <v>0.0492556268703877</v>
      </c>
      <c r="H27" s="55"/>
      <c r="I27" s="60"/>
      <c r="J27" s="60"/>
    </row>
    <row r="28" customFormat="false" ht="15" hidden="false" customHeight="true" outlineLevel="0" collapsed="false">
      <c r="A28" s="48" t="s">
        <v>315</v>
      </c>
      <c r="B28" s="55" t="n">
        <f aca="false">B10</f>
        <v>0.224855634155331</v>
      </c>
      <c r="C28" s="55" t="n">
        <f aca="false">C10</f>
        <v>0.202996529891104</v>
      </c>
      <c r="D28" s="55" t="n">
        <f aca="false">D10</f>
        <v>0.181137425626876</v>
      </c>
      <c r="E28" s="55" t="n">
        <f aca="false">E10</f>
        <v>0.159278321362649</v>
      </c>
      <c r="F28" s="55" t="n">
        <f aca="false">1-F29/F26</f>
        <v>0.191642193710092</v>
      </c>
      <c r="G28" s="55" t="n">
        <f aca="false">F10</f>
        <v>0.191734007304675</v>
      </c>
      <c r="H28" s="55"/>
      <c r="I28" s="60"/>
      <c r="J28" s="60"/>
    </row>
    <row r="29" customFormat="false" ht="15" hidden="false" customHeight="true" outlineLevel="0" collapsed="false">
      <c r="A29" s="48" t="s">
        <v>316</v>
      </c>
      <c r="B29" s="63" t="n">
        <f aca="false">B26*(1-B28)</f>
        <v>1362.52259105178</v>
      </c>
      <c r="C29" s="63" t="n">
        <f aca="false">C26*(1-C28)</f>
        <v>1423.24525872498</v>
      </c>
      <c r="D29" s="63" t="n">
        <f aca="false">D26*(1-D28)</f>
        <v>1485.19112431187</v>
      </c>
      <c r="E29" s="63" t="n">
        <f aca="false">E26*(1-E28)</f>
        <v>1548.36018781246</v>
      </c>
      <c r="F29" s="63" t="n">
        <f aca="false">SUM(B29:E29)</f>
        <v>5819.31916190109</v>
      </c>
      <c r="G29" s="63" t="n">
        <f aca="false">F11</f>
        <v>6526.58623781621</v>
      </c>
      <c r="H29" s="55" t="n">
        <f aca="false">IFERROR((F29-G29)/ABS(G29),"")</f>
        <v>-0.108367077388342</v>
      </c>
      <c r="I29" s="60"/>
      <c r="J29" s="60"/>
    </row>
    <row r="30" customFormat="false" ht="15" hidden="false" customHeight="true" outlineLevel="0" collapsed="false">
      <c r="A30" s="48" t="s">
        <v>242</v>
      </c>
      <c r="B30" s="63" t="n">
        <f aca="false">B12</f>
        <v>1011.854</v>
      </c>
      <c r="C30" s="63" t="n">
        <f aca="false">C12</f>
        <v>996.7536</v>
      </c>
      <c r="D30" s="63" t="n">
        <f aca="false">D12</f>
        <v>981.6532</v>
      </c>
      <c r="E30" s="63" t="n">
        <f aca="false">E12</f>
        <v>966.5528</v>
      </c>
      <c r="F30" s="63" t="n">
        <f aca="false">SUM(B30:E30)</f>
        <v>3956.8136</v>
      </c>
      <c r="G30" s="63" t="n">
        <f aca="false">F12</f>
        <v>3956.8136</v>
      </c>
      <c r="H30" s="55" t="n">
        <f aca="false">IFERROR((F30-G30)/ABS(G30),"")</f>
        <v>0</v>
      </c>
      <c r="I30" s="60"/>
      <c r="J30" s="60"/>
    </row>
    <row r="31" customFormat="false" ht="15" hidden="false" customHeight="true" outlineLevel="0" collapsed="false">
      <c r="A31" s="48" t="s">
        <v>243</v>
      </c>
      <c r="B31" s="63" t="n">
        <f aca="false">B13*(1+$B$21)</f>
        <v>818.7905</v>
      </c>
      <c r="C31" s="63" t="n">
        <f aca="false">C13*(1+$B$21)</f>
        <v>841.2585</v>
      </c>
      <c r="D31" s="63" t="n">
        <f aca="false">D13*(1+$B$21)</f>
        <v>863.7265</v>
      </c>
      <c r="E31" s="63" t="n">
        <f aca="false">E13*(1+$B$21)</f>
        <v>886.1945</v>
      </c>
      <c r="F31" s="63" t="n">
        <f aca="false">SUM(B31:E31)</f>
        <v>3409.97</v>
      </c>
      <c r="G31" s="63" t="n">
        <f aca="false">F13</f>
        <v>3326.8</v>
      </c>
      <c r="H31" s="55" t="n">
        <f aca="false">IFERROR((F31-G31)/ABS(G31),"")</f>
        <v>0.0249999999999999</v>
      </c>
      <c r="I31" s="60"/>
      <c r="J31" s="60"/>
    </row>
    <row r="32" customFormat="false" ht="15" hidden="false" customHeight="true" outlineLevel="0" collapsed="false">
      <c r="A32" s="48" t="s">
        <v>327</v>
      </c>
      <c r="B32" s="63" t="n">
        <f aca="false">B15</f>
        <v>-326.482800000001</v>
      </c>
      <c r="C32" s="63" t="n">
        <f aca="false">C15</f>
        <v>-939.317199999999</v>
      </c>
      <c r="D32" s="63" t="n">
        <f aca="false">D15</f>
        <v>-939.3172</v>
      </c>
      <c r="E32" s="63" t="n">
        <f aca="false">E15</f>
        <v>-939.3172</v>
      </c>
      <c r="F32" s="63" t="n">
        <f aca="false">SUM(B32:E32)</f>
        <v>-3144.4344</v>
      </c>
      <c r="G32" s="63" t="n">
        <f aca="false">F15</f>
        <v>-3144.4344</v>
      </c>
      <c r="H32" s="55"/>
      <c r="I32" s="60"/>
      <c r="J32" s="60"/>
    </row>
    <row r="33" customFormat="false" ht="15" hidden="false" customHeight="true" outlineLevel="0" collapsed="false">
      <c r="A33" s="48" t="s">
        <v>328</v>
      </c>
      <c r="B33" s="63" t="n">
        <f aca="false">B29+B30-B31-B32</f>
        <v>1882.06889105178</v>
      </c>
      <c r="C33" s="63" t="n">
        <f aca="false">C29+C30-C31-C32</f>
        <v>2518.05755872498</v>
      </c>
      <c r="D33" s="63" t="n">
        <f aca="false">D29+D30-D31-D32</f>
        <v>2542.43502431187</v>
      </c>
      <c r="E33" s="63" t="n">
        <f aca="false">E29+E30-E31-E32</f>
        <v>2568.03568781246</v>
      </c>
      <c r="F33" s="63" t="n">
        <f aca="false">SUM(B33:E33)</f>
        <v>9510.59716190109</v>
      </c>
      <c r="G33" s="63" t="n">
        <f aca="false">F16</f>
        <v>10301.0342378162</v>
      </c>
      <c r="H33" s="55" t="n">
        <f aca="false">IFERROR((F33-G33)/ABS(G33),"")</f>
        <v>-0.0767337587339859</v>
      </c>
      <c r="I33" s="60"/>
      <c r="J33" s="60"/>
    </row>
    <row r="34" customFormat="false" ht="15" hidden="false" customHeight="true" outlineLevel="0" collapsed="false">
      <c r="A34" s="60"/>
      <c r="B34" s="60"/>
      <c r="C34" s="60"/>
      <c r="D34" s="60"/>
      <c r="E34" s="60"/>
      <c r="F34" s="60"/>
      <c r="G34" s="60"/>
      <c r="H34" s="60"/>
      <c r="I34" s="60"/>
      <c r="J34" s="60"/>
    </row>
    <row r="35" customFormat="false" ht="15" hidden="false" customHeight="true" outlineLevel="0" collapsed="false">
      <c r="A35" s="61" t="s">
        <v>329</v>
      </c>
      <c r="B35" s="60"/>
      <c r="C35" s="60"/>
      <c r="D35" s="60"/>
      <c r="E35" s="60"/>
      <c r="F35" s="60"/>
      <c r="G35" s="60"/>
      <c r="H35" s="60"/>
      <c r="I35" s="60"/>
      <c r="J35" s="60"/>
    </row>
    <row r="36" customFormat="false" ht="15" hidden="false" customHeight="true" outlineLevel="0" collapsed="false">
      <c r="A36" s="60"/>
      <c r="B36" s="60"/>
      <c r="C36" s="60"/>
      <c r="D36" s="60"/>
      <c r="E36" s="60"/>
      <c r="F36" s="60"/>
      <c r="G36" s="60"/>
      <c r="H36" s="60"/>
      <c r="I36" s="60"/>
      <c r="J36" s="60"/>
    </row>
    <row r="37" customFormat="false" ht="15" hidden="false" customHeight="true" outlineLevel="0" collapsed="false">
      <c r="A37" s="61" t="s">
        <v>330</v>
      </c>
      <c r="B37" s="60"/>
      <c r="C37" s="60"/>
      <c r="D37" s="60"/>
      <c r="E37" s="60"/>
      <c r="F37" s="60"/>
      <c r="G37" s="60"/>
      <c r="H37" s="60"/>
      <c r="I37" s="60"/>
      <c r="J37" s="60"/>
    </row>
    <row r="38" customFormat="false" ht="15" hidden="false" customHeight="true" outlineLevel="0" collapsed="false">
      <c r="A38" s="64" t="s">
        <v>331</v>
      </c>
      <c r="B38" s="64" t="s">
        <v>332</v>
      </c>
      <c r="C38" s="64" t="s">
        <v>333</v>
      </c>
      <c r="D38" s="64" t="s">
        <v>334</v>
      </c>
      <c r="E38" s="64" t="s">
        <v>335</v>
      </c>
      <c r="F38" s="64" t="s">
        <v>336</v>
      </c>
      <c r="G38" s="60"/>
      <c r="H38" s="64" t="s">
        <v>337</v>
      </c>
      <c r="I38" s="64" t="s">
        <v>312</v>
      </c>
      <c r="J38" s="64" t="s">
        <v>338</v>
      </c>
    </row>
    <row r="39" customFormat="false" ht="15" hidden="false" customHeight="true" outlineLevel="0" collapsed="false">
      <c r="A39" s="48" t="str">
        <f aca="false">Datos!B$5</f>
        <v>2T25</v>
      </c>
      <c r="B39" s="48" t="n">
        <v>1</v>
      </c>
      <c r="C39" s="66" t="n">
        <f aca="false">B39-(COUNT($B$39:$B$43)+1)/2</f>
        <v>-2</v>
      </c>
      <c r="D39" s="63" t="n">
        <f aca="false">Datos!B6</f>
        <v>45810</v>
      </c>
      <c r="E39" s="63" t="n">
        <f aca="false">C39*D39</f>
        <v>-91620</v>
      </c>
      <c r="F39" s="67" t="n">
        <f aca="false">C39^2</f>
        <v>4</v>
      </c>
      <c r="G39" s="60"/>
      <c r="H39" s="48" t="s">
        <v>305</v>
      </c>
      <c r="I39" s="62" t="n">
        <f aca="false">MAX($C$39:$C$43)+1</f>
        <v>3</v>
      </c>
      <c r="J39" s="68" t="n">
        <f aca="false">$B$48+$B$47*I39</f>
        <v>41995.3</v>
      </c>
    </row>
    <row r="40" customFormat="false" ht="15" hidden="false" customHeight="true" outlineLevel="0" collapsed="false">
      <c r="A40" s="48" t="str">
        <f aca="false">Datos!C$5</f>
        <v>3T25</v>
      </c>
      <c r="B40" s="48" t="n">
        <v>2</v>
      </c>
      <c r="C40" s="66" t="n">
        <f aca="false">B40-(COUNT($B$39:$B$43)+1)/2</f>
        <v>-1</v>
      </c>
      <c r="D40" s="63" t="n">
        <f aca="false">Datos!C6</f>
        <v>42683</v>
      </c>
      <c r="E40" s="63" t="n">
        <f aca="false">C40*D40</f>
        <v>-42683</v>
      </c>
      <c r="F40" s="67" t="n">
        <f aca="false">C40^2</f>
        <v>1</v>
      </c>
      <c r="G40" s="60"/>
      <c r="H40" s="48" t="s">
        <v>306</v>
      </c>
      <c r="I40" s="62" t="n">
        <f aca="false">I39+1</f>
        <v>4</v>
      </c>
      <c r="J40" s="68" t="n">
        <f aca="false">$B$48+$B$47*I40</f>
        <v>41321.2</v>
      </c>
    </row>
    <row r="41" customFormat="false" ht="15" hidden="false" customHeight="true" outlineLevel="0" collapsed="false">
      <c r="A41" s="48" t="str">
        <f aca="false">Datos!D$5</f>
        <v>4T25</v>
      </c>
      <c r="B41" s="48" t="n">
        <v>3</v>
      </c>
      <c r="C41" s="66" t="n">
        <f aca="false">B41-(COUNT($B$39:$B$43)+1)/2</f>
        <v>0</v>
      </c>
      <c r="D41" s="63" t="n">
        <f aca="false">Datos!D6</f>
        <v>47592</v>
      </c>
      <c r="E41" s="63" t="n">
        <f aca="false">C41*D41</f>
        <v>0</v>
      </c>
      <c r="F41" s="67" t="n">
        <f aca="false">C41^2</f>
        <v>0</v>
      </c>
      <c r="G41" s="60"/>
      <c r="H41" s="48" t="s">
        <v>307</v>
      </c>
      <c r="I41" s="62" t="n">
        <f aca="false">I40+1</f>
        <v>5</v>
      </c>
      <c r="J41" s="68" t="n">
        <f aca="false">$B$48+$B$47*I41</f>
        <v>40647.1</v>
      </c>
    </row>
    <row r="42" customFormat="false" ht="15" hidden="false" customHeight="true" outlineLevel="0" collapsed="false">
      <c r="A42" s="48" t="str">
        <f aca="false">Datos!E$5</f>
        <v>1T26</v>
      </c>
      <c r="B42" s="48" t="n">
        <v>4</v>
      </c>
      <c r="C42" s="66" t="n">
        <f aca="false">B42-(COUNT($B$39:$B$43)+1)/2</f>
        <v>1</v>
      </c>
      <c r="D42" s="63" t="n">
        <f aca="false">Datos!E6</f>
        <v>40444</v>
      </c>
      <c r="E42" s="63" t="n">
        <f aca="false">C42*D42</f>
        <v>40444</v>
      </c>
      <c r="F42" s="67" t="n">
        <f aca="false">C42^2</f>
        <v>1</v>
      </c>
      <c r="G42" s="60"/>
      <c r="H42" s="48" t="s">
        <v>308</v>
      </c>
      <c r="I42" s="62" t="n">
        <f aca="false">I41+1</f>
        <v>6</v>
      </c>
      <c r="J42" s="68" t="n">
        <f aca="false">$B$48+$B$47*I42</f>
        <v>39973</v>
      </c>
    </row>
    <row r="43" customFormat="false" ht="15" hidden="false" customHeight="true" outlineLevel="0" collapsed="false">
      <c r="A43" s="48" t="str">
        <f aca="false">Datos!F$5</f>
        <v>2T26</v>
      </c>
      <c r="B43" s="48" t="n">
        <v>5</v>
      </c>
      <c r="C43" s="66" t="n">
        <f aca="false">B43-(COUNT($B$39:$B$43)+1)/2</f>
        <v>2</v>
      </c>
      <c r="D43" s="63" t="n">
        <f aca="false">Datos!F6</f>
        <v>43559</v>
      </c>
      <c r="E43" s="63" t="n">
        <f aca="false">C43*D43</f>
        <v>87118</v>
      </c>
      <c r="F43" s="67" t="n">
        <f aca="false">C43^2</f>
        <v>4</v>
      </c>
      <c r="G43" s="60"/>
      <c r="H43" s="60"/>
      <c r="I43" s="60"/>
      <c r="J43" s="60"/>
    </row>
    <row r="44" customFormat="false" ht="15" hidden="false" customHeight="true" outlineLevel="0" collapsed="false">
      <c r="A44" s="69" t="s">
        <v>339</v>
      </c>
      <c r="B44" s="69"/>
      <c r="C44" s="70" t="n">
        <f aca="false">SUM(C39:C43)</f>
        <v>0</v>
      </c>
      <c r="D44" s="68" t="n">
        <f aca="false">SUM(D39:D43)</f>
        <v>220088</v>
      </c>
      <c r="E44" s="68" t="n">
        <f aca="false">SUM(E39:E43)</f>
        <v>-6741</v>
      </c>
      <c r="F44" s="71" t="n">
        <f aca="false">SUM(F39:F43)</f>
        <v>10</v>
      </c>
      <c r="G44" s="60"/>
      <c r="H44" s="60" t="str">
        <f aca="false">"Ecuación: Y = "&amp;TEXT(B48,"#,##0.0000")&amp;" + ("&amp;TEXT(B47,"#,##0.0000")&amp;")·X"</f>
        <v>Ecuación: Y = 44,017.6000 + (-674.1000)·X</v>
      </c>
      <c r="I44" s="60"/>
      <c r="J44" s="60"/>
    </row>
    <row r="45" customFormat="false" ht="15" hidden="false" customHeight="true" outlineLevel="0" collapsed="false">
      <c r="A45" s="48" t="s">
        <v>340</v>
      </c>
      <c r="B45" s="48" t="n">
        <f aca="false">COUNT(B39:B43)</f>
        <v>5</v>
      </c>
      <c r="C45" s="60"/>
      <c r="D45" s="60"/>
      <c r="E45" s="60"/>
      <c r="F45" s="60"/>
      <c r="G45" s="60"/>
      <c r="H45" s="60"/>
      <c r="I45" s="60"/>
      <c r="J45" s="60"/>
    </row>
    <row r="46" customFormat="false" ht="15" hidden="false" customHeight="true" outlineLevel="0" collapsed="false">
      <c r="A46" s="48" t="s">
        <v>341</v>
      </c>
      <c r="B46" s="66" t="n">
        <f aca="false">C44/B45</f>
        <v>0</v>
      </c>
      <c r="C46" s="60"/>
      <c r="D46" s="60"/>
      <c r="E46" s="60"/>
      <c r="F46" s="60"/>
      <c r="G46" s="60"/>
      <c r="H46" s="60"/>
      <c r="I46" s="60"/>
      <c r="J46" s="60"/>
    </row>
    <row r="47" customFormat="false" ht="15" hidden="false" customHeight="true" outlineLevel="0" collapsed="false">
      <c r="A47" s="48" t="s">
        <v>342</v>
      </c>
      <c r="B47" s="63" t="n">
        <f aca="false">E44/F44</f>
        <v>-674.1</v>
      </c>
      <c r="C47" s="60"/>
      <c r="D47" s="60"/>
      <c r="E47" s="60"/>
      <c r="F47" s="60"/>
      <c r="G47" s="60"/>
      <c r="H47" s="60"/>
      <c r="I47" s="60"/>
      <c r="J47" s="60"/>
    </row>
    <row r="48" customFormat="false" ht="15" hidden="false" customHeight="true" outlineLevel="0" collapsed="false">
      <c r="A48" s="48" t="s">
        <v>343</v>
      </c>
      <c r="B48" s="63" t="n">
        <f aca="false">D44/B45</f>
        <v>44017.6</v>
      </c>
      <c r="C48" s="60"/>
      <c r="D48" s="60"/>
      <c r="E48" s="60"/>
      <c r="F48" s="60"/>
      <c r="G48" s="60"/>
      <c r="H48" s="60"/>
      <c r="I48" s="60"/>
      <c r="J48" s="60"/>
    </row>
    <row r="49" customFormat="false" ht="15" hidden="false" customHeight="true" outlineLevel="0" collapsed="false">
      <c r="A49" s="48" t="s">
        <v>344</v>
      </c>
      <c r="B49" s="72" t="n">
        <f aca="false">RSQ(D39:D43,C39:C43)</f>
        <v>0.147770485194537</v>
      </c>
      <c r="C49" s="60"/>
      <c r="D49" s="60"/>
      <c r="E49" s="60"/>
      <c r="F49" s="60"/>
      <c r="G49" s="60"/>
      <c r="H49" s="60"/>
      <c r="I49" s="60"/>
      <c r="J49" s="60"/>
    </row>
    <row r="50" customFormat="false" ht="15" hidden="false" customHeight="true" outlineLevel="0" collapsed="false">
      <c r="A50" s="60"/>
      <c r="B50" s="60"/>
      <c r="C50" s="60"/>
      <c r="D50" s="60"/>
      <c r="E50" s="60"/>
      <c r="F50" s="60"/>
      <c r="G50" s="60"/>
      <c r="H50" s="60"/>
      <c r="I50" s="60"/>
      <c r="J50" s="60"/>
    </row>
    <row r="51" customFormat="false" ht="15" hidden="false" customHeight="true" outlineLevel="0" collapsed="false">
      <c r="A51" s="60"/>
      <c r="B51" s="60"/>
      <c r="C51" s="60"/>
      <c r="D51" s="60"/>
      <c r="E51" s="60"/>
      <c r="F51" s="60"/>
      <c r="G51" s="60"/>
      <c r="H51" s="60"/>
      <c r="I51" s="60"/>
      <c r="J51" s="60"/>
    </row>
    <row r="52" customFormat="false" ht="15" hidden="false" customHeight="true" outlineLevel="0" collapsed="false">
      <c r="A52" s="60"/>
      <c r="B52" s="60"/>
      <c r="C52" s="60"/>
      <c r="D52" s="60"/>
      <c r="E52" s="60"/>
      <c r="F52" s="60"/>
      <c r="G52" s="60"/>
      <c r="H52" s="60"/>
      <c r="I52" s="60"/>
      <c r="J52" s="60"/>
    </row>
    <row r="53" customFormat="false" ht="15" hidden="false" customHeight="true" outlineLevel="0" collapsed="false">
      <c r="A53" s="60"/>
      <c r="B53" s="60"/>
      <c r="C53" s="60"/>
      <c r="D53" s="60"/>
      <c r="E53" s="60"/>
      <c r="F53" s="60"/>
      <c r="G53" s="60"/>
      <c r="H53" s="60"/>
      <c r="I53" s="60"/>
      <c r="J53" s="60"/>
    </row>
    <row r="54" customFormat="false" ht="15" hidden="false" customHeight="true" outlineLevel="0" collapsed="false">
      <c r="A54" s="61" t="s">
        <v>345</v>
      </c>
      <c r="B54" s="60"/>
      <c r="C54" s="60"/>
      <c r="D54" s="60"/>
      <c r="E54" s="60"/>
      <c r="F54" s="60"/>
      <c r="G54" s="60"/>
      <c r="H54" s="60"/>
      <c r="I54" s="60"/>
      <c r="J54" s="60"/>
    </row>
    <row r="55" customFormat="false" ht="15" hidden="false" customHeight="true" outlineLevel="0" collapsed="false">
      <c r="A55" s="64" t="s">
        <v>331</v>
      </c>
      <c r="B55" s="64" t="s">
        <v>332</v>
      </c>
      <c r="C55" s="64" t="s">
        <v>333</v>
      </c>
      <c r="D55" s="64" t="s">
        <v>334</v>
      </c>
      <c r="E55" s="64" t="s">
        <v>335</v>
      </c>
      <c r="F55" s="64" t="s">
        <v>336</v>
      </c>
      <c r="G55" s="60"/>
      <c r="H55" s="64" t="s">
        <v>337</v>
      </c>
      <c r="I55" s="64" t="s">
        <v>312</v>
      </c>
      <c r="J55" s="64" t="s">
        <v>338</v>
      </c>
    </row>
    <row r="56" customFormat="false" ht="15" hidden="false" customHeight="true" outlineLevel="0" collapsed="false">
      <c r="A56" s="48" t="str">
        <f aca="false">Datos!B$5</f>
        <v>2T25</v>
      </c>
      <c r="B56" s="48" t="n">
        <v>1</v>
      </c>
      <c r="C56" s="66" t="n">
        <f aca="false">B56-(COUNT($B$56:$B$60)+1)/2</f>
        <v>-2</v>
      </c>
      <c r="D56" s="63" t="n">
        <f aca="false">Datos!B6-Datos!B9</f>
        <v>43901</v>
      </c>
      <c r="E56" s="63" t="n">
        <f aca="false">C56*D56</f>
        <v>-87802</v>
      </c>
      <c r="F56" s="67" t="n">
        <f aca="false">C56^2</f>
        <v>4</v>
      </c>
      <c r="G56" s="60"/>
      <c r="H56" s="48" t="s">
        <v>305</v>
      </c>
      <c r="I56" s="62" t="n">
        <f aca="false">MAX($C$56:$C$60)+1</f>
        <v>3</v>
      </c>
      <c r="J56" s="68" t="n">
        <f aca="false">$B$65+$B$64*I56</f>
        <v>40013.5</v>
      </c>
    </row>
    <row r="57" customFormat="false" ht="15" hidden="false" customHeight="true" outlineLevel="0" collapsed="false">
      <c r="A57" s="48" t="str">
        <f aca="false">Datos!C$5</f>
        <v>3T25</v>
      </c>
      <c r="B57" s="48" t="n">
        <v>2</v>
      </c>
      <c r="C57" s="66" t="n">
        <f aca="false">B57-(COUNT($B$56:$B$60)+1)/2</f>
        <v>-1</v>
      </c>
      <c r="D57" s="63" t="n">
        <f aca="false">Datos!C6-Datos!C9</f>
        <v>41215</v>
      </c>
      <c r="E57" s="63" t="n">
        <f aca="false">C57*D57</f>
        <v>-41215</v>
      </c>
      <c r="F57" s="67" t="n">
        <f aca="false">C57^2</f>
        <v>1</v>
      </c>
      <c r="G57" s="60"/>
      <c r="H57" s="48" t="s">
        <v>306</v>
      </c>
      <c r="I57" s="62" t="n">
        <f aca="false">I56+1</f>
        <v>4</v>
      </c>
      <c r="J57" s="68" t="n">
        <f aca="false">$B$65+$B$64*I57</f>
        <v>39314.8</v>
      </c>
    </row>
    <row r="58" customFormat="false" ht="15" hidden="false" customHeight="true" outlineLevel="0" collapsed="false">
      <c r="A58" s="48" t="str">
        <f aca="false">Datos!D$5</f>
        <v>4T25</v>
      </c>
      <c r="B58" s="48" t="n">
        <v>3</v>
      </c>
      <c r="C58" s="66" t="n">
        <f aca="false">B58-(COUNT($B$56:$B$60)+1)/2</f>
        <v>0</v>
      </c>
      <c r="D58" s="63" t="n">
        <f aca="false">Datos!D6-Datos!D9</f>
        <v>45106</v>
      </c>
      <c r="E58" s="63" t="n">
        <f aca="false">C58*D58</f>
        <v>0</v>
      </c>
      <c r="F58" s="67" t="n">
        <f aca="false">C58^2</f>
        <v>0</v>
      </c>
      <c r="G58" s="60"/>
      <c r="H58" s="48" t="s">
        <v>307</v>
      </c>
      <c r="I58" s="62" t="n">
        <f aca="false">I57+1</f>
        <v>5</v>
      </c>
      <c r="J58" s="68" t="n">
        <f aca="false">$B$65+$B$64*I58</f>
        <v>38616.1</v>
      </c>
    </row>
    <row r="59" customFormat="false" ht="15" hidden="false" customHeight="true" outlineLevel="0" collapsed="false">
      <c r="A59" s="48" t="str">
        <f aca="false">Datos!E$5</f>
        <v>1T26</v>
      </c>
      <c r="B59" s="48" t="n">
        <v>4</v>
      </c>
      <c r="C59" s="66" t="n">
        <f aca="false">B59-(COUNT($B$56:$B$60)+1)/2</f>
        <v>1</v>
      </c>
      <c r="D59" s="63" t="n">
        <f aca="false">Datos!E6-Datos!E9</f>
        <v>38622</v>
      </c>
      <c r="E59" s="63" t="n">
        <f aca="false">C59*D59</f>
        <v>38622</v>
      </c>
      <c r="F59" s="67" t="n">
        <f aca="false">C59^2</f>
        <v>1</v>
      </c>
      <c r="G59" s="60"/>
      <c r="H59" s="48" t="s">
        <v>308</v>
      </c>
      <c r="I59" s="62" t="n">
        <f aca="false">I58+1</f>
        <v>6</v>
      </c>
      <c r="J59" s="68" t="n">
        <f aca="false">$B$65+$B$64*I59</f>
        <v>37917.4</v>
      </c>
    </row>
    <row r="60" customFormat="false" ht="15" hidden="false" customHeight="true" outlineLevel="0" collapsed="false">
      <c r="A60" s="48" t="str">
        <f aca="false">Datos!F$5</f>
        <v>2T26</v>
      </c>
      <c r="B60" s="48" t="n">
        <v>5</v>
      </c>
      <c r="C60" s="66" t="n">
        <f aca="false">B60-(COUNT($B$56:$B$60)+1)/2</f>
        <v>2</v>
      </c>
      <c r="D60" s="63" t="n">
        <f aca="false">Datos!F6-Datos!F9</f>
        <v>41704</v>
      </c>
      <c r="E60" s="63" t="n">
        <f aca="false">C60*D60</f>
        <v>83408</v>
      </c>
      <c r="F60" s="67" t="n">
        <f aca="false">C60^2</f>
        <v>4</v>
      </c>
      <c r="G60" s="60"/>
      <c r="H60" s="60"/>
      <c r="I60" s="60"/>
      <c r="J60" s="60"/>
    </row>
    <row r="61" customFormat="false" ht="15" hidden="false" customHeight="true" outlineLevel="0" collapsed="false">
      <c r="A61" s="69" t="s">
        <v>339</v>
      </c>
      <c r="B61" s="69"/>
      <c r="C61" s="70" t="n">
        <f aca="false">SUM(C56:C60)</f>
        <v>0</v>
      </c>
      <c r="D61" s="68" t="n">
        <f aca="false">SUM(D56:D60)</f>
        <v>210548</v>
      </c>
      <c r="E61" s="68" t="n">
        <f aca="false">SUM(E56:E60)</f>
        <v>-6987</v>
      </c>
      <c r="F61" s="71" t="n">
        <f aca="false">SUM(F56:F60)</f>
        <v>10</v>
      </c>
      <c r="G61" s="60"/>
      <c r="H61" s="60" t="str">
        <f aca="false">"Ecuación: Y = "&amp;TEXT(B65,"#,##0.0000")&amp;" + ("&amp;TEXT(B64,"#,##0.0000")&amp;")·X"</f>
        <v>Ecuación: Y = 42,109.6000 + (-698.7000)·X</v>
      </c>
      <c r="I61" s="60"/>
      <c r="J61" s="60"/>
    </row>
    <row r="62" customFormat="false" ht="15" hidden="false" customHeight="true" outlineLevel="0" collapsed="false">
      <c r="A62" s="48" t="s">
        <v>340</v>
      </c>
      <c r="B62" s="48" t="n">
        <f aca="false">COUNT(B56:B60)</f>
        <v>5</v>
      </c>
      <c r="C62" s="60"/>
      <c r="D62" s="60"/>
      <c r="E62" s="60"/>
      <c r="F62" s="60"/>
      <c r="G62" s="60"/>
      <c r="H62" s="60"/>
      <c r="I62" s="60"/>
      <c r="J62" s="60"/>
    </row>
    <row r="63" customFormat="false" ht="15" hidden="false" customHeight="true" outlineLevel="0" collapsed="false">
      <c r="A63" s="48" t="s">
        <v>341</v>
      </c>
      <c r="B63" s="66" t="n">
        <f aca="false">C61/B62</f>
        <v>0</v>
      </c>
      <c r="C63" s="60"/>
      <c r="D63" s="60"/>
      <c r="E63" s="60"/>
      <c r="F63" s="60"/>
      <c r="G63" s="60"/>
      <c r="H63" s="60"/>
      <c r="I63" s="60"/>
      <c r="J63" s="60"/>
    </row>
    <row r="64" customFormat="false" ht="15" hidden="false" customHeight="true" outlineLevel="0" collapsed="false">
      <c r="A64" s="48" t="s">
        <v>342</v>
      </c>
      <c r="B64" s="63" t="n">
        <f aca="false">E61/F61</f>
        <v>-698.7</v>
      </c>
      <c r="C64" s="60"/>
      <c r="D64" s="60"/>
      <c r="E64" s="60"/>
      <c r="F64" s="60"/>
      <c r="G64" s="60"/>
      <c r="H64" s="60"/>
      <c r="I64" s="60"/>
      <c r="J64" s="60"/>
    </row>
    <row r="65" customFormat="false" ht="15" hidden="false" customHeight="true" outlineLevel="0" collapsed="false">
      <c r="A65" s="48" t="s">
        <v>343</v>
      </c>
      <c r="B65" s="63" t="n">
        <f aca="false">D61/B62</f>
        <v>42109.6</v>
      </c>
      <c r="C65" s="60"/>
      <c r="D65" s="60"/>
      <c r="E65" s="60"/>
      <c r="F65" s="60"/>
      <c r="G65" s="60"/>
      <c r="H65" s="60"/>
      <c r="I65" s="60"/>
      <c r="J65" s="60"/>
    </row>
    <row r="66" customFormat="false" ht="15" hidden="false" customHeight="true" outlineLevel="0" collapsed="false">
      <c r="A66" s="48" t="s">
        <v>344</v>
      </c>
      <c r="B66" s="72" t="n">
        <f aca="false">RSQ(D56:D60,C56:C60)</f>
        <v>0.192837514609313</v>
      </c>
      <c r="C66" s="60"/>
      <c r="D66" s="60"/>
      <c r="E66" s="60"/>
      <c r="F66" s="60"/>
      <c r="G66" s="60"/>
      <c r="H66" s="60"/>
      <c r="I66" s="60"/>
      <c r="J66" s="60"/>
    </row>
    <row r="67" customFormat="false" ht="15" hidden="false" customHeight="true" outlineLevel="0" collapsed="false">
      <c r="A67" s="60"/>
      <c r="B67" s="60"/>
      <c r="C67" s="60"/>
      <c r="D67" s="60"/>
      <c r="E67" s="60"/>
      <c r="F67" s="60"/>
      <c r="G67" s="60"/>
      <c r="H67" s="60"/>
      <c r="I67" s="60"/>
      <c r="J67" s="60"/>
    </row>
    <row r="68" customFormat="false" ht="15" hidden="false" customHeight="true" outlineLevel="0" collapsed="false">
      <c r="A68" s="60"/>
      <c r="B68" s="60"/>
      <c r="C68" s="60"/>
      <c r="D68" s="60"/>
      <c r="E68" s="60"/>
      <c r="F68" s="60"/>
      <c r="G68" s="60"/>
      <c r="H68" s="60"/>
      <c r="I68" s="60"/>
      <c r="J68" s="60"/>
    </row>
    <row r="69" customFormat="false" ht="15" hidden="false" customHeight="true" outlineLevel="0" collapsed="false">
      <c r="A69" s="60"/>
      <c r="B69" s="60"/>
      <c r="C69" s="60"/>
      <c r="D69" s="60"/>
      <c r="E69" s="60"/>
      <c r="F69" s="60"/>
      <c r="G69" s="60"/>
      <c r="H69" s="60"/>
      <c r="I69" s="60"/>
      <c r="J69" s="60"/>
    </row>
    <row r="70" customFormat="false" ht="15" hidden="false" customHeight="true" outlineLevel="0" collapsed="false">
      <c r="A70" s="60"/>
      <c r="B70" s="60"/>
      <c r="C70" s="60"/>
      <c r="D70" s="60"/>
      <c r="E70" s="60"/>
      <c r="F70" s="60"/>
      <c r="G70" s="60"/>
      <c r="H70" s="60"/>
      <c r="I70" s="60"/>
      <c r="J70" s="60"/>
    </row>
    <row r="71" customFormat="false" ht="15" hidden="false" customHeight="true" outlineLevel="0" collapsed="false">
      <c r="A71" s="61" t="s">
        <v>346</v>
      </c>
      <c r="B71" s="60"/>
      <c r="C71" s="60"/>
      <c r="D71" s="60"/>
      <c r="E71" s="60"/>
      <c r="F71" s="60"/>
      <c r="G71" s="60"/>
      <c r="H71" s="60"/>
      <c r="I71" s="60"/>
      <c r="J71" s="60"/>
    </row>
    <row r="72" customFormat="false" ht="15" hidden="false" customHeight="true" outlineLevel="0" collapsed="false">
      <c r="A72" s="64" t="s">
        <v>331</v>
      </c>
      <c r="B72" s="64" t="s">
        <v>332</v>
      </c>
      <c r="C72" s="64" t="s">
        <v>333</v>
      </c>
      <c r="D72" s="64" t="s">
        <v>347</v>
      </c>
      <c r="E72" s="64" t="s">
        <v>335</v>
      </c>
      <c r="F72" s="64" t="s">
        <v>336</v>
      </c>
      <c r="G72" s="60"/>
      <c r="H72" s="64" t="s">
        <v>337</v>
      </c>
      <c r="I72" s="64" t="s">
        <v>312</v>
      </c>
      <c r="J72" s="64" t="s">
        <v>338</v>
      </c>
    </row>
    <row r="73" customFormat="false" ht="15" hidden="false" customHeight="true" outlineLevel="0" collapsed="false">
      <c r="A73" s="48" t="str">
        <f aca="false">Datos!B$5</f>
        <v>2T25</v>
      </c>
      <c r="B73" s="48" t="n">
        <v>1</v>
      </c>
      <c r="C73" s="66" t="n">
        <f aca="false">B73-(COUNT($B$73:$B$77)+1)/2</f>
        <v>-2</v>
      </c>
      <c r="D73" s="73" t="n">
        <f aca="false">Datos!B12/Datos!B11</f>
        <v>0.383208645054032</v>
      </c>
      <c r="E73" s="74" t="n">
        <f aca="false">C73*D73</f>
        <v>-0.766417290108063</v>
      </c>
      <c r="F73" s="67" t="n">
        <f aca="false">C73^2</f>
        <v>4</v>
      </c>
      <c r="G73" s="60"/>
      <c r="H73" s="48" t="s">
        <v>305</v>
      </c>
      <c r="I73" s="62" t="n">
        <f aca="false">MAX($C$73:$C$77)+1</f>
        <v>3</v>
      </c>
      <c r="J73" s="75" t="n">
        <f aca="false">$B$82+$B$81*I73</f>
        <v>0.224855634155331</v>
      </c>
    </row>
    <row r="74" customFormat="false" ht="15" hidden="false" customHeight="true" outlineLevel="0" collapsed="false">
      <c r="A74" s="48" t="str">
        <f aca="false">Datos!C$5</f>
        <v>3T25</v>
      </c>
      <c r="B74" s="48" t="n">
        <v>2</v>
      </c>
      <c r="C74" s="66" t="n">
        <f aca="false">B74-(COUNT($B$73:$B$77)+1)/2</f>
        <v>-1</v>
      </c>
      <c r="D74" s="73" t="n">
        <f aca="false">Datos!C12/Datos!C11</f>
        <v>0.234293193717278</v>
      </c>
      <c r="E74" s="74" t="n">
        <f aca="false">C74*D74</f>
        <v>-0.234293193717278</v>
      </c>
      <c r="F74" s="67" t="n">
        <f aca="false">C74^2</f>
        <v>1</v>
      </c>
      <c r="G74" s="60"/>
      <c r="H74" s="48" t="s">
        <v>306</v>
      </c>
      <c r="I74" s="62" t="n">
        <f aca="false">I73+1</f>
        <v>4</v>
      </c>
      <c r="J74" s="75" t="n">
        <f aca="false">$B$82+$B$81*I74</f>
        <v>0.202996529891104</v>
      </c>
    </row>
    <row r="75" customFormat="false" ht="15" hidden="false" customHeight="true" outlineLevel="0" collapsed="false">
      <c r="A75" s="48" t="str">
        <f aca="false">Datos!D$5</f>
        <v>4T25</v>
      </c>
      <c r="B75" s="48" t="n">
        <v>3</v>
      </c>
      <c r="C75" s="66" t="n">
        <f aca="false">B75-(COUNT($B$73:$B$77)+1)/2</f>
        <v>0</v>
      </c>
      <c r="D75" s="73" t="n">
        <f aca="false">Datos!D12/Datos!D11</f>
        <v>0.258082813386273</v>
      </c>
      <c r="E75" s="74" t="n">
        <f aca="false">C75*D75</f>
        <v>0</v>
      </c>
      <c r="F75" s="67" t="n">
        <f aca="false">C75^2</f>
        <v>0</v>
      </c>
      <c r="G75" s="60"/>
      <c r="H75" s="48" t="s">
        <v>307</v>
      </c>
      <c r="I75" s="62" t="n">
        <f aca="false">I74+1</f>
        <v>5</v>
      </c>
      <c r="J75" s="75" t="n">
        <f aca="false">$B$82+$B$81*I75</f>
        <v>0.181137425626876</v>
      </c>
    </row>
    <row r="76" customFormat="false" ht="15" hidden="false" customHeight="true" outlineLevel="0" collapsed="false">
      <c r="A76" s="48" t="str">
        <f aca="false">Datos!E$5</f>
        <v>1T26</v>
      </c>
      <c r="B76" s="48" t="n">
        <v>4</v>
      </c>
      <c r="C76" s="66" t="n">
        <f aca="false">B76-(COUNT($B$73:$B$77)+1)/2</f>
        <v>1</v>
      </c>
      <c r="D76" s="73" t="n">
        <f aca="false">Datos!E12/Datos!E11</f>
        <v>0.3710407239819</v>
      </c>
      <c r="E76" s="74" t="n">
        <f aca="false">C76*D76</f>
        <v>0.3710407239819</v>
      </c>
      <c r="F76" s="67" t="n">
        <f aca="false">C76^2</f>
        <v>1</v>
      </c>
      <c r="G76" s="60"/>
      <c r="H76" s="48" t="s">
        <v>308</v>
      </c>
      <c r="I76" s="62" t="n">
        <f aca="false">I75+1</f>
        <v>6</v>
      </c>
      <c r="J76" s="75" t="n">
        <f aca="false">$B$82+$B$81*I76</f>
        <v>0.159278321362649</v>
      </c>
    </row>
    <row r="77" customFormat="false" ht="15" hidden="false" customHeight="true" outlineLevel="0" collapsed="false">
      <c r="A77" s="48" t="str">
        <f aca="false">Datos!F$5</f>
        <v>2T26</v>
      </c>
      <c r="B77" s="48" t="n">
        <v>5</v>
      </c>
      <c r="C77" s="66" t="n">
        <f aca="false">B77-(COUNT($B$73:$B$77)+1)/2</f>
        <v>2</v>
      </c>
      <c r="D77" s="73" t="n">
        <f aca="false">Datos!F12/Datos!F11</f>
        <v>0.205539358600583</v>
      </c>
      <c r="E77" s="74" t="n">
        <f aca="false">C77*D77</f>
        <v>0.411078717201166</v>
      </c>
      <c r="F77" s="67" t="n">
        <f aca="false">C77^2</f>
        <v>4</v>
      </c>
      <c r="G77" s="60"/>
      <c r="H77" s="60"/>
      <c r="I77" s="60"/>
      <c r="J77" s="60"/>
    </row>
    <row r="78" customFormat="false" ht="15" hidden="false" customHeight="true" outlineLevel="0" collapsed="false">
      <c r="A78" s="69" t="s">
        <v>339</v>
      </c>
      <c r="B78" s="69"/>
      <c r="C78" s="70" t="n">
        <f aca="false">SUM(C73:C77)</f>
        <v>0</v>
      </c>
      <c r="D78" s="75" t="n">
        <f aca="false">SUM(D73:D77)</f>
        <v>1.45216473474007</v>
      </c>
      <c r="E78" s="76" t="n">
        <f aca="false">SUM(E73:E77)</f>
        <v>-0.218591042642274</v>
      </c>
      <c r="F78" s="71" t="n">
        <f aca="false">SUM(F73:F77)</f>
        <v>10</v>
      </c>
      <c r="G78" s="60"/>
      <c r="H78" s="60" t="str">
        <f aca="false">"Ecuación: Y = "&amp;TEXT(B82,"#,##0.0000")&amp;" + ("&amp;TEXT(B81,"#,##0.0000")&amp;")·X"</f>
        <v>Ecuación: Y = 0.2904 + (-0.0219)·X</v>
      </c>
      <c r="I78" s="60"/>
      <c r="J78" s="60"/>
    </row>
    <row r="79" customFormat="false" ht="15" hidden="false" customHeight="true" outlineLevel="0" collapsed="false">
      <c r="A79" s="48" t="s">
        <v>340</v>
      </c>
      <c r="B79" s="48" t="n">
        <f aca="false">COUNT(B73:B77)</f>
        <v>5</v>
      </c>
      <c r="C79" s="60"/>
      <c r="D79" s="60"/>
      <c r="E79" s="60"/>
      <c r="F79" s="60"/>
      <c r="G79" s="60"/>
      <c r="H79" s="60"/>
      <c r="I79" s="60"/>
      <c r="J79" s="60"/>
    </row>
    <row r="80" customFormat="false" ht="15" hidden="false" customHeight="true" outlineLevel="0" collapsed="false">
      <c r="A80" s="48" t="s">
        <v>341</v>
      </c>
      <c r="B80" s="66" t="n">
        <f aca="false">C78/B79</f>
        <v>0</v>
      </c>
      <c r="C80" s="60"/>
      <c r="D80" s="60"/>
      <c r="E80" s="60"/>
      <c r="F80" s="60"/>
      <c r="G80" s="60"/>
      <c r="H80" s="60"/>
      <c r="I80" s="60"/>
      <c r="J80" s="60"/>
    </row>
    <row r="81" customFormat="false" ht="15" hidden="false" customHeight="true" outlineLevel="0" collapsed="false">
      <c r="A81" s="48" t="s">
        <v>342</v>
      </c>
      <c r="B81" s="74" t="n">
        <f aca="false">E78/F78</f>
        <v>-0.0218591042642274</v>
      </c>
      <c r="C81" s="60"/>
      <c r="D81" s="60"/>
      <c r="E81" s="60"/>
      <c r="F81" s="60"/>
      <c r="G81" s="60"/>
      <c r="H81" s="60"/>
      <c r="I81" s="60"/>
      <c r="J81" s="60"/>
    </row>
    <row r="82" customFormat="false" ht="15" hidden="false" customHeight="true" outlineLevel="0" collapsed="false">
      <c r="A82" s="48" t="s">
        <v>343</v>
      </c>
      <c r="B82" s="74" t="n">
        <f aca="false">D78/B79</f>
        <v>0.290432946948013</v>
      </c>
      <c r="C82" s="60"/>
      <c r="D82" s="60"/>
      <c r="E82" s="60"/>
      <c r="F82" s="60"/>
      <c r="G82" s="60"/>
      <c r="H82" s="60"/>
      <c r="I82" s="60"/>
      <c r="J82" s="60"/>
    </row>
    <row r="83" customFormat="false" ht="15" hidden="false" customHeight="true" outlineLevel="0" collapsed="false">
      <c r="A83" s="48" t="s">
        <v>344</v>
      </c>
      <c r="B83" s="72" t="n">
        <f aca="false">RSQ(D73:D77,C73:C77)</f>
        <v>0.1802411199598</v>
      </c>
      <c r="C83" s="60"/>
      <c r="D83" s="60"/>
      <c r="E83" s="60"/>
      <c r="F83" s="60"/>
      <c r="G83" s="60"/>
      <c r="H83" s="60"/>
      <c r="I83" s="60"/>
      <c r="J83" s="60"/>
    </row>
    <row r="84" customFormat="false" ht="15" hidden="false" customHeight="true" outlineLevel="0" collapsed="false">
      <c r="A84" s="60"/>
      <c r="B84" s="60"/>
      <c r="C84" s="60"/>
      <c r="D84" s="60"/>
      <c r="E84" s="60"/>
      <c r="F84" s="60"/>
      <c r="G84" s="60"/>
      <c r="H84" s="60"/>
      <c r="I84" s="60"/>
      <c r="J84" s="60"/>
    </row>
    <row r="85" customFormat="false" ht="15" hidden="false" customHeight="true" outlineLevel="0" collapsed="false">
      <c r="A85" s="60"/>
      <c r="B85" s="60"/>
      <c r="C85" s="60"/>
      <c r="D85" s="60"/>
      <c r="E85" s="60"/>
      <c r="F85" s="60"/>
      <c r="G85" s="60"/>
      <c r="H85" s="60"/>
      <c r="I85" s="60"/>
      <c r="J85" s="60"/>
    </row>
    <row r="86" customFormat="false" ht="15" hidden="false" customHeight="true" outlineLevel="0" collapsed="false">
      <c r="A86" s="60"/>
      <c r="B86" s="60"/>
      <c r="C86" s="60"/>
      <c r="D86" s="60"/>
      <c r="E86" s="60"/>
      <c r="F86" s="60"/>
      <c r="G86" s="60"/>
      <c r="H86" s="60"/>
      <c r="I86" s="60"/>
      <c r="J86" s="60"/>
    </row>
    <row r="87" customFormat="false" ht="15" hidden="false" customHeight="true" outlineLevel="0" collapsed="false">
      <c r="A87" s="60"/>
      <c r="B87" s="60"/>
      <c r="C87" s="60"/>
      <c r="D87" s="60"/>
      <c r="E87" s="60"/>
      <c r="F87" s="60"/>
      <c r="G87" s="60"/>
      <c r="H87" s="60"/>
      <c r="I87" s="60"/>
      <c r="J87" s="60"/>
    </row>
    <row r="88" customFormat="false" ht="15" hidden="false" customHeight="true" outlineLevel="0" collapsed="false">
      <c r="A88" s="61" t="s">
        <v>348</v>
      </c>
      <c r="B88" s="60"/>
      <c r="C88" s="60"/>
      <c r="D88" s="60"/>
      <c r="E88" s="60"/>
      <c r="F88" s="60"/>
      <c r="G88" s="60"/>
      <c r="H88" s="60"/>
      <c r="I88" s="60"/>
      <c r="J88" s="60"/>
    </row>
    <row r="89" customFormat="false" ht="15" hidden="false" customHeight="true" outlineLevel="0" collapsed="false">
      <c r="A89" s="64" t="s">
        <v>331</v>
      </c>
      <c r="B89" s="64" t="s">
        <v>332</v>
      </c>
      <c r="C89" s="64" t="s">
        <v>333</v>
      </c>
      <c r="D89" s="64" t="s">
        <v>334</v>
      </c>
      <c r="E89" s="64" t="s">
        <v>335</v>
      </c>
      <c r="F89" s="64" t="s">
        <v>336</v>
      </c>
      <c r="G89" s="60"/>
      <c r="H89" s="64" t="s">
        <v>337</v>
      </c>
      <c r="I89" s="64" t="s">
        <v>312</v>
      </c>
      <c r="J89" s="64" t="s">
        <v>338</v>
      </c>
    </row>
    <row r="90" customFormat="false" ht="15" hidden="false" customHeight="true" outlineLevel="0" collapsed="false">
      <c r="A90" s="48" t="str">
        <f aca="false">Datos!B$5</f>
        <v>2T25</v>
      </c>
      <c r="B90" s="48" t="n">
        <v>1</v>
      </c>
      <c r="C90" s="66" t="n">
        <f aca="false">B90-(COUNT($B$90:$B$94)+1)/2</f>
        <v>-2</v>
      </c>
      <c r="D90" s="63" t="n">
        <f aca="false">Datos!B14</f>
        <v>1105.905</v>
      </c>
      <c r="E90" s="63" t="n">
        <f aca="false">C90*D90</f>
        <v>-2211.81</v>
      </c>
      <c r="F90" s="67" t="n">
        <f aca="false">C90^2</f>
        <v>4</v>
      </c>
      <c r="G90" s="60"/>
      <c r="H90" s="48" t="s">
        <v>305</v>
      </c>
      <c r="I90" s="62" t="n">
        <f aca="false">MAX($C$90:$C$94)+1</f>
        <v>3</v>
      </c>
      <c r="J90" s="68" t="n">
        <f aca="false">$B$99+$B$98*I90</f>
        <v>1011.854</v>
      </c>
    </row>
    <row r="91" customFormat="false" ht="15" hidden="false" customHeight="true" outlineLevel="0" collapsed="false">
      <c r="A91" s="48" t="str">
        <f aca="false">Datos!C$5</f>
        <v>3T25</v>
      </c>
      <c r="B91" s="48" t="n">
        <v>2</v>
      </c>
      <c r="C91" s="66" t="n">
        <f aca="false">B91-(COUNT($B$90:$B$94)+1)/2</f>
        <v>-1</v>
      </c>
      <c r="D91" s="63" t="n">
        <f aca="false">Datos!C14</f>
        <v>1049.349</v>
      </c>
      <c r="E91" s="63" t="n">
        <f aca="false">C91*D91</f>
        <v>-1049.349</v>
      </c>
      <c r="F91" s="67" t="n">
        <f aca="false">C91^2</f>
        <v>1</v>
      </c>
      <c r="G91" s="60"/>
      <c r="H91" s="48" t="s">
        <v>306</v>
      </c>
      <c r="I91" s="62" t="n">
        <f aca="false">I90+1</f>
        <v>4</v>
      </c>
      <c r="J91" s="68" t="n">
        <f aca="false">$B$99+$B$98*I91</f>
        <v>996.7536</v>
      </c>
    </row>
    <row r="92" customFormat="false" ht="15" hidden="false" customHeight="true" outlineLevel="0" collapsed="false">
      <c r="A92" s="48" t="str">
        <f aca="false">Datos!D$5</f>
        <v>4T25</v>
      </c>
      <c r="B92" s="48" t="n">
        <v>3</v>
      </c>
      <c r="C92" s="66" t="n">
        <f aca="false">B92-(COUNT($B$90:$B$94)+1)/2</f>
        <v>0</v>
      </c>
      <c r="D92" s="63" t="n">
        <f aca="false">Datos!D14</f>
        <v>1051</v>
      </c>
      <c r="E92" s="63" t="n">
        <f aca="false">C92*D92</f>
        <v>0</v>
      </c>
      <c r="F92" s="67" t="n">
        <f aca="false">C92^2</f>
        <v>0</v>
      </c>
      <c r="G92" s="60"/>
      <c r="H92" s="48" t="s">
        <v>307</v>
      </c>
      <c r="I92" s="62" t="n">
        <f aca="false">I91+1</f>
        <v>5</v>
      </c>
      <c r="J92" s="68" t="n">
        <f aca="false">$B$99+$B$98*I92</f>
        <v>981.6532</v>
      </c>
    </row>
    <row r="93" customFormat="false" ht="15" hidden="false" customHeight="true" outlineLevel="0" collapsed="false">
      <c r="A93" s="48" t="str">
        <f aca="false">Datos!E$5</f>
        <v>1T26</v>
      </c>
      <c r="B93" s="48" t="n">
        <v>4</v>
      </c>
      <c r="C93" s="66" t="n">
        <f aca="false">B93-(COUNT($B$90:$B$94)+1)/2</f>
        <v>1</v>
      </c>
      <c r="D93" s="63" t="n">
        <f aca="false">Datos!E14</f>
        <v>1048.889</v>
      </c>
      <c r="E93" s="63" t="n">
        <f aca="false">C93*D93</f>
        <v>1048.889</v>
      </c>
      <c r="F93" s="67" t="n">
        <f aca="false">C93^2</f>
        <v>1</v>
      </c>
      <c r="G93" s="60"/>
      <c r="H93" s="48" t="s">
        <v>308</v>
      </c>
      <c r="I93" s="62" t="n">
        <f aca="false">I92+1</f>
        <v>6</v>
      </c>
      <c r="J93" s="68" t="n">
        <f aca="false">$B$99+$B$98*I93</f>
        <v>966.5528</v>
      </c>
    </row>
    <row r="94" customFormat="false" ht="15" hidden="false" customHeight="true" outlineLevel="0" collapsed="false">
      <c r="A94" s="48" t="str">
        <f aca="false">Datos!F$5</f>
        <v>2T26</v>
      </c>
      <c r="B94" s="48" t="n">
        <v>5</v>
      </c>
      <c r="C94" s="66" t="n">
        <f aca="false">B94-(COUNT($B$90:$B$94)+1)/2</f>
        <v>2</v>
      </c>
      <c r="D94" s="63" t="n">
        <f aca="false">Datos!F14</f>
        <v>1030.633</v>
      </c>
      <c r="E94" s="63" t="n">
        <f aca="false">C94*D94</f>
        <v>2061.266</v>
      </c>
      <c r="F94" s="67" t="n">
        <f aca="false">C94^2</f>
        <v>4</v>
      </c>
      <c r="G94" s="60"/>
      <c r="H94" s="60"/>
      <c r="I94" s="60"/>
      <c r="J94" s="60"/>
    </row>
    <row r="95" customFormat="false" ht="15" hidden="false" customHeight="true" outlineLevel="0" collapsed="false">
      <c r="A95" s="69" t="s">
        <v>339</v>
      </c>
      <c r="B95" s="69"/>
      <c r="C95" s="70" t="n">
        <f aca="false">SUM(C90:C94)</f>
        <v>0</v>
      </c>
      <c r="D95" s="68" t="n">
        <f aca="false">SUM(D90:D94)</f>
        <v>5285.776</v>
      </c>
      <c r="E95" s="68" t="n">
        <f aca="false">SUM(E90:E94)</f>
        <v>-151.004</v>
      </c>
      <c r="F95" s="71" t="n">
        <f aca="false">SUM(F90:F94)</f>
        <v>10</v>
      </c>
      <c r="G95" s="60"/>
      <c r="H95" s="60" t="str">
        <f aca="false">"Ecuación: Y = "&amp;TEXT(B99,"#,##0.0000")&amp;" + ("&amp;TEXT(B98,"#,##0.0000")&amp;")·X"</f>
        <v>Ecuación: Y = 1,057.1552 + (-15.1004)·X</v>
      </c>
      <c r="I95" s="60"/>
      <c r="J95" s="60"/>
    </row>
    <row r="96" customFormat="false" ht="15" hidden="false" customHeight="true" outlineLevel="0" collapsed="false">
      <c r="A96" s="48" t="s">
        <v>340</v>
      </c>
      <c r="B96" s="48" t="n">
        <f aca="false">COUNT(B90:B94)</f>
        <v>5</v>
      </c>
      <c r="C96" s="60"/>
      <c r="D96" s="60"/>
      <c r="E96" s="60"/>
      <c r="F96" s="60"/>
      <c r="G96" s="60"/>
      <c r="H96" s="60"/>
      <c r="I96" s="60"/>
      <c r="J96" s="60"/>
    </row>
    <row r="97" customFormat="false" ht="15" hidden="false" customHeight="true" outlineLevel="0" collapsed="false">
      <c r="A97" s="48" t="s">
        <v>341</v>
      </c>
      <c r="B97" s="66" t="n">
        <f aca="false">C95/B96</f>
        <v>0</v>
      </c>
      <c r="C97" s="60"/>
      <c r="D97" s="60"/>
      <c r="E97" s="60"/>
      <c r="F97" s="60"/>
      <c r="G97" s="60"/>
      <c r="H97" s="60"/>
      <c r="I97" s="60"/>
      <c r="J97" s="60"/>
    </row>
    <row r="98" customFormat="false" ht="15" hidden="false" customHeight="true" outlineLevel="0" collapsed="false">
      <c r="A98" s="48" t="s">
        <v>342</v>
      </c>
      <c r="B98" s="63" t="n">
        <f aca="false">E95/F95</f>
        <v>-15.1004</v>
      </c>
      <c r="C98" s="60"/>
      <c r="D98" s="60"/>
      <c r="E98" s="60"/>
      <c r="F98" s="60"/>
      <c r="G98" s="60"/>
      <c r="H98" s="60"/>
      <c r="I98" s="60"/>
      <c r="J98" s="60"/>
    </row>
    <row r="99" customFormat="false" ht="15" hidden="false" customHeight="true" outlineLevel="0" collapsed="false">
      <c r="A99" s="48" t="s">
        <v>343</v>
      </c>
      <c r="B99" s="63" t="n">
        <f aca="false">D95/B96</f>
        <v>1057.1552</v>
      </c>
      <c r="C99" s="60"/>
      <c r="D99" s="60"/>
      <c r="E99" s="60"/>
      <c r="F99" s="60"/>
      <c r="G99" s="60"/>
      <c r="H99" s="60"/>
      <c r="I99" s="60"/>
      <c r="J99" s="60"/>
    </row>
    <row r="100" customFormat="false" ht="15" hidden="false" customHeight="true" outlineLevel="0" collapsed="false">
      <c r="A100" s="48" t="s">
        <v>344</v>
      </c>
      <c r="B100" s="72" t="n">
        <f aca="false">RSQ(D90:D94,C90:C94)</f>
        <v>0.702227947677694</v>
      </c>
      <c r="C100" s="60"/>
      <c r="D100" s="60"/>
      <c r="E100" s="60"/>
      <c r="F100" s="60"/>
      <c r="G100" s="60"/>
      <c r="H100" s="60"/>
      <c r="I100" s="60"/>
      <c r="J100" s="60"/>
    </row>
    <row r="101" customFormat="false" ht="15" hidden="false" customHeight="true" outlineLevel="0" collapsed="false">
      <c r="A101" s="60"/>
      <c r="B101" s="60"/>
      <c r="C101" s="60"/>
      <c r="D101" s="60"/>
      <c r="E101" s="60"/>
      <c r="F101" s="60"/>
      <c r="G101" s="60"/>
      <c r="H101" s="60"/>
      <c r="I101" s="60"/>
      <c r="J101" s="60"/>
    </row>
    <row r="102" customFormat="false" ht="15" hidden="false" customHeight="true" outlineLevel="0" collapsed="false">
      <c r="A102" s="60"/>
      <c r="B102" s="60"/>
      <c r="C102" s="60"/>
      <c r="D102" s="60"/>
      <c r="E102" s="60"/>
      <c r="F102" s="60"/>
      <c r="G102" s="60"/>
      <c r="H102" s="60"/>
      <c r="I102" s="60"/>
      <c r="J102" s="60"/>
    </row>
    <row r="103" customFormat="false" ht="15" hidden="false" customHeight="true" outlineLevel="0" collapsed="false">
      <c r="A103" s="60"/>
      <c r="B103" s="60"/>
      <c r="C103" s="60"/>
      <c r="D103" s="60"/>
      <c r="E103" s="60"/>
      <c r="F103" s="60"/>
      <c r="G103" s="60"/>
      <c r="H103" s="60"/>
      <c r="I103" s="60"/>
      <c r="J103" s="60"/>
    </row>
    <row r="104" customFormat="false" ht="15" hidden="false" customHeight="true" outlineLevel="0" collapsed="false">
      <c r="A104" s="60"/>
      <c r="B104" s="60"/>
      <c r="C104" s="60"/>
      <c r="D104" s="60"/>
      <c r="E104" s="60"/>
      <c r="F104" s="60"/>
      <c r="G104" s="60"/>
      <c r="H104" s="60"/>
      <c r="I104" s="60"/>
      <c r="J104" s="60"/>
    </row>
    <row r="105" customFormat="false" ht="15" hidden="false" customHeight="true" outlineLevel="0" collapsed="false">
      <c r="A105" s="61" t="s">
        <v>349</v>
      </c>
      <c r="B105" s="60"/>
      <c r="C105" s="60"/>
      <c r="D105" s="60"/>
      <c r="E105" s="60"/>
      <c r="F105" s="60"/>
      <c r="G105" s="60"/>
      <c r="H105" s="60"/>
      <c r="I105" s="60"/>
      <c r="J105" s="60"/>
    </row>
    <row r="106" customFormat="false" ht="15" hidden="false" customHeight="true" outlineLevel="0" collapsed="false">
      <c r="A106" s="64" t="s">
        <v>331</v>
      </c>
      <c r="B106" s="64" t="s">
        <v>332</v>
      </c>
      <c r="C106" s="64" t="s">
        <v>333</v>
      </c>
      <c r="D106" s="64" t="s">
        <v>334</v>
      </c>
      <c r="E106" s="64" t="s">
        <v>335</v>
      </c>
      <c r="F106" s="64" t="s">
        <v>336</v>
      </c>
      <c r="G106" s="60"/>
      <c r="H106" s="64" t="s">
        <v>337</v>
      </c>
      <c r="I106" s="64" t="s">
        <v>312</v>
      </c>
      <c r="J106" s="64" t="s">
        <v>338</v>
      </c>
    </row>
    <row r="107" customFormat="false" ht="15" hidden="false" customHeight="true" outlineLevel="0" collapsed="false">
      <c r="A107" s="48" t="str">
        <f aca="false">Datos!B$5</f>
        <v>2T25</v>
      </c>
      <c r="B107" s="48" t="n">
        <v>1</v>
      </c>
      <c r="C107" s="66" t="n">
        <f aca="false">B107-(COUNT($B$107:$B$111)+1)/2</f>
        <v>-2</v>
      </c>
      <c r="D107" s="63" t="n">
        <f aca="false">Datos!B16</f>
        <v>663.2</v>
      </c>
      <c r="E107" s="63" t="n">
        <f aca="false">C107*D107</f>
        <v>-1326.4</v>
      </c>
      <c r="F107" s="67" t="n">
        <f aca="false">C107^2</f>
        <v>4</v>
      </c>
      <c r="G107" s="60"/>
      <c r="H107" s="48" t="s">
        <v>305</v>
      </c>
      <c r="I107" s="62" t="n">
        <f aca="false">MAX($C$107:$C$111)+1</f>
        <v>3</v>
      </c>
      <c r="J107" s="68" t="n">
        <f aca="false">$B$116+$B$115*I107</f>
        <v>798.82</v>
      </c>
    </row>
    <row r="108" customFormat="false" ht="15" hidden="false" customHeight="true" outlineLevel="0" collapsed="false">
      <c r="A108" s="48" t="str">
        <f aca="false">Datos!C$5</f>
        <v>3T25</v>
      </c>
      <c r="B108" s="48" t="n">
        <v>2</v>
      </c>
      <c r="C108" s="66" t="n">
        <f aca="false">B108-(COUNT($B$107:$B$111)+1)/2</f>
        <v>-1</v>
      </c>
      <c r="D108" s="63" t="n">
        <f aca="false">Datos!C16</f>
        <v>775.2</v>
      </c>
      <c r="E108" s="63" t="n">
        <f aca="false">C108*D108</f>
        <v>-775.2</v>
      </c>
      <c r="F108" s="67" t="n">
        <f aca="false">C108^2</f>
        <v>1</v>
      </c>
      <c r="G108" s="60"/>
      <c r="H108" s="48" t="s">
        <v>306</v>
      </c>
      <c r="I108" s="62" t="n">
        <f aca="false">I107+1</f>
        <v>4</v>
      </c>
      <c r="J108" s="68" t="n">
        <f aca="false">$B$116+$B$115*I108</f>
        <v>820.74</v>
      </c>
    </row>
    <row r="109" customFormat="false" ht="15" hidden="false" customHeight="true" outlineLevel="0" collapsed="false">
      <c r="A109" s="48" t="str">
        <f aca="false">Datos!D$5</f>
        <v>4T25</v>
      </c>
      <c r="B109" s="48" t="n">
        <v>3</v>
      </c>
      <c r="C109" s="66" t="n">
        <f aca="false">B109-(COUNT($B$107:$B$111)+1)/2</f>
        <v>0</v>
      </c>
      <c r="D109" s="63" t="n">
        <f aca="false">Datos!D16</f>
        <v>816</v>
      </c>
      <c r="E109" s="63" t="n">
        <f aca="false">C109*D109</f>
        <v>0</v>
      </c>
      <c r="F109" s="67" t="n">
        <f aca="false">C109^2</f>
        <v>0</v>
      </c>
      <c r="G109" s="60"/>
      <c r="H109" s="48" t="s">
        <v>307</v>
      </c>
      <c r="I109" s="62" t="n">
        <f aca="false">I108+1</f>
        <v>5</v>
      </c>
      <c r="J109" s="68" t="n">
        <f aca="false">$B$116+$B$115*I109</f>
        <v>842.66</v>
      </c>
    </row>
    <row r="110" customFormat="false" ht="15" hidden="false" customHeight="true" outlineLevel="0" collapsed="false">
      <c r="A110" s="48" t="str">
        <f aca="false">Datos!E$5</f>
        <v>1T26</v>
      </c>
      <c r="B110" s="48" t="n">
        <v>4</v>
      </c>
      <c r="C110" s="66" t="n">
        <f aca="false">B110-(COUNT($B$107:$B$111)+1)/2</f>
        <v>1</v>
      </c>
      <c r="D110" s="63" t="n">
        <f aca="false">Datos!E16</f>
        <v>501</v>
      </c>
      <c r="E110" s="63" t="n">
        <f aca="false">C110*D110</f>
        <v>501</v>
      </c>
      <c r="F110" s="67" t="n">
        <f aca="false">C110^2</f>
        <v>1</v>
      </c>
      <c r="G110" s="60"/>
      <c r="H110" s="48" t="s">
        <v>308</v>
      </c>
      <c r="I110" s="62" t="n">
        <f aca="false">I109+1</f>
        <v>6</v>
      </c>
      <c r="J110" s="68" t="n">
        <f aca="false">$B$116+$B$115*I110</f>
        <v>864.58</v>
      </c>
    </row>
    <row r="111" customFormat="false" ht="15" hidden="false" customHeight="true" outlineLevel="0" collapsed="false">
      <c r="A111" s="48" t="str">
        <f aca="false">Datos!F$5</f>
        <v>2T26</v>
      </c>
      <c r="B111" s="48" t="n">
        <v>5</v>
      </c>
      <c r="C111" s="66" t="n">
        <f aca="false">B111-(COUNT($B$107:$B$111)+1)/2</f>
        <v>2</v>
      </c>
      <c r="D111" s="63" t="n">
        <f aca="false">Datos!F16</f>
        <v>909.9</v>
      </c>
      <c r="E111" s="63" t="n">
        <f aca="false">C111*D111</f>
        <v>1819.8</v>
      </c>
      <c r="F111" s="67" t="n">
        <f aca="false">C111^2</f>
        <v>4</v>
      </c>
      <c r="G111" s="60"/>
      <c r="H111" s="60"/>
      <c r="I111" s="60"/>
      <c r="J111" s="60"/>
    </row>
    <row r="112" customFormat="false" ht="15" hidden="false" customHeight="true" outlineLevel="0" collapsed="false">
      <c r="A112" s="69" t="s">
        <v>339</v>
      </c>
      <c r="B112" s="69"/>
      <c r="C112" s="70" t="n">
        <f aca="false">SUM(C107:C111)</f>
        <v>0</v>
      </c>
      <c r="D112" s="68" t="n">
        <f aca="false">SUM(D107:D111)</f>
        <v>3665.3</v>
      </c>
      <c r="E112" s="68" t="n">
        <f aca="false">SUM(E107:E111)</f>
        <v>219.2</v>
      </c>
      <c r="F112" s="71" t="n">
        <f aca="false">SUM(F107:F111)</f>
        <v>10</v>
      </c>
      <c r="G112" s="60"/>
      <c r="H112" s="60" t="str">
        <f aca="false">"Ecuación: Y = "&amp;TEXT(B116,"#,##0.0000")&amp;" + ("&amp;TEXT(B115,"#,##0.0000")&amp;")·X"</f>
        <v>Ecuación: Y = 733.0600 + (21.9200)·X</v>
      </c>
      <c r="I112" s="60"/>
      <c r="J112" s="60"/>
    </row>
    <row r="113" customFormat="false" ht="15" hidden="false" customHeight="true" outlineLevel="0" collapsed="false">
      <c r="A113" s="48" t="s">
        <v>340</v>
      </c>
      <c r="B113" s="48" t="n">
        <f aca="false">COUNT(B107:B111)</f>
        <v>5</v>
      </c>
      <c r="C113" s="60"/>
      <c r="D113" s="60"/>
      <c r="E113" s="60"/>
      <c r="F113" s="60"/>
      <c r="G113" s="60"/>
      <c r="H113" s="60"/>
      <c r="I113" s="60"/>
      <c r="J113" s="60"/>
    </row>
    <row r="114" customFormat="false" ht="15" hidden="false" customHeight="true" outlineLevel="0" collapsed="false">
      <c r="A114" s="48" t="s">
        <v>341</v>
      </c>
      <c r="B114" s="66" t="n">
        <f aca="false">C112/B113</f>
        <v>0</v>
      </c>
      <c r="C114" s="60"/>
      <c r="D114" s="60"/>
      <c r="E114" s="60"/>
      <c r="F114" s="60"/>
      <c r="G114" s="60"/>
      <c r="H114" s="60"/>
      <c r="I114" s="60"/>
      <c r="J114" s="60"/>
    </row>
    <row r="115" customFormat="false" ht="15" hidden="false" customHeight="true" outlineLevel="0" collapsed="false">
      <c r="A115" s="48" t="s">
        <v>342</v>
      </c>
      <c r="B115" s="63" t="n">
        <f aca="false">E112/F112</f>
        <v>21.92</v>
      </c>
      <c r="C115" s="60"/>
      <c r="D115" s="60"/>
      <c r="E115" s="60"/>
      <c r="F115" s="60"/>
      <c r="G115" s="60"/>
      <c r="H115" s="60"/>
      <c r="I115" s="60"/>
      <c r="J115" s="60"/>
    </row>
    <row r="116" customFormat="false" ht="15" hidden="false" customHeight="true" outlineLevel="0" collapsed="false">
      <c r="A116" s="48" t="s">
        <v>343</v>
      </c>
      <c r="B116" s="63" t="n">
        <f aca="false">D112/B113</f>
        <v>733.06</v>
      </c>
      <c r="C116" s="60"/>
      <c r="D116" s="60"/>
      <c r="E116" s="60"/>
      <c r="F116" s="60"/>
      <c r="G116" s="60"/>
      <c r="H116" s="60"/>
      <c r="I116" s="60"/>
      <c r="J116" s="60"/>
    </row>
    <row r="117" customFormat="false" ht="15" hidden="false" customHeight="true" outlineLevel="0" collapsed="false">
      <c r="A117" s="48" t="s">
        <v>344</v>
      </c>
      <c r="B117" s="72" t="n">
        <f aca="false">RSQ(D107:D111,C107:C111)</f>
        <v>0.0487014972064719</v>
      </c>
      <c r="C117" s="60"/>
      <c r="D117" s="60"/>
      <c r="E117" s="60"/>
      <c r="F117" s="60"/>
      <c r="G117" s="60"/>
      <c r="H117" s="60"/>
      <c r="I117" s="60"/>
      <c r="J117" s="60"/>
    </row>
    <row r="118" customFormat="false" ht="15" hidden="false" customHeight="true" outlineLevel="0" collapsed="false">
      <c r="A118" s="60"/>
      <c r="B118" s="60"/>
      <c r="C118" s="60"/>
      <c r="D118" s="60"/>
      <c r="E118" s="60"/>
      <c r="F118" s="60"/>
      <c r="G118" s="60"/>
      <c r="H118" s="60"/>
      <c r="I118" s="60"/>
      <c r="J118" s="60"/>
    </row>
    <row r="119" customFormat="false" ht="15" hidden="false" customHeight="true" outlineLevel="0" collapsed="false">
      <c r="A119" s="60"/>
      <c r="B119" s="60"/>
      <c r="C119" s="60"/>
      <c r="D119" s="60"/>
      <c r="E119" s="60"/>
      <c r="F119" s="60"/>
      <c r="G119" s="60"/>
      <c r="H119" s="60"/>
      <c r="I119" s="60"/>
      <c r="J119" s="60"/>
    </row>
    <row r="120" customFormat="false" ht="15" hidden="false" customHeight="true" outlineLevel="0" collapsed="false">
      <c r="A120" s="60"/>
      <c r="B120" s="60"/>
      <c r="C120" s="60"/>
      <c r="D120" s="60"/>
      <c r="E120" s="60"/>
      <c r="F120" s="60"/>
      <c r="G120" s="60"/>
      <c r="H120" s="60"/>
      <c r="I120" s="60"/>
      <c r="J120" s="60"/>
    </row>
    <row r="121" customFormat="false" ht="15" hidden="false" customHeight="true" outlineLevel="0" collapsed="false">
      <c r="A121" s="60"/>
      <c r="B121" s="60"/>
      <c r="C121" s="60"/>
      <c r="D121" s="60"/>
      <c r="E121" s="60"/>
      <c r="F121" s="60"/>
      <c r="G121" s="60"/>
      <c r="H121" s="60"/>
      <c r="I121" s="60"/>
      <c r="J121" s="60"/>
    </row>
    <row r="122" customFormat="false" ht="15" hidden="false" customHeight="true" outlineLevel="0" collapsed="false">
      <c r="A122" s="61" t="s">
        <v>350</v>
      </c>
      <c r="B122" s="60"/>
      <c r="C122" s="60"/>
      <c r="D122" s="60"/>
      <c r="E122" s="60"/>
      <c r="F122" s="60"/>
      <c r="G122" s="60"/>
      <c r="H122" s="60"/>
      <c r="I122" s="60"/>
      <c r="J122" s="60"/>
    </row>
    <row r="123" customFormat="false" ht="15" hidden="false" customHeight="true" outlineLevel="0" collapsed="false">
      <c r="A123" s="64" t="s">
        <v>331</v>
      </c>
      <c r="B123" s="64" t="s">
        <v>332</v>
      </c>
      <c r="C123" s="64" t="s">
        <v>333</v>
      </c>
      <c r="D123" s="64" t="s">
        <v>334</v>
      </c>
      <c r="E123" s="64" t="s">
        <v>335</v>
      </c>
      <c r="F123" s="64" t="s">
        <v>336</v>
      </c>
      <c r="G123" s="60"/>
      <c r="H123" s="64" t="s">
        <v>337</v>
      </c>
      <c r="I123" s="64" t="s">
        <v>312</v>
      </c>
      <c r="J123" s="64" t="s">
        <v>338</v>
      </c>
    </row>
    <row r="124" customFormat="false" ht="15" hidden="false" customHeight="true" outlineLevel="0" collapsed="false">
      <c r="A124" s="48" t="str">
        <f aca="false">Datos!B$5</f>
        <v>2T25</v>
      </c>
      <c r="B124" s="48" t="n">
        <v>1</v>
      </c>
      <c r="C124" s="66" t="n">
        <f aca="false">B124-(COUNT($B$124:$B$128)+1)/2</f>
        <v>-2</v>
      </c>
      <c r="D124" s="63" t="n">
        <f aca="false">Datos!B19-Datos!B21</f>
        <v>11066</v>
      </c>
      <c r="E124" s="63" t="n">
        <f aca="false">C124*D124</f>
        <v>-22132</v>
      </c>
      <c r="F124" s="67" t="n">
        <f aca="false">C124^2</f>
        <v>4</v>
      </c>
      <c r="G124" s="60"/>
      <c r="H124" s="48" t="s">
        <v>305</v>
      </c>
      <c r="I124" s="62" t="n">
        <f aca="false">MAX($C$124:$C$128)+1</f>
        <v>3</v>
      </c>
      <c r="J124" s="68" t="n">
        <f aca="false">$B$133+$B$132*I124</f>
        <v>6975.4312</v>
      </c>
    </row>
    <row r="125" customFormat="false" ht="15" hidden="false" customHeight="true" outlineLevel="0" collapsed="false">
      <c r="A125" s="48" t="str">
        <f aca="false">Datos!C$5</f>
        <v>3T25</v>
      </c>
      <c r="B125" s="48" t="n">
        <v>2</v>
      </c>
      <c r="C125" s="66" t="n">
        <f aca="false">B125-(COUNT($B$124:$B$128)+1)/2</f>
        <v>-1</v>
      </c>
      <c r="D125" s="63" t="n">
        <f aca="false">Datos!C19-Datos!C21</f>
        <v>11577</v>
      </c>
      <c r="E125" s="63" t="n">
        <f aca="false">C125*D125</f>
        <v>-11577</v>
      </c>
      <c r="F125" s="67" t="n">
        <f aca="false">C125^2</f>
        <v>1</v>
      </c>
      <c r="G125" s="60"/>
      <c r="H125" s="48" t="s">
        <v>306</v>
      </c>
      <c r="I125" s="62" t="n">
        <f aca="false">I124+1</f>
        <v>4</v>
      </c>
      <c r="J125" s="68" t="n">
        <f aca="false">$B$133+$B$132*I125</f>
        <v>6036.11400000001</v>
      </c>
    </row>
    <row r="126" customFormat="false" ht="15" hidden="false" customHeight="true" outlineLevel="0" collapsed="false">
      <c r="A126" s="48" t="str">
        <f aca="false">Datos!D$5</f>
        <v>4T25</v>
      </c>
      <c r="B126" s="48" t="n">
        <v>3</v>
      </c>
      <c r="C126" s="66" t="n">
        <f aca="false">B126-(COUNT($B$124:$B$128)+1)/2</f>
        <v>0</v>
      </c>
      <c r="D126" s="63" t="n">
        <f aca="false">Datos!D19-Datos!D21</f>
        <v>9310</v>
      </c>
      <c r="E126" s="63" t="n">
        <f aca="false">C126*D126</f>
        <v>0</v>
      </c>
      <c r="F126" s="67" t="n">
        <f aca="false">C126^2</f>
        <v>0</v>
      </c>
      <c r="G126" s="60"/>
      <c r="H126" s="48" t="s">
        <v>307</v>
      </c>
      <c r="I126" s="62" t="n">
        <f aca="false">I125+1</f>
        <v>5</v>
      </c>
      <c r="J126" s="68" t="n">
        <f aca="false">$B$133+$B$132*I126</f>
        <v>5096.79680000001</v>
      </c>
    </row>
    <row r="127" customFormat="false" ht="15" hidden="false" customHeight="true" outlineLevel="0" collapsed="false">
      <c r="A127" s="48" t="str">
        <f aca="false">Datos!E$5</f>
        <v>1T26</v>
      </c>
      <c r="B127" s="48" t="n">
        <v>4</v>
      </c>
      <c r="C127" s="66" t="n">
        <f aca="false">B127-(COUNT($B$124:$B$128)+1)/2</f>
        <v>1</v>
      </c>
      <c r="D127" s="63" t="n">
        <f aca="false">Datos!E19-Datos!E21</f>
        <v>9712</v>
      </c>
      <c r="E127" s="63" t="n">
        <f aca="false">C127*D127</f>
        <v>9712</v>
      </c>
      <c r="F127" s="67" t="n">
        <f aca="false">C127^2</f>
        <v>1</v>
      </c>
      <c r="G127" s="60"/>
      <c r="H127" s="48" t="s">
        <v>308</v>
      </c>
      <c r="I127" s="62" t="n">
        <f aca="false">I126+1</f>
        <v>6</v>
      </c>
      <c r="J127" s="68" t="n">
        <f aca="false">$B$133+$B$132*I127</f>
        <v>4157.47960000001</v>
      </c>
    </row>
    <row r="128" customFormat="false" ht="15" hidden="false" customHeight="true" outlineLevel="0" collapsed="false">
      <c r="A128" s="48" t="str">
        <f aca="false">Datos!F$5</f>
        <v>2T26</v>
      </c>
      <c r="B128" s="48" t="n">
        <v>5</v>
      </c>
      <c r="C128" s="66" t="n">
        <f aca="false">B128-(COUNT($B$124:$B$128)+1)/2</f>
        <v>2</v>
      </c>
      <c r="D128" s="63" t="n">
        <f aca="false">Datos!F19-Datos!F21</f>
        <v>7301.914</v>
      </c>
      <c r="E128" s="63" t="n">
        <f aca="false">C128*D128</f>
        <v>14603.828</v>
      </c>
      <c r="F128" s="67" t="n">
        <f aca="false">C128^2</f>
        <v>4</v>
      </c>
      <c r="G128" s="60"/>
      <c r="H128" s="60"/>
      <c r="I128" s="60"/>
      <c r="J128" s="60"/>
    </row>
    <row r="129" customFormat="false" ht="15" hidden="false" customHeight="true" outlineLevel="0" collapsed="false">
      <c r="A129" s="69" t="s">
        <v>339</v>
      </c>
      <c r="B129" s="69"/>
      <c r="C129" s="70" t="n">
        <f aca="false">SUM(C124:C128)</f>
        <v>0</v>
      </c>
      <c r="D129" s="68" t="n">
        <f aca="false">SUM(D124:D128)</f>
        <v>48966.914</v>
      </c>
      <c r="E129" s="68" t="n">
        <f aca="false">SUM(E124:E128)</f>
        <v>-9393.17199999999</v>
      </c>
      <c r="F129" s="71" t="n">
        <f aca="false">SUM(F124:F128)</f>
        <v>10</v>
      </c>
      <c r="G129" s="60"/>
      <c r="H129" s="60" t="str">
        <f aca="false">"Ecuación: Y = "&amp;TEXT(B133,"#,##0.0000")&amp;" + ("&amp;TEXT(B132,"#,##0.0000")&amp;")·X"</f>
        <v>Ecuación: Y = 9,793.3828 + (-939.3172)·X</v>
      </c>
      <c r="I129" s="60"/>
      <c r="J129" s="60"/>
    </row>
    <row r="130" customFormat="false" ht="15" hidden="false" customHeight="true" outlineLevel="0" collapsed="false">
      <c r="A130" s="48" t="s">
        <v>340</v>
      </c>
      <c r="B130" s="48" t="n">
        <f aca="false">COUNT(B124:B128)</f>
        <v>5</v>
      </c>
      <c r="C130" s="60"/>
      <c r="D130" s="60"/>
      <c r="E130" s="60"/>
      <c r="F130" s="60"/>
      <c r="G130" s="60"/>
      <c r="H130" s="60"/>
      <c r="I130" s="60"/>
      <c r="J130" s="60"/>
    </row>
    <row r="131" customFormat="false" ht="15" hidden="false" customHeight="true" outlineLevel="0" collapsed="false">
      <c r="A131" s="48" t="s">
        <v>341</v>
      </c>
      <c r="B131" s="66" t="n">
        <f aca="false">C129/B130</f>
        <v>0</v>
      </c>
      <c r="C131" s="60"/>
      <c r="D131" s="60"/>
      <c r="E131" s="60"/>
      <c r="F131" s="60"/>
      <c r="G131" s="60"/>
      <c r="H131" s="60"/>
      <c r="I131" s="60"/>
      <c r="J131" s="60"/>
    </row>
    <row r="132" customFormat="false" ht="15" hidden="false" customHeight="true" outlineLevel="0" collapsed="false">
      <c r="A132" s="48" t="s">
        <v>342</v>
      </c>
      <c r="B132" s="63" t="n">
        <f aca="false">E129/F129</f>
        <v>-939.317199999999</v>
      </c>
      <c r="C132" s="60"/>
      <c r="D132" s="60"/>
      <c r="E132" s="60"/>
      <c r="F132" s="60"/>
      <c r="G132" s="60"/>
      <c r="H132" s="60"/>
      <c r="I132" s="60"/>
      <c r="J132" s="60"/>
    </row>
    <row r="133" customFormat="false" ht="15" hidden="false" customHeight="true" outlineLevel="0" collapsed="false">
      <c r="A133" s="48" t="s">
        <v>343</v>
      </c>
      <c r="B133" s="63" t="n">
        <f aca="false">D129/B130</f>
        <v>9793.3828</v>
      </c>
      <c r="C133" s="60"/>
      <c r="D133" s="60"/>
      <c r="E133" s="60"/>
      <c r="F133" s="60"/>
      <c r="G133" s="60"/>
      <c r="H133" s="60"/>
      <c r="I133" s="60"/>
      <c r="J133" s="60"/>
    </row>
    <row r="134" customFormat="false" ht="15" hidden="false" customHeight="true" outlineLevel="0" collapsed="false">
      <c r="A134" s="48" t="s">
        <v>344</v>
      </c>
      <c r="B134" s="72" t="n">
        <f aca="false">RSQ(D124:D128,C124:C128)</f>
        <v>0.784383137632491</v>
      </c>
      <c r="C134" s="60"/>
      <c r="D134" s="60"/>
      <c r="E134" s="60"/>
      <c r="F134" s="60"/>
      <c r="G134" s="60"/>
      <c r="H134" s="60"/>
      <c r="I134" s="60"/>
      <c r="J134" s="6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17" activePane="bottomLeft" state="frozen"/>
      <selection pane="topLeft" activeCell="A1" activeCellId="0" sqref="A1"/>
      <selection pane="bottomLeft" activeCell="A24" activeCellId="0" sqref="A24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4.67"/>
    <col collapsed="false" customWidth="true" hidden="false" outlineLevel="0" max="2" min="2" style="0" width="22.33"/>
    <col collapsed="false" customWidth="true" hidden="false" outlineLevel="0" max="3" min="3" style="0" width="25.83"/>
    <col collapsed="false" customWidth="true" hidden="false" outlineLevel="0" max="5" min="4" style="0" width="48.16"/>
    <col collapsed="false" customWidth="true" hidden="false" outlineLevel="0" max="6" min="6" style="0" width="20.33"/>
    <col collapsed="false" customWidth="true" hidden="false" outlineLevel="0" max="7" min="7" style="0" width="11.16"/>
    <col collapsed="false" customWidth="true" hidden="false" outlineLevel="0" max="10" min="8" style="0" width="14.67"/>
  </cols>
  <sheetData>
    <row r="1" customFormat="false" ht="18.75" hidden="false" customHeight="true" outlineLevel="0" collapsed="false">
      <c r="A1" s="13"/>
    </row>
    <row r="2" customFormat="false" ht="15" hidden="false" customHeight="false" outlineLevel="0" collapsed="false">
      <c r="A2" s="77"/>
    </row>
    <row r="4" customFormat="false" ht="31.5" hidden="false" customHeight="true" outlineLevel="0" collapsed="false">
      <c r="A4" s="78" t="s">
        <v>351</v>
      </c>
      <c r="B4" s="78" t="s">
        <v>352</v>
      </c>
      <c r="C4" s="78" t="s">
        <v>353</v>
      </c>
      <c r="D4" s="78" t="s">
        <v>354</v>
      </c>
      <c r="E4" s="78" t="s">
        <v>355</v>
      </c>
      <c r="F4" s="78" t="s">
        <v>356</v>
      </c>
      <c r="G4" s="78" t="s">
        <v>357</v>
      </c>
      <c r="H4" s="79" t="s">
        <v>358</v>
      </c>
      <c r="I4" s="79" t="s">
        <v>359</v>
      </c>
      <c r="J4" s="79" t="s">
        <v>360</v>
      </c>
    </row>
    <row r="5" customFormat="false" ht="48" hidden="false" customHeight="true" outlineLevel="0" collapsed="false">
      <c r="A5" s="80" t="n">
        <v>1</v>
      </c>
      <c r="B5" s="81" t="s">
        <v>361</v>
      </c>
      <c r="C5" s="81" t="s">
        <v>362</v>
      </c>
      <c r="D5" s="81" t="s">
        <v>363</v>
      </c>
      <c r="E5" s="81" t="s">
        <v>364</v>
      </c>
      <c r="F5" s="81" t="s">
        <v>239</v>
      </c>
      <c r="G5" s="80" t="s">
        <v>365</v>
      </c>
      <c r="H5" s="82" t="n">
        <v>0.005</v>
      </c>
      <c r="I5" s="82" t="n">
        <v>0</v>
      </c>
      <c r="J5" s="82" t="n">
        <v>0</v>
      </c>
    </row>
    <row r="6" customFormat="false" ht="48" hidden="false" customHeight="true" outlineLevel="0" collapsed="false">
      <c r="A6" s="80" t="n">
        <v>2</v>
      </c>
      <c r="B6" s="81" t="s">
        <v>361</v>
      </c>
      <c r="C6" s="81" t="s">
        <v>366</v>
      </c>
      <c r="D6" s="81" t="s">
        <v>367</v>
      </c>
      <c r="E6" s="81" t="s">
        <v>368</v>
      </c>
      <c r="F6" s="81" t="s">
        <v>369</v>
      </c>
      <c r="G6" s="80" t="s">
        <v>138</v>
      </c>
      <c r="H6" s="82" t="n">
        <v>0</v>
      </c>
      <c r="I6" s="82" t="n">
        <v>0</v>
      </c>
      <c r="J6" s="82" t="n">
        <v>0</v>
      </c>
    </row>
    <row r="7" customFormat="false" ht="31.5" hidden="false" customHeight="true" outlineLevel="0" collapsed="false">
      <c r="A7" s="80" t="n">
        <v>3</v>
      </c>
      <c r="B7" s="81" t="s">
        <v>370</v>
      </c>
      <c r="C7" s="81" t="s">
        <v>371</v>
      </c>
      <c r="D7" s="81" t="s">
        <v>372</v>
      </c>
      <c r="E7" s="81" t="s">
        <v>373</v>
      </c>
      <c r="F7" s="81" t="s">
        <v>374</v>
      </c>
      <c r="G7" s="80" t="s">
        <v>375</v>
      </c>
      <c r="H7" s="82" t="n">
        <v>0</v>
      </c>
      <c r="I7" s="82" t="n">
        <v>0</v>
      </c>
      <c r="J7" s="82" t="n">
        <v>0</v>
      </c>
    </row>
    <row r="8" customFormat="false" ht="31.5" hidden="false" customHeight="true" outlineLevel="0" collapsed="false">
      <c r="A8" s="80" t="n">
        <v>4</v>
      </c>
      <c r="B8" s="81" t="s">
        <v>361</v>
      </c>
      <c r="C8" s="81" t="s">
        <v>376</v>
      </c>
      <c r="D8" s="81" t="s">
        <v>377</v>
      </c>
      <c r="E8" s="81" t="s">
        <v>378</v>
      </c>
      <c r="F8" s="81" t="s">
        <v>379</v>
      </c>
      <c r="G8" s="80" t="s">
        <v>380</v>
      </c>
      <c r="H8" s="82" t="n">
        <v>0</v>
      </c>
      <c r="I8" s="82" t="n">
        <v>0.001</v>
      </c>
      <c r="J8" s="82" t="n">
        <v>0.01</v>
      </c>
    </row>
    <row r="9" customFormat="false" ht="31.5" hidden="false" customHeight="true" outlineLevel="0" collapsed="false">
      <c r="A9" s="80" t="n">
        <v>5</v>
      </c>
      <c r="B9" s="81" t="s">
        <v>361</v>
      </c>
      <c r="C9" s="81" t="s">
        <v>381</v>
      </c>
      <c r="D9" s="81" t="s">
        <v>382</v>
      </c>
      <c r="E9" s="81" t="s">
        <v>383</v>
      </c>
      <c r="F9" s="81" t="s">
        <v>239</v>
      </c>
      <c r="G9" s="80" t="s">
        <v>380</v>
      </c>
      <c r="H9" s="82" t="n">
        <v>-0.003</v>
      </c>
      <c r="I9" s="82" t="n">
        <v>0</v>
      </c>
      <c r="J9" s="82" t="n">
        <v>0</v>
      </c>
    </row>
    <row r="10" customFormat="false" ht="31.5" hidden="false" customHeight="true" outlineLevel="0" collapsed="false">
      <c r="A10" s="80" t="n">
        <v>6</v>
      </c>
      <c r="B10" s="81" t="s">
        <v>384</v>
      </c>
      <c r="C10" s="81" t="s">
        <v>385</v>
      </c>
      <c r="D10" s="81" t="s">
        <v>386</v>
      </c>
      <c r="E10" s="81" t="s">
        <v>387</v>
      </c>
      <c r="F10" s="81" t="s">
        <v>388</v>
      </c>
      <c r="G10" s="80" t="s">
        <v>389</v>
      </c>
      <c r="H10" s="82" t="n">
        <v>0.002</v>
      </c>
      <c r="I10" s="82" t="n">
        <v>0.0015</v>
      </c>
      <c r="J10" s="82" t="n">
        <v>0</v>
      </c>
    </row>
    <row r="11" customFormat="false" ht="31.5" hidden="false" customHeight="true" outlineLevel="0" collapsed="false">
      <c r="A11" s="80" t="n">
        <v>7</v>
      </c>
      <c r="B11" s="81" t="s">
        <v>384</v>
      </c>
      <c r="C11" s="81" t="s">
        <v>390</v>
      </c>
      <c r="D11" s="81" t="s">
        <v>391</v>
      </c>
      <c r="E11" s="81" t="s">
        <v>392</v>
      </c>
      <c r="F11" s="81" t="s">
        <v>393</v>
      </c>
      <c r="G11" s="80" t="s">
        <v>380</v>
      </c>
      <c r="H11" s="82" t="n">
        <v>0</v>
      </c>
      <c r="I11" s="82" t="n">
        <v>0.0005</v>
      </c>
      <c r="J11" s="82" t="n">
        <v>0</v>
      </c>
    </row>
    <row r="12" customFormat="false" ht="31.5" hidden="false" customHeight="true" outlineLevel="0" collapsed="false">
      <c r="A12" s="80" t="n">
        <v>8</v>
      </c>
      <c r="B12" s="81" t="s">
        <v>394</v>
      </c>
      <c r="C12" s="81" t="s">
        <v>395</v>
      </c>
      <c r="D12" s="81" t="s">
        <v>396</v>
      </c>
      <c r="E12" s="81" t="s">
        <v>397</v>
      </c>
      <c r="F12" s="81" t="s">
        <v>239</v>
      </c>
      <c r="G12" s="80" t="s">
        <v>380</v>
      </c>
      <c r="H12" s="82" t="n">
        <v>-0.002</v>
      </c>
      <c r="I12" s="82" t="n">
        <v>0</v>
      </c>
      <c r="J12" s="82" t="n">
        <v>0</v>
      </c>
    </row>
    <row r="13" customFormat="false" ht="31.5" hidden="false" customHeight="true" outlineLevel="0" collapsed="false">
      <c r="A13" s="80" t="n">
        <v>9</v>
      </c>
      <c r="B13" s="81" t="s">
        <v>398</v>
      </c>
      <c r="C13" s="81" t="s">
        <v>399</v>
      </c>
      <c r="D13" s="81" t="s">
        <v>400</v>
      </c>
      <c r="E13" s="81" t="s">
        <v>401</v>
      </c>
      <c r="F13" s="81" t="s">
        <v>379</v>
      </c>
      <c r="G13" s="80" t="s">
        <v>380</v>
      </c>
      <c r="H13" s="82" t="n">
        <v>0</v>
      </c>
      <c r="I13" s="82" t="n">
        <v>0.0005</v>
      </c>
      <c r="J13" s="82" t="n">
        <v>0.005</v>
      </c>
    </row>
    <row r="14" customFormat="false" ht="48" hidden="false" customHeight="true" outlineLevel="0" collapsed="false">
      <c r="A14" s="80" t="n">
        <v>10</v>
      </c>
      <c r="B14" s="81" t="s">
        <v>402</v>
      </c>
      <c r="C14" s="81" t="s">
        <v>403</v>
      </c>
      <c r="D14" s="81" t="s">
        <v>404</v>
      </c>
      <c r="E14" s="81" t="s">
        <v>405</v>
      </c>
      <c r="F14" s="81" t="s">
        <v>239</v>
      </c>
      <c r="G14" s="80" t="s">
        <v>380</v>
      </c>
      <c r="H14" s="82" t="n">
        <v>-0.003</v>
      </c>
      <c r="I14" s="82" t="n">
        <v>0</v>
      </c>
      <c r="J14" s="82" t="n">
        <v>0</v>
      </c>
    </row>
    <row r="15" customFormat="false" ht="48" hidden="false" customHeight="true" outlineLevel="0" collapsed="false">
      <c r="A15" s="80" t="n">
        <v>11</v>
      </c>
      <c r="B15" s="81" t="s">
        <v>406</v>
      </c>
      <c r="C15" s="81" t="s">
        <v>407</v>
      </c>
      <c r="D15" s="81" t="s">
        <v>408</v>
      </c>
      <c r="E15" s="81" t="s">
        <v>409</v>
      </c>
      <c r="F15" s="81" t="s">
        <v>239</v>
      </c>
      <c r="G15" s="80" t="s">
        <v>380</v>
      </c>
      <c r="H15" s="82" t="n">
        <v>-0.002</v>
      </c>
      <c r="I15" s="82" t="n">
        <v>0</v>
      </c>
      <c r="J15" s="82" t="n">
        <v>0</v>
      </c>
    </row>
    <row r="16" customFormat="false" ht="31.5" hidden="false" customHeight="true" outlineLevel="0" collapsed="false">
      <c r="A16" s="80" t="n">
        <v>12</v>
      </c>
      <c r="B16" s="81" t="s">
        <v>410</v>
      </c>
      <c r="C16" s="81" t="s">
        <v>411</v>
      </c>
      <c r="D16" s="81" t="s">
        <v>412</v>
      </c>
      <c r="E16" s="81" t="s">
        <v>413</v>
      </c>
      <c r="F16" s="81" t="s">
        <v>393</v>
      </c>
      <c r="G16" s="80" t="s">
        <v>380</v>
      </c>
      <c r="H16" s="82" t="n">
        <v>0</v>
      </c>
      <c r="I16" s="82" t="n">
        <v>0.0005</v>
      </c>
      <c r="J16" s="82" t="n">
        <v>0</v>
      </c>
    </row>
    <row r="17" customFormat="false" ht="48" hidden="false" customHeight="true" outlineLevel="0" collapsed="false">
      <c r="A17" s="80" t="n">
        <v>13</v>
      </c>
      <c r="B17" s="81" t="s">
        <v>414</v>
      </c>
      <c r="C17" s="81" t="s">
        <v>415</v>
      </c>
      <c r="D17" s="81" t="s">
        <v>416</v>
      </c>
      <c r="E17" s="81" t="s">
        <v>417</v>
      </c>
      <c r="F17" s="81" t="s">
        <v>239</v>
      </c>
      <c r="G17" s="80" t="s">
        <v>380</v>
      </c>
      <c r="H17" s="82" t="n">
        <v>-0.005</v>
      </c>
      <c r="I17" s="82" t="n">
        <v>0</v>
      </c>
      <c r="J17" s="82" t="n">
        <v>0</v>
      </c>
    </row>
    <row r="18" customFormat="false" ht="31.5" hidden="false" customHeight="true" outlineLevel="0" collapsed="false">
      <c r="A18" s="80" t="n">
        <v>14</v>
      </c>
      <c r="B18" s="81" t="s">
        <v>418</v>
      </c>
      <c r="C18" s="81" t="s">
        <v>419</v>
      </c>
      <c r="D18" s="81" t="s">
        <v>420</v>
      </c>
      <c r="E18" s="81" t="s">
        <v>421</v>
      </c>
      <c r="F18" s="81" t="s">
        <v>422</v>
      </c>
      <c r="G18" s="80" t="s">
        <v>380</v>
      </c>
      <c r="H18" s="82" t="n">
        <v>-0.005</v>
      </c>
      <c r="I18" s="82" t="n">
        <v>0.001</v>
      </c>
      <c r="J18" s="82" t="n">
        <v>0</v>
      </c>
    </row>
    <row r="19" customFormat="false" ht="48" hidden="false" customHeight="true" outlineLevel="0" collapsed="false">
      <c r="A19" s="80" t="n">
        <v>15</v>
      </c>
      <c r="B19" s="81" t="s">
        <v>418</v>
      </c>
      <c r="C19" s="81" t="s">
        <v>423</v>
      </c>
      <c r="D19" s="81" t="s">
        <v>424</v>
      </c>
      <c r="E19" s="81" t="s">
        <v>425</v>
      </c>
      <c r="F19" s="81" t="s">
        <v>426</v>
      </c>
      <c r="G19" s="80" t="s">
        <v>389</v>
      </c>
      <c r="H19" s="82" t="n">
        <v>0.002</v>
      </c>
      <c r="I19" s="82" t="n">
        <v>0</v>
      </c>
      <c r="J19" s="82" t="n">
        <v>0.01</v>
      </c>
    </row>
    <row r="20" customFormat="false" ht="48" hidden="false" customHeight="true" outlineLevel="0" collapsed="false">
      <c r="A20" s="80" t="n">
        <v>16</v>
      </c>
      <c r="B20" s="81" t="s">
        <v>427</v>
      </c>
      <c r="C20" s="81" t="s">
        <v>428</v>
      </c>
      <c r="D20" s="81" t="s">
        <v>429</v>
      </c>
      <c r="E20" s="81" t="s">
        <v>430</v>
      </c>
      <c r="F20" s="81" t="s">
        <v>431</v>
      </c>
      <c r="G20" s="80" t="s">
        <v>389</v>
      </c>
      <c r="H20" s="82" t="n">
        <v>0.001</v>
      </c>
      <c r="I20" s="82" t="n">
        <v>0.0002</v>
      </c>
      <c r="J20" s="82" t="n">
        <v>0</v>
      </c>
    </row>
    <row r="21" customFormat="false" ht="48" hidden="false" customHeight="true" outlineLevel="0" collapsed="false">
      <c r="A21" s="80" t="n">
        <v>17</v>
      </c>
      <c r="B21" s="81" t="s">
        <v>427</v>
      </c>
      <c r="C21" s="81" t="s">
        <v>432</v>
      </c>
      <c r="D21" s="81" t="s">
        <v>433</v>
      </c>
      <c r="E21" s="81" t="s">
        <v>434</v>
      </c>
      <c r="F21" s="81" t="s">
        <v>435</v>
      </c>
      <c r="G21" s="80" t="s">
        <v>365</v>
      </c>
      <c r="H21" s="82" t="n">
        <v>0.001</v>
      </c>
      <c r="I21" s="82" t="n">
        <v>0</v>
      </c>
      <c r="J21" s="82" t="n">
        <v>0</v>
      </c>
    </row>
    <row r="22" customFormat="false" ht="15" hidden="false" customHeight="false" outlineLevel="0" collapsed="false">
      <c r="A22" s="83" t="s">
        <v>436</v>
      </c>
      <c r="B22" s="83"/>
      <c r="C22" s="83" t="s">
        <v>437</v>
      </c>
      <c r="D22" s="83"/>
      <c r="E22" s="83"/>
      <c r="F22" s="83"/>
      <c r="G22" s="83"/>
      <c r="H22" s="84" t="n">
        <f aca="false">SUM(H5:H21)</f>
        <v>-0.009</v>
      </c>
      <c r="I22" s="84" t="n">
        <f aca="false">SUM(I5:I21)</f>
        <v>0.0052</v>
      </c>
      <c r="J22" s="84" t="n">
        <f aca="false">SUM(J5:J21)</f>
        <v>0.025</v>
      </c>
    </row>
    <row r="24" customFormat="false" ht="15" hidden="false" customHeight="false" outlineLevel="0" collapsed="false">
      <c r="A24" s="1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02" activeCellId="0" sqref="C202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61.16"/>
    <col collapsed="false" customWidth="true" hidden="false" outlineLevel="0" max="7" min="2" style="0" width="17.5"/>
  </cols>
  <sheetData>
    <row r="1" customFormat="false" ht="15" hidden="false" customHeight="true" outlineLevel="0" collapsed="false">
      <c r="A1" s="85"/>
      <c r="B1" s="86"/>
      <c r="C1" s="86"/>
      <c r="D1" s="86"/>
      <c r="E1" s="86"/>
      <c r="F1" s="86"/>
      <c r="G1" s="86"/>
    </row>
    <row r="2" customFormat="false" ht="15" hidden="false" customHeight="true" outlineLevel="0" collapsed="false">
      <c r="A2" s="87"/>
      <c r="B2" s="86"/>
      <c r="C2" s="86"/>
      <c r="D2" s="86"/>
      <c r="E2" s="86"/>
      <c r="F2" s="86"/>
      <c r="G2" s="86"/>
    </row>
    <row r="3" customFormat="false" ht="15" hidden="false" customHeight="true" outlineLevel="0" collapsed="false">
      <c r="A3" s="87"/>
      <c r="B3" s="86"/>
      <c r="C3" s="86"/>
      <c r="D3" s="86"/>
      <c r="E3" s="86"/>
      <c r="F3" s="86"/>
      <c r="G3" s="86"/>
    </row>
    <row r="4" customFormat="false" ht="15" hidden="false" customHeight="true" outlineLevel="0" collapsed="false">
      <c r="A4" s="86"/>
      <c r="B4" s="86"/>
      <c r="C4" s="86"/>
      <c r="D4" s="86"/>
      <c r="E4" s="86"/>
      <c r="F4" s="86"/>
      <c r="G4" s="86"/>
    </row>
    <row r="5" customFormat="false" ht="15" hidden="false" customHeight="true" outlineLevel="0" collapsed="false">
      <c r="A5" s="88" t="s">
        <v>438</v>
      </c>
      <c r="B5" s="88" t="s">
        <v>225</v>
      </c>
      <c r="C5" s="88" t="s">
        <v>226</v>
      </c>
      <c r="D5" s="88" t="s">
        <v>227</v>
      </c>
      <c r="E5" s="88" t="s">
        <v>228</v>
      </c>
      <c r="F5" s="88" t="s">
        <v>229</v>
      </c>
      <c r="G5" s="88" t="s">
        <v>230</v>
      </c>
    </row>
    <row r="6" customFormat="false" ht="15" hidden="false" customHeight="true" outlineLevel="0" collapsed="false">
      <c r="A6" s="89" t="s">
        <v>439</v>
      </c>
      <c r="B6" s="89"/>
      <c r="C6" s="90" t="n">
        <v>0.7</v>
      </c>
      <c r="D6" s="90" t="n">
        <v>0.7</v>
      </c>
      <c r="E6" s="90" t="n">
        <v>0.75</v>
      </c>
      <c r="F6" s="90" t="n">
        <v>0.8</v>
      </c>
      <c r="G6" s="90" t="n">
        <v>0.85</v>
      </c>
    </row>
    <row r="7" customFormat="false" ht="15" hidden="false" customHeight="true" outlineLevel="0" collapsed="false">
      <c r="A7" s="89" t="s">
        <v>440</v>
      </c>
      <c r="B7" s="89"/>
      <c r="C7" s="90" t="n">
        <f aca="false">1-C6</f>
        <v>0.3</v>
      </c>
      <c r="D7" s="90" t="n">
        <f aca="false">1-D6</f>
        <v>0.3</v>
      </c>
      <c r="E7" s="90" t="n">
        <f aca="false">1-E6</f>
        <v>0.25</v>
      </c>
      <c r="F7" s="90" t="n">
        <f aca="false">1-F6</f>
        <v>0.2</v>
      </c>
      <c r="G7" s="90" t="n">
        <f aca="false">1-G6</f>
        <v>0.15</v>
      </c>
    </row>
    <row r="8" customFormat="false" ht="15" hidden="false" customHeight="true" outlineLevel="0" collapsed="false">
      <c r="A8" s="91"/>
      <c r="B8" s="91"/>
      <c r="C8" s="91"/>
      <c r="D8" s="91"/>
      <c r="E8" s="91"/>
      <c r="F8" s="91"/>
      <c r="G8" s="91"/>
    </row>
    <row r="9" customFormat="false" ht="15" hidden="false" customHeight="true" outlineLevel="0" collapsed="false">
      <c r="A9" s="88" t="s">
        <v>441</v>
      </c>
      <c r="B9" s="88" t="s">
        <v>225</v>
      </c>
      <c r="C9" s="88" t="s">
        <v>226</v>
      </c>
      <c r="D9" s="88" t="s">
        <v>227</v>
      </c>
      <c r="E9" s="88" t="s">
        <v>228</v>
      </c>
      <c r="F9" s="88" t="s">
        <v>229</v>
      </c>
      <c r="G9" s="88" t="s">
        <v>230</v>
      </c>
    </row>
    <row r="10" customFormat="false" ht="15" hidden="false" customHeight="true" outlineLevel="0" collapsed="false">
      <c r="A10" s="89" t="s">
        <v>442</v>
      </c>
      <c r="B10" s="89"/>
      <c r="C10" s="92" t="n">
        <f aca="false">Inflación!B13</f>
        <v>0.0351</v>
      </c>
      <c r="D10" s="92" t="n">
        <f aca="false">Inflación!C13</f>
        <v>0.0351</v>
      </c>
      <c r="E10" s="92" t="n">
        <f aca="false">Inflación!D13</f>
        <v>0.0351</v>
      </c>
      <c r="F10" s="92" t="n">
        <f aca="false">Inflación!E13</f>
        <v>0.0351</v>
      </c>
      <c r="G10" s="92" t="n">
        <f aca="false">Inflación!F13</f>
        <v>0.0351</v>
      </c>
    </row>
    <row r="11" customFormat="false" ht="15" hidden="false" customHeight="true" outlineLevel="0" collapsed="false">
      <c r="A11" s="89" t="s">
        <v>443</v>
      </c>
      <c r="B11" s="89"/>
      <c r="C11" s="92" t="n">
        <v>0.014</v>
      </c>
      <c r="D11" s="92" t="n">
        <v>0.018</v>
      </c>
      <c r="E11" s="92" t="n">
        <v>0.02</v>
      </c>
      <c r="F11" s="92" t="n">
        <v>0.02</v>
      </c>
      <c r="G11" s="92" t="n">
        <v>0.02</v>
      </c>
    </row>
    <row r="12" customFormat="false" ht="15" hidden="false" customHeight="true" outlineLevel="0" collapsed="false">
      <c r="A12" s="89" t="s">
        <v>444</v>
      </c>
      <c r="B12" s="89"/>
      <c r="C12" s="93" t="n">
        <v>0.5</v>
      </c>
      <c r="D12" s="93" t="n">
        <v>0.5</v>
      </c>
      <c r="E12" s="93" t="n">
        <v>0.5</v>
      </c>
      <c r="F12" s="93" t="n">
        <v>0.5</v>
      </c>
      <c r="G12" s="93" t="n">
        <v>0.5</v>
      </c>
    </row>
    <row r="13" customFormat="false" ht="15" hidden="false" customHeight="true" outlineLevel="0" collapsed="false">
      <c r="A13" s="89" t="s">
        <v>445</v>
      </c>
      <c r="B13" s="89"/>
      <c r="C13" s="92" t="n">
        <v>-0.04</v>
      </c>
      <c r="D13" s="92" t="n">
        <v>-0.015</v>
      </c>
      <c r="E13" s="92" t="n">
        <v>-0.005</v>
      </c>
      <c r="F13" s="92" t="n">
        <v>0</v>
      </c>
      <c r="G13" s="92" t="n">
        <v>0</v>
      </c>
    </row>
    <row r="14" customFormat="false" ht="15" hidden="false" customHeight="true" outlineLevel="0" collapsed="false">
      <c r="A14" s="88" t="s">
        <v>446</v>
      </c>
      <c r="B14" s="88"/>
      <c r="C14" s="94" t="n">
        <f aca="false">C10+C11*C12+C13</f>
        <v>0.0021</v>
      </c>
      <c r="D14" s="94" t="n">
        <f aca="false">D10+D11*D12+D13</f>
        <v>0.0291</v>
      </c>
      <c r="E14" s="94" t="n">
        <f aca="false">E10+E11*E12+E13</f>
        <v>0.0401</v>
      </c>
      <c r="F14" s="94" t="n">
        <f aca="false">F10+F11*F12+F13</f>
        <v>0.0451</v>
      </c>
      <c r="G14" s="94" t="n">
        <f aca="false">G10+G11*G12+G13</f>
        <v>0.0451</v>
      </c>
    </row>
    <row r="15" customFormat="false" ht="15" hidden="false" customHeight="true" outlineLevel="0" collapsed="false">
      <c r="A15" s="89" t="s">
        <v>447</v>
      </c>
      <c r="B15" s="89"/>
      <c r="C15" s="92" t="n">
        <v>-0.03</v>
      </c>
      <c r="D15" s="92" t="n">
        <v>-0.02</v>
      </c>
      <c r="E15" s="92" t="n">
        <v>-0.0125</v>
      </c>
      <c r="F15" s="92" t="n">
        <v>-0.01</v>
      </c>
      <c r="G15" s="92" t="n">
        <v>-0.0075</v>
      </c>
    </row>
    <row r="16" customFormat="false" ht="15" hidden="false" customHeight="true" outlineLevel="0" collapsed="false">
      <c r="A16" s="89" t="s">
        <v>448</v>
      </c>
      <c r="B16" s="89"/>
      <c r="C16" s="92" t="n">
        <v>-0.01</v>
      </c>
      <c r="D16" s="92" t="n">
        <v>-0.005</v>
      </c>
      <c r="E16" s="92" t="n">
        <v>0</v>
      </c>
      <c r="F16" s="92" t="n">
        <v>0</v>
      </c>
      <c r="G16" s="92" t="n">
        <v>0</v>
      </c>
    </row>
    <row r="17" customFormat="false" ht="15" hidden="false" customHeight="true" outlineLevel="0" collapsed="false">
      <c r="A17" s="89" t="s">
        <v>449</v>
      </c>
      <c r="B17" s="89"/>
      <c r="C17" s="92" t="n">
        <v>-0.003</v>
      </c>
      <c r="D17" s="92" t="n">
        <v>-0.002</v>
      </c>
      <c r="E17" s="92" t="n">
        <v>-0.001</v>
      </c>
      <c r="F17" s="92" t="n">
        <v>0</v>
      </c>
      <c r="G17" s="92" t="n">
        <v>0</v>
      </c>
    </row>
    <row r="18" customFormat="false" ht="15" hidden="false" customHeight="true" outlineLevel="0" collapsed="false">
      <c r="A18" s="89" t="s">
        <v>450</v>
      </c>
      <c r="B18" s="89"/>
      <c r="C18" s="92" t="n">
        <v>-0.002</v>
      </c>
      <c r="D18" s="92" t="n">
        <v>-0.003</v>
      </c>
      <c r="E18" s="92" t="n">
        <v>-0.001</v>
      </c>
      <c r="F18" s="92" t="n">
        <v>0</v>
      </c>
      <c r="G18" s="92" t="n">
        <v>0</v>
      </c>
    </row>
    <row r="19" customFormat="false" ht="15" hidden="false" customHeight="true" outlineLevel="0" collapsed="false">
      <c r="A19" s="89" t="s">
        <v>451</v>
      </c>
      <c r="B19" s="89"/>
      <c r="C19" s="92" t="n">
        <v>0.002</v>
      </c>
      <c r="D19" s="92" t="n">
        <v>0.003</v>
      </c>
      <c r="E19" s="92" t="n">
        <v>0.003</v>
      </c>
      <c r="F19" s="92" t="n">
        <v>0.002</v>
      </c>
      <c r="G19" s="92" t="n">
        <v>0.002</v>
      </c>
    </row>
    <row r="20" customFormat="false" ht="15" hidden="false" customHeight="true" outlineLevel="0" collapsed="false">
      <c r="A20" s="89" t="s">
        <v>452</v>
      </c>
      <c r="B20" s="89"/>
      <c r="C20" s="92" t="n">
        <v>0.003</v>
      </c>
      <c r="D20" s="92" t="n">
        <v>0.004</v>
      </c>
      <c r="E20" s="92" t="n">
        <v>0.005</v>
      </c>
      <c r="F20" s="92" t="n">
        <v>0.005</v>
      </c>
      <c r="G20" s="92" t="n">
        <v>0.005</v>
      </c>
    </row>
    <row r="21" customFormat="false" ht="15" hidden="false" customHeight="true" outlineLevel="0" collapsed="false">
      <c r="A21" s="89" t="s">
        <v>453</v>
      </c>
      <c r="B21" s="89"/>
      <c r="C21" s="92" t="n">
        <v>-0.002</v>
      </c>
      <c r="D21" s="92" t="n">
        <v>-0.002</v>
      </c>
      <c r="E21" s="92" t="n">
        <v>-0.001</v>
      </c>
      <c r="F21" s="92" t="n">
        <v>0</v>
      </c>
      <c r="G21" s="92" t="n">
        <v>0</v>
      </c>
    </row>
    <row r="22" customFormat="false" ht="15" hidden="false" customHeight="true" outlineLevel="0" collapsed="false">
      <c r="A22" s="89" t="s">
        <v>454</v>
      </c>
      <c r="B22" s="89"/>
      <c r="C22" s="92" t="n">
        <v>0.001</v>
      </c>
      <c r="D22" s="92" t="n">
        <v>0.002</v>
      </c>
      <c r="E22" s="92" t="n">
        <v>0.002</v>
      </c>
      <c r="F22" s="92" t="n">
        <v>0.002</v>
      </c>
      <c r="G22" s="92" t="n">
        <v>0.002</v>
      </c>
    </row>
    <row r="23" customFormat="false" ht="15" hidden="false" customHeight="true" outlineLevel="0" collapsed="false">
      <c r="A23" s="88" t="s">
        <v>455</v>
      </c>
      <c r="B23" s="88"/>
      <c r="C23" s="94" t="n">
        <f aca="false">C14+SUM(C15:C22)</f>
        <v>-0.0389</v>
      </c>
      <c r="D23" s="94" t="n">
        <f aca="false">D14+SUM(D15:D22)</f>
        <v>0.0061</v>
      </c>
      <c r="E23" s="94" t="n">
        <f aca="false">E14+SUM(E15:E22)</f>
        <v>0.0346</v>
      </c>
      <c r="F23" s="94" t="n">
        <f aca="false">F14+SUM(F15:F22)</f>
        <v>0.0441</v>
      </c>
      <c r="G23" s="94" t="n">
        <f aca="false">G14+SUM(G15:G22)</f>
        <v>0.0466</v>
      </c>
    </row>
    <row r="24" customFormat="false" ht="15" hidden="false" customHeight="true" outlineLevel="0" collapsed="false">
      <c r="A24" s="91"/>
      <c r="B24" s="91"/>
      <c r="C24" s="91"/>
      <c r="D24" s="91"/>
      <c r="E24" s="91"/>
      <c r="F24" s="91"/>
      <c r="G24" s="91"/>
    </row>
    <row r="25" customFormat="false" ht="15" hidden="false" customHeight="true" outlineLevel="0" collapsed="false">
      <c r="A25" s="88" t="s">
        <v>456</v>
      </c>
      <c r="B25" s="88" t="s">
        <v>225</v>
      </c>
      <c r="C25" s="88" t="s">
        <v>226</v>
      </c>
      <c r="D25" s="88" t="s">
        <v>227</v>
      </c>
      <c r="E25" s="88" t="s">
        <v>228</v>
      </c>
      <c r="F25" s="88" t="s">
        <v>229</v>
      </c>
      <c r="G25" s="88" t="s">
        <v>230</v>
      </c>
    </row>
    <row r="26" customFormat="false" ht="15" hidden="false" customHeight="true" outlineLevel="0" collapsed="false">
      <c r="A26" s="89" t="s">
        <v>457</v>
      </c>
      <c r="B26" s="95" t="n">
        <f aca="false">'MC Soriana'!G6</f>
        <v>174278</v>
      </c>
      <c r="C26" s="95" t="n">
        <f aca="false">'MC Soriana'!F6</f>
        <v>163936.6</v>
      </c>
      <c r="D26" s="95" t="n">
        <f aca="false">C26+16*('MC Soriana'!$C$6-'MC Soriana'!$B$6)</f>
        <v>153151</v>
      </c>
      <c r="E26" s="95" t="n">
        <f aca="false">D26+16*('MC Soriana'!$C$6-'MC Soriana'!$B$6)</f>
        <v>142365.4</v>
      </c>
      <c r="F26" s="95" t="n">
        <f aca="false">E26+16*('MC Soriana'!$C$6-'MC Soriana'!$B$6)</f>
        <v>131579.8</v>
      </c>
      <c r="G26" s="95" t="n">
        <f aca="false">F26+16*('MC Soriana'!$C$6-'MC Soriana'!$B$6)</f>
        <v>120794.2</v>
      </c>
    </row>
    <row r="27" customFormat="false" ht="15" hidden="false" customHeight="true" outlineLevel="0" collapsed="false">
      <c r="A27" s="89" t="s">
        <v>458</v>
      </c>
      <c r="B27" s="89"/>
      <c r="C27" s="90" t="n">
        <f aca="false">C26/B26-1</f>
        <v>-0.0593385280987848</v>
      </c>
      <c r="D27" s="90" t="n">
        <f aca="false">D26/C26-1</f>
        <v>-0.0657912876075262</v>
      </c>
      <c r="E27" s="90" t="n">
        <f aca="false">E26/D26-1</f>
        <v>-0.0704246136166266</v>
      </c>
      <c r="F27" s="90" t="n">
        <f aca="false">F26/E26-1</f>
        <v>-0.0757599810066209</v>
      </c>
      <c r="G27" s="90" t="n">
        <f aca="false">G26/F26-1</f>
        <v>-0.0819700288342129</v>
      </c>
    </row>
    <row r="28" customFormat="false" ht="15" hidden="false" customHeight="true" outlineLevel="0" collapsed="false">
      <c r="A28" s="88" t="s">
        <v>459</v>
      </c>
      <c r="B28" s="88"/>
      <c r="C28" s="96" t="n">
        <f aca="false">C$6*C23+C$7*C27</f>
        <v>-0.0450315584296355</v>
      </c>
      <c r="D28" s="96" t="n">
        <f aca="false">D$6*D23+D$7*D27</f>
        <v>-0.0154673862822579</v>
      </c>
      <c r="E28" s="96" t="n">
        <f aca="false">E$6*E23+E$7*E27</f>
        <v>0.00834384659584337</v>
      </c>
      <c r="F28" s="96" t="n">
        <f aca="false">F$6*F23+F$7*F27</f>
        <v>0.0201280037986758</v>
      </c>
      <c r="G28" s="96" t="n">
        <f aca="false">G$6*G23+G$7*G27</f>
        <v>0.0273144956748681</v>
      </c>
    </row>
    <row r="29" customFormat="false" ht="15" hidden="false" customHeight="true" outlineLevel="0" collapsed="false">
      <c r="A29" s="91"/>
      <c r="B29" s="91"/>
      <c r="C29" s="91"/>
      <c r="D29" s="91"/>
      <c r="E29" s="91"/>
      <c r="F29" s="91"/>
      <c r="G29" s="91"/>
    </row>
    <row r="30" customFormat="false" ht="15" hidden="false" customHeight="true" outlineLevel="0" collapsed="false">
      <c r="A30" s="88" t="s">
        <v>460</v>
      </c>
      <c r="B30" s="88" t="s">
        <v>225</v>
      </c>
      <c r="C30" s="88" t="s">
        <v>226</v>
      </c>
      <c r="D30" s="88" t="s">
        <v>227</v>
      </c>
      <c r="E30" s="88" t="s">
        <v>228</v>
      </c>
      <c r="F30" s="88" t="s">
        <v>229</v>
      </c>
      <c r="G30" s="88" t="s">
        <v>230</v>
      </c>
    </row>
    <row r="31" customFormat="false" ht="15" hidden="false" customHeight="true" outlineLevel="0" collapsed="false">
      <c r="A31" s="89" t="s">
        <v>461</v>
      </c>
      <c r="B31" s="92" t="n">
        <f aca="false">Valuación!B10</f>
        <v>0.042542883699969</v>
      </c>
      <c r="C31" s="92" t="n">
        <f aca="false">B31+SUM(C32:C39)</f>
        <v>0.043742883699969</v>
      </c>
      <c r="D31" s="92" t="n">
        <f aca="false">C31+SUM(D32:D39)</f>
        <v>0.043442883699969</v>
      </c>
      <c r="E31" s="92" t="n">
        <f aca="false">D31+SUM(E32:E39)</f>
        <v>0.043742883699969</v>
      </c>
      <c r="F31" s="92" t="n">
        <f aca="false">E31+SUM(F32:F39)</f>
        <v>0.044042883699969</v>
      </c>
      <c r="G31" s="92" t="n">
        <f aca="false">F31+SUM(G32:G39)</f>
        <v>0.044342883699969</v>
      </c>
    </row>
    <row r="32" customFormat="false" ht="15" hidden="false" customHeight="true" outlineLevel="0" collapsed="false">
      <c r="A32" s="89" t="s">
        <v>462</v>
      </c>
      <c r="B32" s="92"/>
      <c r="C32" s="92" t="n">
        <v>0.0055</v>
      </c>
      <c r="D32" s="92" t="n">
        <v>0.003</v>
      </c>
      <c r="E32" s="92" t="n">
        <v>0.002</v>
      </c>
      <c r="F32" s="92" t="n">
        <v>0.001</v>
      </c>
      <c r="G32" s="92" t="n">
        <v>0.001</v>
      </c>
    </row>
    <row r="33" customFormat="false" ht="15" hidden="false" customHeight="true" outlineLevel="0" collapsed="false">
      <c r="A33" s="89" t="s">
        <v>463</v>
      </c>
      <c r="B33" s="92"/>
      <c r="C33" s="92" t="n">
        <v>-0.001</v>
      </c>
      <c r="D33" s="92" t="n">
        <v>-0.0015</v>
      </c>
      <c r="E33" s="92" t="n">
        <v>-0.0015</v>
      </c>
      <c r="F33" s="92" t="n">
        <v>-0.001</v>
      </c>
      <c r="G33" s="92" t="n">
        <v>-0.001</v>
      </c>
    </row>
    <row r="34" customFormat="false" ht="15" hidden="false" customHeight="true" outlineLevel="0" collapsed="false">
      <c r="A34" s="89" t="s">
        <v>464</v>
      </c>
      <c r="B34" s="92"/>
      <c r="C34" s="92" t="n">
        <v>-0.0015</v>
      </c>
      <c r="D34" s="92" t="n">
        <v>-0.001</v>
      </c>
      <c r="E34" s="92" t="n">
        <v>-0.001</v>
      </c>
      <c r="F34" s="92" t="n">
        <v>-0.0005</v>
      </c>
      <c r="G34" s="92" t="n">
        <v>0</v>
      </c>
    </row>
    <row r="35" customFormat="false" ht="15" hidden="false" customHeight="true" outlineLevel="0" collapsed="false">
      <c r="A35" s="89" t="s">
        <v>465</v>
      </c>
      <c r="B35" s="92"/>
      <c r="C35" s="92" t="n">
        <v>-0.0005</v>
      </c>
      <c r="D35" s="92" t="n">
        <v>-0.0005</v>
      </c>
      <c r="E35" s="92" t="n">
        <v>0</v>
      </c>
      <c r="F35" s="92" t="n">
        <v>0</v>
      </c>
      <c r="G35" s="92" t="n">
        <v>0</v>
      </c>
    </row>
    <row r="36" customFormat="false" ht="15" hidden="false" customHeight="true" outlineLevel="0" collapsed="false">
      <c r="A36" s="89" t="s">
        <v>466</v>
      </c>
      <c r="B36" s="92"/>
      <c r="C36" s="92" t="n">
        <v>-0.0005</v>
      </c>
      <c r="D36" s="92" t="n">
        <v>-0.0005</v>
      </c>
      <c r="E36" s="92" t="n">
        <v>0</v>
      </c>
      <c r="F36" s="92" t="n">
        <v>0</v>
      </c>
      <c r="G36" s="92" t="n">
        <v>0</v>
      </c>
    </row>
    <row r="37" customFormat="false" ht="15" hidden="false" customHeight="true" outlineLevel="0" collapsed="false">
      <c r="A37" s="89" t="s">
        <v>467</v>
      </c>
      <c r="B37" s="92"/>
      <c r="C37" s="92" t="n">
        <v>-0.0003</v>
      </c>
      <c r="D37" s="92" t="n">
        <v>-0.0003</v>
      </c>
      <c r="E37" s="92" t="n">
        <v>-0.0002</v>
      </c>
      <c r="F37" s="92" t="n">
        <v>-0.0002</v>
      </c>
      <c r="G37" s="92" t="n">
        <v>-0.0002</v>
      </c>
    </row>
    <row r="38" customFormat="false" ht="15" hidden="false" customHeight="true" outlineLevel="0" collapsed="false">
      <c r="A38" s="89" t="s">
        <v>468</v>
      </c>
      <c r="B38" s="92"/>
      <c r="C38" s="92" t="n">
        <v>0.0005</v>
      </c>
      <c r="D38" s="92" t="n">
        <v>0.001</v>
      </c>
      <c r="E38" s="92" t="n">
        <v>0.001</v>
      </c>
      <c r="F38" s="92" t="n">
        <v>0.001</v>
      </c>
      <c r="G38" s="92" t="n">
        <v>0.0005</v>
      </c>
    </row>
    <row r="39" customFormat="false" ht="15" hidden="false" customHeight="true" outlineLevel="0" collapsed="false">
      <c r="A39" s="89" t="s">
        <v>469</v>
      </c>
      <c r="B39" s="92"/>
      <c r="C39" s="92" t="n">
        <v>-0.001</v>
      </c>
      <c r="D39" s="92" t="n">
        <v>-0.0005</v>
      </c>
      <c r="E39" s="92" t="n">
        <v>0</v>
      </c>
      <c r="F39" s="92" t="n">
        <v>0</v>
      </c>
      <c r="G39" s="92" t="n">
        <v>0</v>
      </c>
    </row>
    <row r="40" customFormat="false" ht="15" hidden="false" customHeight="true" outlineLevel="0" collapsed="false">
      <c r="A40" s="89" t="s">
        <v>470</v>
      </c>
      <c r="B40" s="92"/>
      <c r="C40" s="92" t="n">
        <f aca="false">'MC Soriana'!$F$9</f>
        <v>0.0492556268703877</v>
      </c>
      <c r="D40" s="92" t="n">
        <f aca="false">'MC Soriana'!$F$9</f>
        <v>0.0492556268703877</v>
      </c>
      <c r="E40" s="92" t="n">
        <f aca="false">'MC Soriana'!$F$9</f>
        <v>0.0492556268703877</v>
      </c>
      <c r="F40" s="92" t="n">
        <f aca="false">'MC Soriana'!$F$9</f>
        <v>0.0492556268703877</v>
      </c>
      <c r="G40" s="92" t="n">
        <f aca="false">'MC Soriana'!$F$9</f>
        <v>0.0492556268703877</v>
      </c>
    </row>
    <row r="41" customFormat="false" ht="15" hidden="false" customHeight="true" outlineLevel="0" collapsed="false">
      <c r="A41" s="88" t="s">
        <v>471</v>
      </c>
      <c r="B41" s="94"/>
      <c r="C41" s="94" t="n">
        <f aca="false">C$6*C31+C$7*C40</f>
        <v>0.0453967066510946</v>
      </c>
      <c r="D41" s="94" t="n">
        <f aca="false">D$6*D31+D$7*D40</f>
        <v>0.0451867066510946</v>
      </c>
      <c r="E41" s="94" t="n">
        <f aca="false">E$6*E31+E$7*E40</f>
        <v>0.0451210694925737</v>
      </c>
      <c r="F41" s="94" t="n">
        <f aca="false">F$6*F31+F$7*F40</f>
        <v>0.0450854323340528</v>
      </c>
      <c r="G41" s="94" t="n">
        <f aca="false">G$6*G31+G$7*G40</f>
        <v>0.0450797951755318</v>
      </c>
    </row>
    <row r="42" customFormat="false" ht="15" hidden="false" customHeight="true" outlineLevel="0" collapsed="false">
      <c r="A42" s="91"/>
      <c r="B42" s="91"/>
      <c r="C42" s="91"/>
      <c r="D42" s="91"/>
      <c r="E42" s="91"/>
      <c r="F42" s="91"/>
      <c r="G42" s="91"/>
    </row>
    <row r="43" customFormat="false" ht="15" hidden="false" customHeight="true" outlineLevel="0" collapsed="false">
      <c r="A43" s="88" t="s">
        <v>472</v>
      </c>
      <c r="B43" s="88" t="s">
        <v>225</v>
      </c>
      <c r="C43" s="88" t="s">
        <v>226</v>
      </c>
      <c r="D43" s="88" t="s">
        <v>227</v>
      </c>
      <c r="E43" s="88" t="s">
        <v>228</v>
      </c>
      <c r="F43" s="88" t="s">
        <v>229</v>
      </c>
      <c r="G43" s="88" t="s">
        <v>230</v>
      </c>
    </row>
    <row r="44" customFormat="false" ht="15" hidden="false" customHeight="true" outlineLevel="0" collapsed="false">
      <c r="A44" s="89" t="s">
        <v>473</v>
      </c>
      <c r="B44" s="89"/>
      <c r="C44" s="92" t="n">
        <f aca="false">Valuación!$B$11</f>
        <v>0.0244599047967777</v>
      </c>
      <c r="D44" s="92" t="n">
        <f aca="false">Valuación!$B$11</f>
        <v>0.0244599047967777</v>
      </c>
      <c r="E44" s="92" t="n">
        <f aca="false">Valuación!$B$11</f>
        <v>0.0244599047967777</v>
      </c>
      <c r="F44" s="92" t="n">
        <f aca="false">Valuación!$B$11</f>
        <v>0.0244599047967777</v>
      </c>
      <c r="G44" s="92" t="n">
        <f aca="false">Valuación!$B$11</f>
        <v>0.0244599047967777</v>
      </c>
    </row>
    <row r="45" customFormat="false" ht="15" hidden="false" customHeight="true" outlineLevel="0" collapsed="false">
      <c r="A45" s="89" t="s">
        <v>474</v>
      </c>
      <c r="B45" s="89"/>
      <c r="C45" s="92" t="n">
        <f aca="false">'MC Soriana'!$F$12/'MC Soriana'!$F$6</f>
        <v>0.024136242913419</v>
      </c>
      <c r="D45" s="92" t="n">
        <f aca="false">'MC Soriana'!$F$12/'MC Soriana'!$F$6</f>
        <v>0.024136242913419</v>
      </c>
      <c r="E45" s="92" t="n">
        <f aca="false">'MC Soriana'!$F$12/'MC Soriana'!$F$6</f>
        <v>0.024136242913419</v>
      </c>
      <c r="F45" s="92" t="n">
        <f aca="false">'MC Soriana'!$F$12/'MC Soriana'!$F$6</f>
        <v>0.024136242913419</v>
      </c>
      <c r="G45" s="92" t="n">
        <f aca="false">'MC Soriana'!$F$12/'MC Soriana'!$F$6</f>
        <v>0.024136242913419</v>
      </c>
    </row>
    <row r="46" customFormat="false" ht="15" hidden="false" customHeight="true" outlineLevel="0" collapsed="false">
      <c r="A46" s="89" t="s">
        <v>475</v>
      </c>
      <c r="B46" s="89"/>
      <c r="C46" s="92" t="n">
        <f aca="false">C$6*C44+C$7*C45</f>
        <v>0.0243628062317701</v>
      </c>
      <c r="D46" s="92" t="n">
        <f aca="false">D$6*D44+D$7*D45</f>
        <v>0.0243628062317701</v>
      </c>
      <c r="E46" s="92" t="n">
        <f aca="false">E$6*E44+E$7*E45</f>
        <v>0.024378989325938</v>
      </c>
      <c r="F46" s="92" t="n">
        <f aca="false">F$6*F44+F$7*F45</f>
        <v>0.024395172420106</v>
      </c>
      <c r="G46" s="92" t="n">
        <f aca="false">G$6*G44+G$7*G45</f>
        <v>0.0244113555142739</v>
      </c>
    </row>
    <row r="47" customFormat="false" ht="15" hidden="false" customHeight="true" outlineLevel="0" collapsed="false">
      <c r="A47" s="89" t="s">
        <v>476</v>
      </c>
      <c r="B47" s="89"/>
      <c r="C47" s="95" t="n">
        <v>4000</v>
      </c>
      <c r="D47" s="95"/>
      <c r="E47" s="95"/>
      <c r="F47" s="95"/>
      <c r="G47" s="95"/>
    </row>
    <row r="48" customFormat="false" ht="15" hidden="false" customHeight="true" outlineLevel="0" collapsed="false">
      <c r="A48" s="89" t="s">
        <v>477</v>
      </c>
      <c r="B48" s="89"/>
      <c r="C48" s="92"/>
      <c r="D48" s="92" t="n">
        <v>0.003</v>
      </c>
      <c r="E48" s="92" t="n">
        <v>0.003</v>
      </c>
      <c r="F48" s="92" t="n">
        <v>0.003</v>
      </c>
      <c r="G48" s="92" t="n">
        <v>0.003</v>
      </c>
    </row>
    <row r="49" customFormat="false" ht="15" hidden="false" customHeight="true" outlineLevel="0" collapsed="false">
      <c r="A49" s="89" t="s">
        <v>478</v>
      </c>
      <c r="B49" s="89"/>
      <c r="C49" s="92" t="n">
        <f aca="false">C47/C67</f>
        <v>0.0235958656470585</v>
      </c>
      <c r="D49" s="92" t="n">
        <f aca="false">Valuación!$B$12*(1+'Variables Externas'!$J$22)+D48</f>
        <v>0.0195545165197307</v>
      </c>
      <c r="E49" s="92" t="n">
        <f aca="false">Valuación!$B$12*(1+'Variables Externas'!$J$22)+E48</f>
        <v>0.0195545165197307</v>
      </c>
      <c r="F49" s="92" t="n">
        <f aca="false">Valuación!$B$12*(1+'Variables Externas'!$J$22)+F48</f>
        <v>0.0195545165197307</v>
      </c>
      <c r="G49" s="92" t="n">
        <f aca="false">Valuación!$B$12*(1+'Variables Externas'!$J$22)+G48</f>
        <v>0.0195545165197307</v>
      </c>
    </row>
    <row r="50" customFormat="false" ht="15" hidden="false" customHeight="true" outlineLevel="0" collapsed="false">
      <c r="A50" s="89" t="s">
        <v>479</v>
      </c>
      <c r="B50" s="89"/>
      <c r="C50" s="92" t="n">
        <f aca="false">'MC Soriana'!$F$13/'MC Soriana'!$F$6</f>
        <v>0.0202932109120233</v>
      </c>
      <c r="D50" s="92" t="n">
        <f aca="false">'MC Soriana'!$F$13/'MC Soriana'!$F$6</f>
        <v>0.0202932109120233</v>
      </c>
      <c r="E50" s="92" t="n">
        <f aca="false">'MC Soriana'!$F$13/'MC Soriana'!$F$6</f>
        <v>0.0202932109120233</v>
      </c>
      <c r="F50" s="92" t="n">
        <f aca="false">'MC Soriana'!$F$13/'MC Soriana'!$F$6</f>
        <v>0.0202932109120233</v>
      </c>
      <c r="G50" s="92" t="n">
        <f aca="false">'MC Soriana'!$F$13/'MC Soriana'!$F$6</f>
        <v>0.0202932109120233</v>
      </c>
    </row>
    <row r="51" customFormat="false" ht="15" hidden="false" customHeight="true" outlineLevel="0" collapsed="false">
      <c r="A51" s="88" t="s">
        <v>480</v>
      </c>
      <c r="B51" s="88"/>
      <c r="C51" s="94" t="n">
        <f aca="false">C$6*C49+C$7*C50</f>
        <v>0.0226050692265479</v>
      </c>
      <c r="D51" s="94" t="n">
        <f aca="false">D$6*D49+D$7*D50</f>
        <v>0.0197761248374185</v>
      </c>
      <c r="E51" s="94" t="n">
        <f aca="false">E$6*E49+E$7*E50</f>
        <v>0.0197391901178039</v>
      </c>
      <c r="F51" s="94" t="n">
        <f aca="false">F$6*F49+F$7*F50</f>
        <v>0.0197022553981892</v>
      </c>
      <c r="G51" s="94" t="n">
        <f aca="false">G$6*G49+G$7*G50</f>
        <v>0.0196653206785746</v>
      </c>
    </row>
    <row r="52" customFormat="false" ht="15" hidden="false" customHeight="true" outlineLevel="0" collapsed="false">
      <c r="A52" s="89" t="s">
        <v>481</v>
      </c>
      <c r="B52" s="89"/>
      <c r="C52" s="92" t="n">
        <v>0</v>
      </c>
      <c r="D52" s="92" t="n">
        <v>0.005</v>
      </c>
      <c r="E52" s="92" t="n">
        <v>0.005</v>
      </c>
      <c r="F52" s="92" t="n">
        <v>0.005</v>
      </c>
      <c r="G52" s="92" t="n">
        <v>0.005</v>
      </c>
    </row>
    <row r="53" customFormat="false" ht="15" hidden="false" customHeight="true" outlineLevel="0" collapsed="false">
      <c r="A53" s="89" t="s">
        <v>482</v>
      </c>
      <c r="B53" s="89"/>
      <c r="C53" s="92" t="n">
        <f aca="false">WACC!$B$10+C52</f>
        <v>0.3</v>
      </c>
      <c r="D53" s="92" t="n">
        <f aca="false">WACC!$B$10+D52</f>
        <v>0.305</v>
      </c>
      <c r="E53" s="92" t="n">
        <f aca="false">WACC!$B$10+E52</f>
        <v>0.305</v>
      </c>
      <c r="F53" s="92" t="n">
        <f aca="false">WACC!$B$10+F52</f>
        <v>0.305</v>
      </c>
      <c r="G53" s="92" t="n">
        <f aca="false">WACC!$B$10+G52</f>
        <v>0.305</v>
      </c>
    </row>
    <row r="54" customFormat="false" ht="15" hidden="false" customHeight="true" outlineLevel="0" collapsed="false">
      <c r="A54" s="89" t="s">
        <v>483</v>
      </c>
      <c r="B54" s="89"/>
      <c r="C54" s="92" t="n">
        <f aca="false">'MC Soriana'!$F$10</f>
        <v>0.191734007304675</v>
      </c>
      <c r="D54" s="92" t="n">
        <f aca="false">'MC Soriana'!$F$10</f>
        <v>0.191734007304675</v>
      </c>
      <c r="E54" s="92" t="n">
        <f aca="false">'MC Soriana'!$F$10</f>
        <v>0.191734007304675</v>
      </c>
      <c r="F54" s="92" t="n">
        <f aca="false">'MC Soriana'!$F$10</f>
        <v>0.191734007304675</v>
      </c>
      <c r="G54" s="92" t="n">
        <f aca="false">'MC Soriana'!$F$10</f>
        <v>0.191734007304675</v>
      </c>
    </row>
    <row r="55" customFormat="false" ht="15" hidden="false" customHeight="true" outlineLevel="0" collapsed="false">
      <c r="A55" s="88" t="s">
        <v>484</v>
      </c>
      <c r="B55" s="88"/>
      <c r="C55" s="94" t="n">
        <f aca="false">C$6*C53+C$7*C54</f>
        <v>0.267520202191403</v>
      </c>
      <c r="D55" s="94" t="n">
        <f aca="false">D$6*D53+D$7*D54</f>
        <v>0.271020202191403</v>
      </c>
      <c r="E55" s="94" t="n">
        <f aca="false">E$6*E53+E$7*E54</f>
        <v>0.276683501826169</v>
      </c>
      <c r="F55" s="94" t="n">
        <f aca="false">F$6*F53+F$7*F54</f>
        <v>0.282346801460935</v>
      </c>
      <c r="G55" s="94" t="n">
        <f aca="false">G$6*G53+G$7*G54</f>
        <v>0.288010101095701</v>
      </c>
    </row>
    <row r="56" customFormat="false" ht="15" hidden="false" customHeight="true" outlineLevel="0" collapsed="false">
      <c r="A56" s="89" t="s">
        <v>264</v>
      </c>
      <c r="B56" s="97" t="n">
        <f aca="false">Datos!G18/Datos!G7*365</f>
        <v>87.4443050938019</v>
      </c>
      <c r="C56" s="97" t="n">
        <v>88</v>
      </c>
      <c r="D56" s="97" t="n">
        <v>88</v>
      </c>
      <c r="E56" s="97" t="n">
        <v>87</v>
      </c>
      <c r="F56" s="97" t="n">
        <v>87</v>
      </c>
      <c r="G56" s="97" t="n">
        <v>87</v>
      </c>
    </row>
    <row r="57" customFormat="false" ht="15" hidden="false" customHeight="true" outlineLevel="0" collapsed="false">
      <c r="A57" s="89" t="s">
        <v>265</v>
      </c>
      <c r="B57" s="98" t="n">
        <f aca="false">(Datos!G19-Datos!G17-Datos!G18)/Datos!G6</f>
        <v>0.0391572543165366</v>
      </c>
      <c r="C57" s="98" t="n">
        <f aca="false">$B57</f>
        <v>0.0391572543165366</v>
      </c>
      <c r="D57" s="98" t="n">
        <f aca="false">$B57</f>
        <v>0.0391572543165366</v>
      </c>
      <c r="E57" s="98" t="n">
        <f aca="false">$B57</f>
        <v>0.0391572543165366</v>
      </c>
      <c r="F57" s="98" t="n">
        <f aca="false">$B57</f>
        <v>0.0391572543165366</v>
      </c>
      <c r="G57" s="98" t="n">
        <f aca="false">$B57</f>
        <v>0.0391572543165366</v>
      </c>
    </row>
    <row r="58" customFormat="false" ht="15" hidden="false" customHeight="true" outlineLevel="0" collapsed="false">
      <c r="A58" s="89" t="s">
        <v>266</v>
      </c>
      <c r="B58" s="98" t="n">
        <f aca="false">(Datos!G21-Datos!G25-Datos!G27)/Datos!G6</f>
        <v>0.200225333070445</v>
      </c>
      <c r="C58" s="98" t="n">
        <f aca="false">$B58</f>
        <v>0.200225333070445</v>
      </c>
      <c r="D58" s="98" t="n">
        <f aca="false">$B58</f>
        <v>0.200225333070445</v>
      </c>
      <c r="E58" s="98" t="n">
        <f aca="false">$B58</f>
        <v>0.200225333070445</v>
      </c>
      <c r="F58" s="98" t="n">
        <f aca="false">$B58</f>
        <v>0.200225333070445</v>
      </c>
      <c r="G58" s="98" t="n">
        <f aca="false">$B58</f>
        <v>0.200225333070445</v>
      </c>
    </row>
    <row r="59" customFormat="false" ht="15" hidden="false" customHeight="true" outlineLevel="0" collapsed="false">
      <c r="A59" s="89" t="s">
        <v>261</v>
      </c>
      <c r="B59" s="98" t="n">
        <f aca="false">Datos!G7/Datos!G6</f>
        <v>0.759102047714278</v>
      </c>
      <c r="C59" s="98" t="n">
        <v>0.756</v>
      </c>
      <c r="D59" s="98" t="n">
        <v>0.757</v>
      </c>
      <c r="E59" s="98" t="n">
        <v>0.758</v>
      </c>
      <c r="F59" s="98" t="n">
        <v>0.758</v>
      </c>
      <c r="G59" s="98" t="n">
        <v>0.758</v>
      </c>
    </row>
    <row r="60" customFormat="false" ht="15" hidden="false" customHeight="true" outlineLevel="0" collapsed="false">
      <c r="A60" s="89" t="s">
        <v>262</v>
      </c>
      <c r="B60" s="98" t="n">
        <f aca="false">-B70/B67</f>
        <v>0.173900797115737</v>
      </c>
      <c r="C60" s="98" t="n">
        <f aca="false">1-C59-C46-C41</f>
        <v>0.174240487117135</v>
      </c>
      <c r="D60" s="98" t="n">
        <f aca="false">1-D59-D46-D41</f>
        <v>0.173450487117135</v>
      </c>
      <c r="E60" s="98" t="n">
        <f aca="false">1-E59-E46-E41</f>
        <v>0.172499941181488</v>
      </c>
      <c r="F60" s="98" t="n">
        <f aca="false">1-F59-F46-F41</f>
        <v>0.172519395245841</v>
      </c>
      <c r="G60" s="98" t="n">
        <f aca="false">1-G59-G46-G41</f>
        <v>0.172508849310194</v>
      </c>
    </row>
    <row r="61" customFormat="false" ht="15" hidden="false" customHeight="true" outlineLevel="0" collapsed="false">
      <c r="A61" s="89" t="s">
        <v>263</v>
      </c>
      <c r="B61" s="99" t="n">
        <f aca="false">Datos!G10/(Datos!G25+Datos!G26+Datos!G27+Datos!G28)</f>
        <v>0.130154966550936</v>
      </c>
      <c r="C61" s="99" t="n">
        <v>0.1</v>
      </c>
      <c r="D61" s="99" t="n">
        <v>0.0975</v>
      </c>
      <c r="E61" s="99" t="n">
        <v>0.0975</v>
      </c>
      <c r="F61" s="99" t="n">
        <v>0.0975</v>
      </c>
      <c r="G61" s="99" t="n">
        <v>0.0975</v>
      </c>
    </row>
    <row r="62" customFormat="false" ht="15" hidden="false" customHeight="true" outlineLevel="0" collapsed="false">
      <c r="A62" s="89" t="s">
        <v>485</v>
      </c>
      <c r="B62" s="100"/>
      <c r="C62" s="100" t="n">
        <v>0</v>
      </c>
      <c r="D62" s="100" t="n">
        <v>-1500</v>
      </c>
      <c r="E62" s="100" t="n">
        <v>-1500</v>
      </c>
      <c r="F62" s="100" t="n">
        <v>-1500</v>
      </c>
      <c r="G62" s="100" t="n">
        <v>-1500</v>
      </c>
    </row>
    <row r="63" customFormat="false" ht="15" hidden="false" customHeight="true" outlineLevel="0" collapsed="false">
      <c r="A63" s="89" t="s">
        <v>267</v>
      </c>
      <c r="B63" s="98" t="n">
        <f aca="false">'Proyección Soriana'!B14</f>
        <v>0.300144057623049</v>
      </c>
      <c r="C63" s="98" t="n">
        <f aca="false">$B63</f>
        <v>0.300144057623049</v>
      </c>
      <c r="D63" s="98" t="n">
        <f aca="false">$B63</f>
        <v>0.300144057623049</v>
      </c>
      <c r="E63" s="98" t="n">
        <f aca="false">$B63</f>
        <v>0.300144057623049</v>
      </c>
      <c r="F63" s="98" t="n">
        <f aca="false">$B63</f>
        <v>0.300144057623049</v>
      </c>
      <c r="G63" s="98" t="n">
        <f aca="false">$B63</f>
        <v>0.300144057623049</v>
      </c>
    </row>
    <row r="64" customFormat="false" ht="15" hidden="false" customHeight="true" outlineLevel="0" collapsed="false">
      <c r="A64" s="101"/>
      <c r="B64" s="101"/>
      <c r="C64" s="101"/>
      <c r="D64" s="101"/>
      <c r="E64" s="101"/>
      <c r="F64" s="101"/>
      <c r="G64" s="101"/>
    </row>
    <row r="65" customFormat="false" ht="15" hidden="false" customHeight="true" outlineLevel="0" collapsed="false">
      <c r="A65" s="102" t="s">
        <v>486</v>
      </c>
      <c r="B65" s="101"/>
      <c r="C65" s="101"/>
      <c r="D65" s="101"/>
      <c r="E65" s="101"/>
      <c r="F65" s="101"/>
      <c r="G65" s="101"/>
    </row>
    <row r="66" customFormat="false" ht="15" hidden="false" customHeight="true" outlineLevel="0" collapsed="false">
      <c r="A66" s="88" t="s">
        <v>487</v>
      </c>
      <c r="B66" s="103" t="s">
        <v>225</v>
      </c>
      <c r="C66" s="103" t="s">
        <v>226</v>
      </c>
      <c r="D66" s="103" t="s">
        <v>227</v>
      </c>
      <c r="E66" s="103" t="s">
        <v>228</v>
      </c>
      <c r="F66" s="103" t="s">
        <v>229</v>
      </c>
      <c r="G66" s="103" t="s">
        <v>230</v>
      </c>
    </row>
    <row r="67" customFormat="false" ht="15" hidden="false" customHeight="true" outlineLevel="0" collapsed="false">
      <c r="A67" s="89" t="s">
        <v>239</v>
      </c>
      <c r="B67" s="100" t="n">
        <f aca="false">Datos!G6</f>
        <v>177515</v>
      </c>
      <c r="C67" s="100" t="n">
        <f aca="false">B67*(1+C28)</f>
        <v>169521.222905363</v>
      </c>
      <c r="D67" s="100" t="n">
        <f aca="false">C67*(1+D28)</f>
        <v>166899.172667645</v>
      </c>
      <c r="E67" s="100" t="n">
        <f aca="false">D67*(1+E28)</f>
        <v>168291.753761357</v>
      </c>
      <c r="F67" s="100" t="n">
        <f aca="false">E67*(1+F28)</f>
        <v>171679.130820352</v>
      </c>
      <c r="G67" s="100" t="n">
        <f aca="false">F67*(1+G28)</f>
        <v>176368.459696609</v>
      </c>
    </row>
    <row r="68" customFormat="false" ht="15" hidden="false" customHeight="true" outlineLevel="0" collapsed="false">
      <c r="A68" s="89" t="s">
        <v>86</v>
      </c>
      <c r="B68" s="100" t="n">
        <f aca="false">-Datos!G7</f>
        <v>-134752</v>
      </c>
      <c r="C68" s="100" t="n">
        <f aca="false">-C67*C59</f>
        <v>-128158.044516455</v>
      </c>
      <c r="D68" s="100" t="n">
        <f aca="false">-D67*D59</f>
        <v>-126342.673709407</v>
      </c>
      <c r="E68" s="100" t="n">
        <f aca="false">-E67*E59</f>
        <v>-127565.149351109</v>
      </c>
      <c r="F68" s="100" t="n">
        <f aca="false">-F67*F59</f>
        <v>-130132.781161827</v>
      </c>
      <c r="G68" s="100" t="n">
        <f aca="false">-G67*G59</f>
        <v>-133687.29245003</v>
      </c>
    </row>
    <row r="69" customFormat="false" ht="15" hidden="false" customHeight="true" outlineLevel="0" collapsed="false">
      <c r="A69" s="88" t="s">
        <v>80</v>
      </c>
      <c r="B69" s="104" t="n">
        <f aca="false">B67+B68</f>
        <v>42763</v>
      </c>
      <c r="C69" s="104" t="n">
        <f aca="false">C67+C68</f>
        <v>41363.1783889086</v>
      </c>
      <c r="D69" s="104" t="n">
        <f aca="false">D67+D68</f>
        <v>40556.4989582378</v>
      </c>
      <c r="E69" s="104" t="n">
        <f aca="false">E67+E68</f>
        <v>40726.6044102485</v>
      </c>
      <c r="F69" s="104" t="n">
        <f aca="false">F67+F68</f>
        <v>41546.3496585251</v>
      </c>
      <c r="G69" s="104" t="n">
        <f aca="false">G67+G68</f>
        <v>42681.1672465795</v>
      </c>
    </row>
    <row r="70" customFormat="false" ht="15" hidden="false" customHeight="true" outlineLevel="0" collapsed="false">
      <c r="A70" s="89" t="s">
        <v>269</v>
      </c>
      <c r="B70" s="100" t="n">
        <f aca="false">-(Datos!G8-Datos!G9-Datos!G14)</f>
        <v>-30870</v>
      </c>
      <c r="C70" s="100" t="n">
        <f aca="false">-C67*C60</f>
        <v>-29537.460455723</v>
      </c>
      <c r="D70" s="100" t="n">
        <f aca="false">-D67*D60</f>
        <v>-28948.7427986499</v>
      </c>
      <c r="E70" s="100" t="n">
        <f aca="false">-E67*E60</f>
        <v>-29030.3176251636</v>
      </c>
      <c r="F70" s="100" t="n">
        <f aca="false">-F67*F60</f>
        <v>-29617.9798254587</v>
      </c>
      <c r="G70" s="100" t="n">
        <f aca="false">-G67*G60</f>
        <v>-30425.1200368734</v>
      </c>
    </row>
    <row r="71" customFormat="false" ht="15" hidden="false" customHeight="true" outlineLevel="0" collapsed="false">
      <c r="A71" s="88" t="s">
        <v>270</v>
      </c>
      <c r="B71" s="104" t="n">
        <f aca="false">B69+B70</f>
        <v>11893</v>
      </c>
      <c r="C71" s="104" t="n">
        <f aca="false">C69+C70</f>
        <v>11825.7179331857</v>
      </c>
      <c r="D71" s="104" t="n">
        <f aca="false">D69+D70</f>
        <v>11607.7561595879</v>
      </c>
      <c r="E71" s="104" t="n">
        <f aca="false">E69+E70</f>
        <v>11696.2867850848</v>
      </c>
      <c r="F71" s="104" t="n">
        <f aca="false">F69+F70</f>
        <v>11928.3698330664</v>
      </c>
      <c r="G71" s="104" t="n">
        <f aca="false">G69+G70</f>
        <v>12256.047209706</v>
      </c>
    </row>
    <row r="72" customFormat="false" ht="15" hidden="false" customHeight="true" outlineLevel="0" collapsed="false">
      <c r="A72" s="89" t="s">
        <v>154</v>
      </c>
      <c r="B72" s="100" t="n">
        <f aca="false">-Datos!G14</f>
        <v>-4342</v>
      </c>
      <c r="C72" s="100" t="n">
        <f aca="false">-C67*C46</f>
        <v>-4130.01270581607</v>
      </c>
      <c r="D72" s="100" t="n">
        <f aca="false">-D67*D46</f>
        <v>-4066.13220394458</v>
      </c>
      <c r="E72" s="100" t="n">
        <f aca="false">-E67*E46</f>
        <v>-4102.78286859152</v>
      </c>
      <c r="F72" s="100" t="n">
        <f aca="false">-F67*F46</f>
        <v>-4188.14199729641</v>
      </c>
      <c r="G72" s="100" t="n">
        <f aca="false">-G67*G46</f>
        <v>-4305.39317115882</v>
      </c>
    </row>
    <row r="73" customFormat="false" ht="15" hidden="false" customHeight="true" outlineLevel="0" collapsed="false">
      <c r="A73" s="88" t="s">
        <v>81</v>
      </c>
      <c r="B73" s="104" t="n">
        <f aca="false">B71+B72</f>
        <v>7551</v>
      </c>
      <c r="C73" s="104" t="n">
        <f aca="false">C71+C72</f>
        <v>7695.70522736961</v>
      </c>
      <c r="D73" s="104" t="n">
        <f aca="false">D71+D72</f>
        <v>7541.62395564329</v>
      </c>
      <c r="E73" s="104" t="n">
        <f aca="false">E71+E72</f>
        <v>7593.5039164933</v>
      </c>
      <c r="F73" s="104" t="n">
        <f aca="false">F71+F72</f>
        <v>7740.22783576996</v>
      </c>
      <c r="G73" s="104" t="n">
        <f aca="false">G71+G72</f>
        <v>7950.65403854719</v>
      </c>
    </row>
    <row r="74" customFormat="false" ht="15" hidden="false" customHeight="true" outlineLevel="0" collapsed="false">
      <c r="A74" s="89" t="s">
        <v>88</v>
      </c>
      <c r="B74" s="100" t="n">
        <f aca="false">-Datos!G10</f>
        <v>-3074</v>
      </c>
      <c r="C74" s="100" t="n">
        <f aca="false">-C61*(B91+B92)</f>
        <v>-2361.8</v>
      </c>
      <c r="D74" s="100" t="n">
        <f aca="false">-D61*(C91+C92)</f>
        <v>-2302.755</v>
      </c>
      <c r="E74" s="100" t="n">
        <f aca="false">-E61*(D91+D92)</f>
        <v>-2156.505</v>
      </c>
      <c r="F74" s="100" t="n">
        <f aca="false">-F61*(E91+E92)</f>
        <v>-2010.255</v>
      </c>
      <c r="G74" s="100" t="n">
        <f aca="false">-G61*(F91+F92)</f>
        <v>-1864.005</v>
      </c>
    </row>
    <row r="75" customFormat="false" ht="15" hidden="false" customHeight="true" outlineLevel="0" collapsed="false">
      <c r="A75" s="89" t="s">
        <v>271</v>
      </c>
      <c r="B75" s="100" t="n">
        <f aca="false">Datos!G11-Datos!G9+Datos!G10</f>
        <v>288</v>
      </c>
      <c r="C75" s="100" t="n">
        <v>0</v>
      </c>
      <c r="D75" s="100" t="n">
        <v>0</v>
      </c>
      <c r="E75" s="100" t="n">
        <v>0</v>
      </c>
      <c r="F75" s="100" t="n">
        <v>0</v>
      </c>
      <c r="G75" s="100" t="n">
        <v>0</v>
      </c>
    </row>
    <row r="76" customFormat="false" ht="15" hidden="false" customHeight="true" outlineLevel="0" collapsed="false">
      <c r="A76" s="89" t="s">
        <v>152</v>
      </c>
      <c r="B76" s="100" t="n">
        <f aca="false">B73+B74+B75</f>
        <v>4765</v>
      </c>
      <c r="C76" s="100" t="n">
        <f aca="false">C73+C74+C75</f>
        <v>5333.90522736961</v>
      </c>
      <c r="D76" s="100" t="n">
        <f aca="false">D73+D74+D75</f>
        <v>5238.86895564329</v>
      </c>
      <c r="E76" s="100" t="n">
        <f aca="false">E73+E74+E75</f>
        <v>5436.9989164933</v>
      </c>
      <c r="F76" s="100" t="n">
        <f aca="false">F73+F74+F75</f>
        <v>5729.97283576996</v>
      </c>
      <c r="G76" s="100" t="n">
        <f aca="false">G73+G74+G75</f>
        <v>6086.64903854719</v>
      </c>
    </row>
    <row r="77" customFormat="false" ht="15" hidden="false" customHeight="true" outlineLevel="0" collapsed="false">
      <c r="A77" s="89" t="s">
        <v>153</v>
      </c>
      <c r="B77" s="100" t="n">
        <f aca="false">-Datos!G12</f>
        <v>-1433</v>
      </c>
      <c r="C77" s="100" t="n">
        <f aca="false">-C76*C55</f>
        <v>-1426.9274048957</v>
      </c>
      <c r="D77" s="100" t="n">
        <f aca="false">-D76*D55</f>
        <v>-1419.83932361271</v>
      </c>
      <c r="E77" s="100" t="n">
        <f aca="false">-E76*E55</f>
        <v>-1504.32789964045</v>
      </c>
      <c r="F77" s="100" t="n">
        <f aca="false">-F76*F55</f>
        <v>-1617.83950263769</v>
      </c>
      <c r="G77" s="100" t="n">
        <f aca="false">-G76*G55</f>
        <v>-1753.01640492603</v>
      </c>
    </row>
    <row r="78" customFormat="false" ht="15" hidden="false" customHeight="true" outlineLevel="0" collapsed="false">
      <c r="A78" s="88" t="s">
        <v>89</v>
      </c>
      <c r="B78" s="104" t="n">
        <f aca="false">B76+B77</f>
        <v>3332</v>
      </c>
      <c r="C78" s="104" t="n">
        <f aca="false">C76+C77</f>
        <v>3906.97782247391</v>
      </c>
      <c r="D78" s="104" t="n">
        <f aca="false">D76+D77</f>
        <v>3819.02963203058</v>
      </c>
      <c r="E78" s="104" t="n">
        <f aca="false">E76+E77</f>
        <v>3932.67101685285</v>
      </c>
      <c r="F78" s="104" t="n">
        <f aca="false">F76+F77</f>
        <v>4112.13333313227</v>
      </c>
      <c r="G78" s="104" t="n">
        <f aca="false">G76+G77</f>
        <v>4333.63263362116</v>
      </c>
    </row>
    <row r="79" customFormat="false" ht="15" hidden="false" customHeight="true" outlineLevel="0" collapsed="false">
      <c r="A79" s="89" t="s">
        <v>272</v>
      </c>
      <c r="B79" s="100"/>
      <c r="C79" s="100" t="n">
        <f aca="false">-C78*C63</f>
        <v>-1172.65617668058</v>
      </c>
      <c r="D79" s="100" t="n">
        <f aca="false">-D78*D63</f>
        <v>-1146.25904994032</v>
      </c>
      <c r="E79" s="100" t="n">
        <f aca="false">-E78*E63</f>
        <v>-1180.36783629478</v>
      </c>
      <c r="F79" s="100" t="n">
        <f aca="false">-F78*F63</f>
        <v>-1234.23238409331</v>
      </c>
      <c r="G79" s="100" t="n">
        <f aca="false">-G78*G63</f>
        <v>-1300.71408290272</v>
      </c>
    </row>
    <row r="80" customFormat="false" ht="15" hidden="false" customHeight="true" outlineLevel="0" collapsed="false">
      <c r="A80" s="89" t="s">
        <v>488</v>
      </c>
      <c r="B80" s="98" t="n">
        <f aca="false">B71/B67</f>
        <v>0.0669971551699856</v>
      </c>
      <c r="C80" s="98" t="n">
        <f aca="false">C71/C67</f>
        <v>0.0697595128828648</v>
      </c>
      <c r="D80" s="98" t="n">
        <f aca="false">D71/D67</f>
        <v>0.0695495128828648</v>
      </c>
      <c r="E80" s="98" t="n">
        <f aca="false">E71/E67</f>
        <v>0.0695000588185117</v>
      </c>
      <c r="F80" s="98" t="n">
        <f aca="false">F71/F67</f>
        <v>0.0694806047541588</v>
      </c>
      <c r="G80" s="98" t="n">
        <f aca="false">G71/G67</f>
        <v>0.0694911506898058</v>
      </c>
    </row>
    <row r="81" customFormat="false" ht="15" hidden="false" customHeight="true" outlineLevel="0" collapsed="false">
      <c r="A81" s="89" t="s">
        <v>34</v>
      </c>
      <c r="B81" s="98" t="n">
        <f aca="false">B78/B67</f>
        <v>0.0187702447680478</v>
      </c>
      <c r="C81" s="98" t="n">
        <f aca="false">C78/C67</f>
        <v>0.0230471309462828</v>
      </c>
      <c r="D81" s="98" t="n">
        <f aca="false">D78/D67</f>
        <v>0.0228822562208598</v>
      </c>
      <c r="E81" s="98" t="n">
        <f aca="false">E78/E67</f>
        <v>0.0233681741912886</v>
      </c>
      <c r="F81" s="98" t="n">
        <f aca="false">F78/F67</f>
        <v>0.02395243564831</v>
      </c>
      <c r="G81" s="98" t="n">
        <f aca="false">G78/G67</f>
        <v>0.0245714717987327</v>
      </c>
    </row>
    <row r="82" customFormat="false" ht="15" hidden="false" customHeight="true" outlineLevel="0" collapsed="false">
      <c r="A82" s="101"/>
      <c r="B82" s="101"/>
      <c r="C82" s="101"/>
      <c r="D82" s="101"/>
      <c r="E82" s="101"/>
      <c r="F82" s="101"/>
      <c r="G82" s="101"/>
    </row>
    <row r="83" customFormat="false" ht="15" hidden="false" customHeight="true" outlineLevel="0" collapsed="false">
      <c r="A83" s="88" t="s">
        <v>489</v>
      </c>
      <c r="B83" s="103" t="s">
        <v>225</v>
      </c>
      <c r="C83" s="103" t="s">
        <v>226</v>
      </c>
      <c r="D83" s="103" t="s">
        <v>227</v>
      </c>
      <c r="E83" s="103" t="s">
        <v>228</v>
      </c>
      <c r="F83" s="103" t="s">
        <v>229</v>
      </c>
      <c r="G83" s="103" t="s">
        <v>230</v>
      </c>
    </row>
    <row r="84" customFormat="false" ht="15" hidden="false" customHeight="true" outlineLevel="0" collapsed="false">
      <c r="A84" s="89" t="s">
        <v>13</v>
      </c>
      <c r="B84" s="100" t="n">
        <f aca="false">Datos!G17</f>
        <v>9295</v>
      </c>
      <c r="C84" s="100" t="n">
        <f aca="false">B84+C108</f>
        <v>12424.3751978225</v>
      </c>
      <c r="D84" s="100" t="n">
        <f aca="false">C84+D108</f>
        <v>14378.0089568858</v>
      </c>
      <c r="E84" s="100" t="n">
        <f aca="false">D84+E108</f>
        <v>16690.2121510789</v>
      </c>
      <c r="F84" s="100" t="n">
        <f aca="false">E84+F108</f>
        <v>18807.3764604079</v>
      </c>
      <c r="G84" s="100" t="n">
        <f aca="false">F84+G108</f>
        <v>21085.4073805949</v>
      </c>
    </row>
    <row r="85" customFormat="false" ht="15" hidden="false" customHeight="true" outlineLevel="0" collapsed="false">
      <c r="A85" s="89" t="s">
        <v>156</v>
      </c>
      <c r="B85" s="100" t="n">
        <f aca="false">Datos!G18</f>
        <v>32283</v>
      </c>
      <c r="C85" s="100" t="n">
        <f aca="false">-C68*C56/365</f>
        <v>30898.3778560219</v>
      </c>
      <c r="D85" s="100" t="n">
        <f aca="false">-D68*D56/365</f>
        <v>30460.6994148708</v>
      </c>
      <c r="E85" s="100" t="n">
        <f aca="false">-E68*E56/365</f>
        <v>30405.9397083465</v>
      </c>
      <c r="F85" s="100" t="n">
        <f aca="false">-F68*F56/365</f>
        <v>31017.9505782984</v>
      </c>
      <c r="G85" s="100" t="n">
        <f aca="false">-G68*G56/365</f>
        <v>31865.1902552126</v>
      </c>
    </row>
    <row r="86" customFormat="false" ht="15" hidden="false" customHeight="true" outlineLevel="0" collapsed="false">
      <c r="A86" s="89" t="s">
        <v>274</v>
      </c>
      <c r="B86" s="100" t="n">
        <f aca="false">Datos!G19-Datos!G17-Datos!G18</f>
        <v>6951</v>
      </c>
      <c r="C86" s="100" t="n">
        <f aca="false">C67*C57</f>
        <v>6637.9856373556</v>
      </c>
      <c r="D86" s="100" t="n">
        <f aca="false">D67*D57</f>
        <v>6535.31334936655</v>
      </c>
      <c r="E86" s="100" t="n">
        <f aca="false">E67*E57</f>
        <v>6589.84300140943</v>
      </c>
      <c r="F86" s="100" t="n">
        <f aca="false">F67*F57</f>
        <v>6722.48338637447</v>
      </c>
      <c r="G86" s="100" t="n">
        <f aca="false">G67*G57</f>
        <v>6906.10462975597</v>
      </c>
    </row>
    <row r="87" customFormat="false" ht="15" hidden="false" customHeight="true" outlineLevel="0" collapsed="false">
      <c r="A87" s="88" t="s">
        <v>157</v>
      </c>
      <c r="B87" s="104" t="n">
        <f aca="false">SUM(B84:B86)</f>
        <v>48529</v>
      </c>
      <c r="C87" s="104" t="n">
        <f aca="false">SUM(C84:C86)</f>
        <v>49960.7386912001</v>
      </c>
      <c r="D87" s="104" t="n">
        <f aca="false">SUM(D84:D86)</f>
        <v>51374.0217211232</v>
      </c>
      <c r="E87" s="104" t="n">
        <f aca="false">SUM(E84:E86)</f>
        <v>53685.9948608348</v>
      </c>
      <c r="F87" s="104" t="n">
        <f aca="false">SUM(F84:F86)</f>
        <v>56547.8104250808</v>
      </c>
      <c r="G87" s="104" t="n">
        <f aca="false">SUM(G84:G86)</f>
        <v>59856.7022655635</v>
      </c>
    </row>
    <row r="88" customFormat="false" ht="15" hidden="false" customHeight="true" outlineLevel="0" collapsed="false">
      <c r="A88" s="89" t="s">
        <v>275</v>
      </c>
      <c r="B88" s="100" t="n">
        <f aca="false">Datos!G20-Datos!G19</f>
        <v>107509</v>
      </c>
      <c r="C88" s="100" t="n">
        <f aca="false">B88-C104+C72</f>
        <v>107211.026273329</v>
      </c>
      <c r="D88" s="100" t="n">
        <f aca="false">C88-D104+D72</f>
        <v>106445.512943321</v>
      </c>
      <c r="E88" s="100" t="n">
        <f aca="false">D88-E104+E72</f>
        <v>105664.672997484</v>
      </c>
      <c r="F88" s="100" t="n">
        <f aca="false">E88-F104+F72</f>
        <v>104858.997082149</v>
      </c>
      <c r="G88" s="100" t="n">
        <f aca="false">F88-G104+G72</f>
        <v>104021.94622851</v>
      </c>
    </row>
    <row r="89" customFormat="false" ht="15" hidden="false" customHeight="true" outlineLevel="0" collapsed="false">
      <c r="A89" s="88" t="s">
        <v>92</v>
      </c>
      <c r="B89" s="104" t="n">
        <f aca="false">B87+B88</f>
        <v>156038</v>
      </c>
      <c r="C89" s="104" t="n">
        <f aca="false">C87+C88</f>
        <v>157171.764964529</v>
      </c>
      <c r="D89" s="104" t="n">
        <f aca="false">D87+D88</f>
        <v>157819.534664445</v>
      </c>
      <c r="E89" s="104" t="n">
        <f aca="false">E87+E88</f>
        <v>159350.667858319</v>
      </c>
      <c r="F89" s="104" t="n">
        <f aca="false">F87+F88</f>
        <v>161406.80750723</v>
      </c>
      <c r="G89" s="104" t="n">
        <f aca="false">G87+G88</f>
        <v>163878.648494074</v>
      </c>
    </row>
    <row r="90" customFormat="false" ht="15" hidden="false" customHeight="true" outlineLevel="0" collapsed="false">
      <c r="A90" s="89" t="s">
        <v>276</v>
      </c>
      <c r="B90" s="100" t="n">
        <f aca="false">Datos!G21-Datos!G25-Datos!G27</f>
        <v>35543</v>
      </c>
      <c r="C90" s="100" t="n">
        <f aca="false">C67*C58</f>
        <v>33942.4433187355</v>
      </c>
      <c r="D90" s="100" t="n">
        <f aca="false">D67*D58</f>
        <v>33417.4424365609</v>
      </c>
      <c r="E90" s="100" t="n">
        <f aca="false">E67*E58</f>
        <v>33696.272449877</v>
      </c>
      <c r="F90" s="100" t="n">
        <f aca="false">F67*F58</f>
        <v>34374.5111497494</v>
      </c>
      <c r="G90" s="100" t="n">
        <f aca="false">G67*G58</f>
        <v>35313.4335858749</v>
      </c>
    </row>
    <row r="91" customFormat="false" ht="15" hidden="false" customHeight="true" outlineLevel="0" collapsed="false">
      <c r="A91" s="89" t="s">
        <v>277</v>
      </c>
      <c r="B91" s="100" t="n">
        <f aca="false">Datos!G25+Datos!G26</f>
        <v>11500</v>
      </c>
      <c r="C91" s="100" t="n">
        <f aca="false">MAX(0,B91+C62)</f>
        <v>11500</v>
      </c>
      <c r="D91" s="100" t="n">
        <f aca="false">MAX(0,C91+D62)</f>
        <v>10000</v>
      </c>
      <c r="E91" s="100" t="n">
        <f aca="false">MAX(0,D91+E62)</f>
        <v>8500</v>
      </c>
      <c r="F91" s="100" t="n">
        <f aca="false">MAX(0,E91+F62)</f>
        <v>7000</v>
      </c>
      <c r="G91" s="100" t="n">
        <f aca="false">MAX(0,F91+G62)</f>
        <v>5500</v>
      </c>
    </row>
    <row r="92" customFormat="false" ht="15" hidden="false" customHeight="true" outlineLevel="0" collapsed="false">
      <c r="A92" s="89" t="s">
        <v>278</v>
      </c>
      <c r="B92" s="100" t="n">
        <f aca="false">Datos!G27+Datos!G28</f>
        <v>12118</v>
      </c>
      <c r="C92" s="100" t="n">
        <f aca="false">B92</f>
        <v>12118</v>
      </c>
      <c r="D92" s="100" t="n">
        <f aca="false">C92</f>
        <v>12118</v>
      </c>
      <c r="E92" s="100" t="n">
        <f aca="false">D92</f>
        <v>12118</v>
      </c>
      <c r="F92" s="100" t="n">
        <f aca="false">E92</f>
        <v>12118</v>
      </c>
      <c r="G92" s="100" t="n">
        <f aca="false">F92</f>
        <v>12118</v>
      </c>
    </row>
    <row r="93" customFormat="false" ht="15" hidden="false" customHeight="true" outlineLevel="0" collapsed="false">
      <c r="A93" s="89" t="s">
        <v>279</v>
      </c>
      <c r="B93" s="100" t="n">
        <f aca="false">Datos!G23-Datos!G21-Datos!G26-Datos!G28</f>
        <v>12145</v>
      </c>
      <c r="C93" s="100" t="n">
        <f aca="false">B93</f>
        <v>12145</v>
      </c>
      <c r="D93" s="100" t="n">
        <f aca="false">C93</f>
        <v>12145</v>
      </c>
      <c r="E93" s="100" t="n">
        <f aca="false">D93</f>
        <v>12145</v>
      </c>
      <c r="F93" s="100" t="n">
        <f aca="false">E93</f>
        <v>12145</v>
      </c>
      <c r="G93" s="100" t="n">
        <f aca="false">F93</f>
        <v>12145</v>
      </c>
    </row>
    <row r="94" customFormat="false" ht="15" hidden="false" customHeight="true" outlineLevel="0" collapsed="false">
      <c r="A94" s="88" t="s">
        <v>93</v>
      </c>
      <c r="B94" s="104" t="n">
        <f aca="false">SUM(B90:B93)</f>
        <v>71306</v>
      </c>
      <c r="C94" s="104" t="n">
        <f aca="false">SUM(C90:C93)</f>
        <v>69705.4433187355</v>
      </c>
      <c r="D94" s="104" t="n">
        <f aca="false">SUM(D90:D93)</f>
        <v>67680.4424365609</v>
      </c>
      <c r="E94" s="104" t="n">
        <f aca="false">SUM(E90:E93)</f>
        <v>66459.272449877</v>
      </c>
      <c r="F94" s="104" t="n">
        <f aca="false">SUM(F90:F93)</f>
        <v>65637.5111497494</v>
      </c>
      <c r="G94" s="104" t="n">
        <f aca="false">SUM(G90:G93)</f>
        <v>65076.4335858749</v>
      </c>
    </row>
    <row r="95" customFormat="false" ht="15" hidden="false" customHeight="true" outlineLevel="0" collapsed="false">
      <c r="A95" s="89" t="s">
        <v>94</v>
      </c>
      <c r="B95" s="100" t="n">
        <f aca="false">Datos!G24</f>
        <v>84732</v>
      </c>
      <c r="C95" s="100" t="n">
        <f aca="false">B95+C78+C79</f>
        <v>87466.3216457933</v>
      </c>
      <c r="D95" s="100" t="n">
        <f aca="false">C95+D78+D79</f>
        <v>90139.0922278836</v>
      </c>
      <c r="E95" s="100" t="n">
        <f aca="false">D95+E78+E79</f>
        <v>92891.3954084417</v>
      </c>
      <c r="F95" s="100" t="n">
        <f aca="false">E95+F78+F79</f>
        <v>95769.2963574806</v>
      </c>
      <c r="G95" s="100" t="n">
        <f aca="false">F95+G78+G79</f>
        <v>98802.2149081991</v>
      </c>
    </row>
    <row r="96" customFormat="false" ht="15" hidden="false" customHeight="true" outlineLevel="0" collapsed="false">
      <c r="A96" s="88" t="s">
        <v>280</v>
      </c>
      <c r="B96" s="104" t="n">
        <f aca="false">B94+B95</f>
        <v>156038</v>
      </c>
      <c r="C96" s="104" t="n">
        <f aca="false">C94+C95</f>
        <v>157171.764964529</v>
      </c>
      <c r="D96" s="104" t="n">
        <f aca="false">D94+D95</f>
        <v>157819.534664445</v>
      </c>
      <c r="E96" s="104" t="n">
        <f aca="false">E94+E95</f>
        <v>159350.667858319</v>
      </c>
      <c r="F96" s="104" t="n">
        <f aca="false">F94+F95</f>
        <v>161406.80750723</v>
      </c>
      <c r="G96" s="104" t="n">
        <f aca="false">G94+G95</f>
        <v>163878.648494074</v>
      </c>
    </row>
    <row r="97" customFormat="false" ht="15" hidden="false" customHeight="true" outlineLevel="0" collapsed="false">
      <c r="A97" s="89" t="s">
        <v>281</v>
      </c>
      <c r="B97" s="100" t="n">
        <f aca="false">B89-B96</f>
        <v>0</v>
      </c>
      <c r="C97" s="100" t="n">
        <f aca="false">C89-C96</f>
        <v>0</v>
      </c>
      <c r="D97" s="100" t="n">
        <f aca="false">D89-D96</f>
        <v>0</v>
      </c>
      <c r="E97" s="100" t="n">
        <f aca="false">E89-E96</f>
        <v>0</v>
      </c>
      <c r="F97" s="100" t="n">
        <f aca="false">F89-F96</f>
        <v>0</v>
      </c>
      <c r="G97" s="100" t="n">
        <f aca="false">G89-G96</f>
        <v>0</v>
      </c>
    </row>
    <row r="98" customFormat="false" ht="15" hidden="false" customHeight="true" outlineLevel="0" collapsed="false">
      <c r="A98" s="101"/>
      <c r="B98" s="101"/>
      <c r="C98" s="101"/>
      <c r="D98" s="101"/>
      <c r="E98" s="101"/>
      <c r="F98" s="101"/>
      <c r="G98" s="101"/>
    </row>
    <row r="99" customFormat="false" ht="15" hidden="false" customHeight="true" outlineLevel="0" collapsed="false">
      <c r="A99" s="88" t="s">
        <v>490</v>
      </c>
      <c r="B99" s="103" t="s">
        <v>225</v>
      </c>
      <c r="C99" s="103" t="s">
        <v>226</v>
      </c>
      <c r="D99" s="103" t="s">
        <v>227</v>
      </c>
      <c r="E99" s="103" t="s">
        <v>228</v>
      </c>
      <c r="F99" s="103" t="s">
        <v>229</v>
      </c>
      <c r="G99" s="103" t="s">
        <v>230</v>
      </c>
    </row>
    <row r="100" customFormat="false" ht="15" hidden="false" customHeight="true" outlineLevel="0" collapsed="false">
      <c r="A100" s="89" t="s">
        <v>89</v>
      </c>
      <c r="B100" s="105"/>
      <c r="C100" s="100" t="n">
        <f aca="false">C78</f>
        <v>3906.97782247391</v>
      </c>
      <c r="D100" s="100" t="n">
        <f aca="false">D78</f>
        <v>3819.02963203058</v>
      </c>
      <c r="E100" s="100" t="n">
        <f aca="false">E78</f>
        <v>3932.67101685285</v>
      </c>
      <c r="F100" s="100" t="n">
        <f aca="false">F78</f>
        <v>4112.13333313227</v>
      </c>
      <c r="G100" s="100" t="n">
        <f aca="false">G78</f>
        <v>4333.63263362116</v>
      </c>
    </row>
    <row r="101" customFormat="false" ht="15" hidden="false" customHeight="true" outlineLevel="0" collapsed="false">
      <c r="A101" s="89" t="s">
        <v>242</v>
      </c>
      <c r="B101" s="105"/>
      <c r="C101" s="100" t="n">
        <f aca="false">-C72</f>
        <v>4130.01270581607</v>
      </c>
      <c r="D101" s="100" t="n">
        <f aca="false">-D72</f>
        <v>4066.13220394458</v>
      </c>
      <c r="E101" s="100" t="n">
        <f aca="false">-E72</f>
        <v>4102.78286859152</v>
      </c>
      <c r="F101" s="100" t="n">
        <f aca="false">-F72</f>
        <v>4188.14199729641</v>
      </c>
      <c r="G101" s="100" t="n">
        <f aca="false">-G72</f>
        <v>4305.39317115882</v>
      </c>
    </row>
    <row r="102" customFormat="false" ht="15" hidden="false" customHeight="true" outlineLevel="0" collapsed="false">
      <c r="A102" s="89" t="s">
        <v>283</v>
      </c>
      <c r="B102" s="105"/>
      <c r="C102" s="100" t="n">
        <f aca="false">-(C85-B85)</f>
        <v>1384.62214397806</v>
      </c>
      <c r="D102" s="100" t="n">
        <f aca="false">-(D85-C85)</f>
        <v>437.678441151093</v>
      </c>
      <c r="E102" s="100" t="n">
        <f aca="false">-(E85-D85)</f>
        <v>54.7597065243572</v>
      </c>
      <c r="F102" s="100" t="n">
        <f aca="false">-(F85-E85)</f>
        <v>-612.010869951904</v>
      </c>
      <c r="G102" s="100" t="n">
        <f aca="false">-(G85-F85)</f>
        <v>-847.2396769142</v>
      </c>
    </row>
    <row r="103" customFormat="false" ht="15" hidden="false" customHeight="true" outlineLevel="0" collapsed="false">
      <c r="A103" s="89" t="s">
        <v>284</v>
      </c>
      <c r="B103" s="105"/>
      <c r="C103" s="100" t="n">
        <f aca="false">-(C86-B86)</f>
        <v>313.014362644396</v>
      </c>
      <c r="D103" s="100" t="n">
        <f aca="false">-(D86-C86)</f>
        <v>102.672287989059</v>
      </c>
      <c r="E103" s="100" t="n">
        <f aca="false">-(E86-D86)</f>
        <v>-54.5296520428819</v>
      </c>
      <c r="F103" s="100" t="n">
        <f aca="false">-(F86-E86)</f>
        <v>-132.640384965046</v>
      </c>
      <c r="G103" s="100" t="n">
        <f aca="false">-(G86-F86)</f>
        <v>-183.621243381498</v>
      </c>
    </row>
    <row r="104" customFormat="false" ht="15" hidden="false" customHeight="true" outlineLevel="0" collapsed="false">
      <c r="A104" s="89" t="s">
        <v>243</v>
      </c>
      <c r="B104" s="105"/>
      <c r="C104" s="100" t="n">
        <f aca="false">-C67*C51</f>
        <v>-3832.0389791448</v>
      </c>
      <c r="D104" s="100" t="n">
        <f aca="false">-D67*D51</f>
        <v>-3300.61887393722</v>
      </c>
      <c r="E104" s="100" t="n">
        <f aca="false">-E67*E51</f>
        <v>-3321.94292275407</v>
      </c>
      <c r="F104" s="100" t="n">
        <f aca="false">-F67*F51</f>
        <v>-3382.46608196171</v>
      </c>
      <c r="G104" s="100" t="n">
        <f aca="false">-G67*G51</f>
        <v>-3468.34231752008</v>
      </c>
    </row>
    <row r="105" customFormat="false" ht="15" hidden="false" customHeight="true" outlineLevel="0" collapsed="false">
      <c r="A105" s="89" t="s">
        <v>285</v>
      </c>
      <c r="B105" s="105"/>
      <c r="C105" s="100" t="n">
        <f aca="false">C90-B90</f>
        <v>-1600.55668126454</v>
      </c>
      <c r="D105" s="100" t="n">
        <f aca="false">D90-C90</f>
        <v>-525.000882174521</v>
      </c>
      <c r="E105" s="100" t="n">
        <f aca="false">E90-D90</f>
        <v>278.830013316096</v>
      </c>
      <c r="F105" s="100" t="n">
        <f aca="false">F90-E90</f>
        <v>678.238699872338</v>
      </c>
      <c r="G105" s="100" t="n">
        <f aca="false">G90-F90</f>
        <v>938.922436125533</v>
      </c>
    </row>
    <row r="106" customFormat="false" ht="15" hidden="false" customHeight="true" outlineLevel="0" collapsed="false">
      <c r="A106" s="89" t="s">
        <v>491</v>
      </c>
      <c r="B106" s="105"/>
      <c r="C106" s="100" t="n">
        <f aca="false">C79</f>
        <v>-1172.65617668058</v>
      </c>
      <c r="D106" s="100" t="n">
        <f aca="false">D79</f>
        <v>-1146.25904994032</v>
      </c>
      <c r="E106" s="100" t="n">
        <f aca="false">E79</f>
        <v>-1180.36783629478</v>
      </c>
      <c r="F106" s="100" t="n">
        <f aca="false">F79</f>
        <v>-1234.23238409331</v>
      </c>
      <c r="G106" s="100" t="n">
        <f aca="false">G79</f>
        <v>-1300.71408290272</v>
      </c>
    </row>
    <row r="107" customFormat="false" ht="15" hidden="false" customHeight="true" outlineLevel="0" collapsed="false">
      <c r="A107" s="89" t="s">
        <v>492</v>
      </c>
      <c r="B107" s="105"/>
      <c r="C107" s="100" t="n">
        <f aca="false">C91-B91</f>
        <v>0</v>
      </c>
      <c r="D107" s="100" t="n">
        <f aca="false">D91-C91</f>
        <v>-1500</v>
      </c>
      <c r="E107" s="100" t="n">
        <f aca="false">E91-D91</f>
        <v>-1500</v>
      </c>
      <c r="F107" s="100" t="n">
        <f aca="false">F91-E91</f>
        <v>-1500</v>
      </c>
      <c r="G107" s="100" t="n">
        <f aca="false">G91-F91</f>
        <v>-1500</v>
      </c>
    </row>
    <row r="108" customFormat="false" ht="15" hidden="false" customHeight="true" outlineLevel="0" collapsed="false">
      <c r="A108" s="88" t="s">
        <v>493</v>
      </c>
      <c r="B108" s="103"/>
      <c r="C108" s="104" t="n">
        <f aca="false">SUM(C100:C107)</f>
        <v>3129.37519782252</v>
      </c>
      <c r="D108" s="104" t="n">
        <f aca="false">SUM(D100:D107)</f>
        <v>1953.63375906326</v>
      </c>
      <c r="E108" s="104" t="n">
        <f aca="false">SUM(E100:E107)</f>
        <v>2312.2031941931</v>
      </c>
      <c r="F108" s="104" t="n">
        <f aca="false">SUM(F100:F107)</f>
        <v>2117.16430932904</v>
      </c>
      <c r="G108" s="104" t="n">
        <f aca="false">SUM(G100:G107)</f>
        <v>2278.03092018702</v>
      </c>
    </row>
    <row r="109" customFormat="false" ht="15" hidden="false" customHeight="true" outlineLevel="0" collapsed="false">
      <c r="A109" s="101"/>
      <c r="B109" s="101"/>
      <c r="C109" s="101"/>
      <c r="D109" s="101"/>
      <c r="E109" s="101"/>
      <c r="F109" s="101"/>
      <c r="G109" s="101"/>
    </row>
    <row r="110" customFormat="false" ht="15" hidden="false" customHeight="true" outlineLevel="0" collapsed="false">
      <c r="A110" s="88" t="s">
        <v>494</v>
      </c>
      <c r="B110" s="103" t="s">
        <v>225</v>
      </c>
      <c r="C110" s="103" t="s">
        <v>226</v>
      </c>
      <c r="D110" s="103" t="s">
        <v>227</v>
      </c>
      <c r="E110" s="103" t="s">
        <v>228</v>
      </c>
      <c r="F110" s="103" t="s">
        <v>229</v>
      </c>
      <c r="G110" s="103" t="s">
        <v>230</v>
      </c>
    </row>
    <row r="111" customFormat="false" ht="15" hidden="false" customHeight="true" outlineLevel="0" collapsed="false">
      <c r="A111" s="89" t="s">
        <v>81</v>
      </c>
      <c r="B111" s="105"/>
      <c r="C111" s="100" t="n">
        <f aca="false">C73</f>
        <v>7695.70522736961</v>
      </c>
      <c r="D111" s="100" t="n">
        <f aca="false">D73</f>
        <v>7541.62395564329</v>
      </c>
      <c r="E111" s="100" t="n">
        <f aca="false">E73</f>
        <v>7593.5039164933</v>
      </c>
      <c r="F111" s="100" t="n">
        <f aca="false">F73</f>
        <v>7740.22783576996</v>
      </c>
      <c r="G111" s="100" t="n">
        <f aca="false">G73</f>
        <v>7950.65403854719</v>
      </c>
    </row>
    <row r="112" customFormat="false" ht="15" hidden="false" customHeight="true" outlineLevel="0" collapsed="false">
      <c r="A112" s="89" t="s">
        <v>240</v>
      </c>
      <c r="B112" s="105"/>
      <c r="C112" s="100" t="n">
        <f aca="false">-C111*C55</f>
        <v>-2058.75661843135</v>
      </c>
      <c r="D112" s="100" t="n">
        <f aca="false">-D111*D55</f>
        <v>-2043.93244930997</v>
      </c>
      <c r="E112" s="100" t="n">
        <f aca="false">-E111*E55</f>
        <v>-2100.99725474609</v>
      </c>
      <c r="F112" s="100" t="n">
        <f aca="false">-F111*F55</f>
        <v>-2185.42857200854</v>
      </c>
      <c r="G112" s="100" t="n">
        <f aca="false">-G111*G55</f>
        <v>-2289.86867341892</v>
      </c>
    </row>
    <row r="113" customFormat="false" ht="15" hidden="false" customHeight="true" outlineLevel="0" collapsed="false">
      <c r="A113" s="89" t="s">
        <v>495</v>
      </c>
      <c r="B113" s="105"/>
      <c r="C113" s="100" t="n">
        <f aca="false">C111+C112</f>
        <v>5636.94860893826</v>
      </c>
      <c r="D113" s="100" t="n">
        <f aca="false">D111+D112</f>
        <v>5497.69150633332</v>
      </c>
      <c r="E113" s="100" t="n">
        <f aca="false">E111+E112</f>
        <v>5492.50666174721</v>
      </c>
      <c r="F113" s="100" t="n">
        <f aca="false">F111+F112</f>
        <v>5554.79926376142</v>
      </c>
      <c r="G113" s="100" t="n">
        <f aca="false">G111+G112</f>
        <v>5660.78536512827</v>
      </c>
    </row>
    <row r="114" customFormat="false" ht="15" hidden="false" customHeight="true" outlineLevel="0" collapsed="false">
      <c r="A114" s="89" t="s">
        <v>242</v>
      </c>
      <c r="B114" s="105"/>
      <c r="C114" s="100" t="n">
        <f aca="false">C101</f>
        <v>4130.01270581607</v>
      </c>
      <c r="D114" s="100" t="n">
        <f aca="false">D101</f>
        <v>4066.13220394458</v>
      </c>
      <c r="E114" s="100" t="n">
        <f aca="false">E101</f>
        <v>4102.78286859152</v>
      </c>
      <c r="F114" s="100" t="n">
        <f aca="false">F101</f>
        <v>4188.14199729641</v>
      </c>
      <c r="G114" s="100" t="n">
        <f aca="false">G101</f>
        <v>4305.39317115882</v>
      </c>
    </row>
    <row r="115" customFormat="false" ht="15" hidden="false" customHeight="true" outlineLevel="0" collapsed="false">
      <c r="A115" s="89" t="s">
        <v>243</v>
      </c>
      <c r="B115" s="105"/>
      <c r="C115" s="100" t="n">
        <f aca="false">C104</f>
        <v>-3832.0389791448</v>
      </c>
      <c r="D115" s="100" t="n">
        <f aca="false">D104</f>
        <v>-3300.61887393722</v>
      </c>
      <c r="E115" s="100" t="n">
        <f aca="false">E104</f>
        <v>-3321.94292275407</v>
      </c>
      <c r="F115" s="100" t="n">
        <f aca="false">F104</f>
        <v>-3382.46608196171</v>
      </c>
      <c r="G115" s="100" t="n">
        <f aca="false">G104</f>
        <v>-3468.34231752008</v>
      </c>
    </row>
    <row r="116" customFormat="false" ht="15" hidden="false" customHeight="true" outlineLevel="0" collapsed="false">
      <c r="A116" s="89" t="s">
        <v>244</v>
      </c>
      <c r="B116" s="105"/>
      <c r="C116" s="100" t="n">
        <f aca="false">C102+C103+C105</f>
        <v>97.0798253579187</v>
      </c>
      <c r="D116" s="100" t="n">
        <f aca="false">D102+D103+D105</f>
        <v>15.3498469656297</v>
      </c>
      <c r="E116" s="100" t="n">
        <f aca="false">E102+E103+E105</f>
        <v>279.060067797571</v>
      </c>
      <c r="F116" s="100" t="n">
        <f aca="false">F102+F103+F105</f>
        <v>-66.4125550446124</v>
      </c>
      <c r="G116" s="100" t="n">
        <f aca="false">G102+G103+G105</f>
        <v>-91.9384841701649</v>
      </c>
    </row>
    <row r="117" customFormat="false" ht="15" hidden="false" customHeight="true" outlineLevel="0" collapsed="false">
      <c r="A117" s="88" t="s">
        <v>496</v>
      </c>
      <c r="B117" s="103"/>
      <c r="C117" s="104" t="n">
        <f aca="false">SUM(C113:C116)</f>
        <v>6032.00216096745</v>
      </c>
      <c r="D117" s="104" t="n">
        <f aca="false">SUM(D113:D116)</f>
        <v>6278.55468330631</v>
      </c>
      <c r="E117" s="104" t="n">
        <f aca="false">SUM(E113:E116)</f>
        <v>6552.40667538223</v>
      </c>
      <c r="F117" s="104" t="n">
        <f aca="false">SUM(F113:F116)</f>
        <v>6294.0626240515</v>
      </c>
      <c r="G117" s="104" t="n">
        <f aca="false">SUM(G113:G116)</f>
        <v>6405.89773459684</v>
      </c>
    </row>
    <row r="118" customFormat="false" ht="15" hidden="false" customHeight="true" outlineLevel="0" collapsed="false">
      <c r="A118" s="89" t="s">
        <v>238</v>
      </c>
      <c r="B118" s="105"/>
      <c r="C118" s="106" t="n">
        <v>1</v>
      </c>
      <c r="D118" s="106" t="n">
        <f aca="false">C118+1</f>
        <v>2</v>
      </c>
      <c r="E118" s="106" t="n">
        <f aca="false">D118+1</f>
        <v>3</v>
      </c>
      <c r="F118" s="106" t="n">
        <f aca="false">E118+1</f>
        <v>4</v>
      </c>
      <c r="G118" s="106" t="n">
        <f aca="false">F118+1</f>
        <v>5</v>
      </c>
    </row>
    <row r="119" customFormat="false" ht="15" hidden="false" customHeight="true" outlineLevel="0" collapsed="false">
      <c r="A119" s="89" t="s">
        <v>246</v>
      </c>
      <c r="B119" s="105"/>
      <c r="C119" s="107" t="n">
        <f aca="false">1/(1+$B$126)^C118</f>
        <v>0.898108615465443</v>
      </c>
      <c r="D119" s="107" t="n">
        <f aca="false">1/(1+$B$126)^D118</f>
        <v>0.806599085173256</v>
      </c>
      <c r="E119" s="107" t="n">
        <f aca="false">1/(1+$B$126)^E118</f>
        <v>0.724413587620646</v>
      </c>
      <c r="F119" s="107" t="n">
        <f aca="false">1/(1+$B$126)^F118</f>
        <v>0.650602084202333</v>
      </c>
      <c r="G119" s="107" t="n">
        <f aca="false">1/(1+$B$126)^G118</f>
        <v>0.584311337061889</v>
      </c>
    </row>
    <row r="120" customFormat="false" ht="15" hidden="false" customHeight="true" outlineLevel="0" collapsed="false">
      <c r="A120" s="89" t="s">
        <v>247</v>
      </c>
      <c r="B120" s="105"/>
      <c r="C120" s="100" t="n">
        <f aca="false">C117*C119</f>
        <v>5417.39310927104</v>
      </c>
      <c r="D120" s="100" t="n">
        <f aca="false">D117*D119</f>
        <v>5064.27646376513</v>
      </c>
      <c r="E120" s="100" t="n">
        <f aca="false">E117*E119</f>
        <v>4746.65242726312</v>
      </c>
      <c r="F120" s="100" t="n">
        <f aca="false">F117*F119</f>
        <v>4094.93026130791</v>
      </c>
      <c r="G120" s="100" t="n">
        <f aca="false">G117*G119</f>
        <v>3743.03867038401</v>
      </c>
    </row>
    <row r="121" customFormat="false" ht="15" hidden="false" customHeight="true" outlineLevel="0" collapsed="false">
      <c r="A121" s="101"/>
      <c r="B121" s="101"/>
      <c r="C121" s="101"/>
      <c r="D121" s="101"/>
      <c r="E121" s="101"/>
      <c r="F121" s="101"/>
      <c r="G121" s="101"/>
    </row>
    <row r="122" customFormat="false" ht="15" hidden="false" customHeight="true" outlineLevel="0" collapsed="false">
      <c r="A122" s="88" t="s">
        <v>497</v>
      </c>
      <c r="B122" s="103" t="s">
        <v>78</v>
      </c>
      <c r="C122" s="103"/>
      <c r="D122" s="103"/>
      <c r="E122" s="103"/>
      <c r="F122" s="103"/>
      <c r="G122" s="103"/>
    </row>
    <row r="123" customFormat="false" ht="15" hidden="false" customHeight="true" outlineLevel="0" collapsed="false">
      <c r="A123" s="89" t="s">
        <v>6</v>
      </c>
      <c r="B123" s="99" t="n">
        <v>0.035</v>
      </c>
      <c r="C123" s="105"/>
      <c r="D123" s="105"/>
      <c r="E123" s="105"/>
      <c r="F123" s="105"/>
      <c r="G123" s="105"/>
    </row>
    <row r="124" customFormat="false" ht="15" hidden="false" customHeight="true" outlineLevel="0" collapsed="false">
      <c r="A124" s="89" t="s">
        <v>498</v>
      </c>
      <c r="B124" s="99" t="n">
        <f aca="false">B220</f>
        <v>0.113451071262412</v>
      </c>
      <c r="C124" s="105"/>
      <c r="D124" s="105"/>
      <c r="E124" s="105"/>
      <c r="F124" s="105"/>
      <c r="G124" s="105"/>
    </row>
    <row r="125" customFormat="false" ht="15" hidden="false" customHeight="true" outlineLevel="0" collapsed="false">
      <c r="A125" s="89" t="s">
        <v>499</v>
      </c>
      <c r="B125" s="99" t="n">
        <v>0</v>
      </c>
      <c r="C125" s="105"/>
      <c r="D125" s="105"/>
      <c r="E125" s="105"/>
      <c r="F125" s="105"/>
      <c r="G125" s="105"/>
    </row>
    <row r="126" customFormat="false" ht="15" hidden="false" customHeight="true" outlineLevel="0" collapsed="false">
      <c r="A126" s="89" t="s">
        <v>500</v>
      </c>
      <c r="B126" s="99" t="n">
        <f aca="false">B124+B125</f>
        <v>0.113451071262412</v>
      </c>
      <c r="C126" s="105"/>
      <c r="D126" s="105"/>
      <c r="E126" s="105"/>
      <c r="F126" s="105"/>
      <c r="G126" s="105"/>
    </row>
    <row r="127" customFormat="false" ht="15" hidden="false" customHeight="true" outlineLevel="0" collapsed="false">
      <c r="A127" s="89" t="s">
        <v>501</v>
      </c>
      <c r="B127" s="100" t="n">
        <f aca="false">G117</f>
        <v>6405.89773459684</v>
      </c>
      <c r="C127" s="105"/>
      <c r="D127" s="105"/>
      <c r="E127" s="105"/>
      <c r="F127" s="105"/>
      <c r="G127" s="105"/>
    </row>
    <row r="128" customFormat="false" ht="15" hidden="false" customHeight="true" outlineLevel="0" collapsed="false">
      <c r="A128" s="89" t="s">
        <v>502</v>
      </c>
      <c r="B128" s="100" t="n">
        <f aca="false">B127*(1+B123)</f>
        <v>6630.10415530773</v>
      </c>
      <c r="C128" s="105"/>
      <c r="D128" s="105"/>
      <c r="E128" s="105"/>
      <c r="F128" s="105"/>
      <c r="G128" s="105"/>
    </row>
    <row r="129" customFormat="false" ht="15" hidden="false" customHeight="true" outlineLevel="0" collapsed="false">
      <c r="A129" s="88" t="s">
        <v>503</v>
      </c>
      <c r="B129" s="104" t="n">
        <f aca="false">IF(B126&gt;B123,B128/(B126-B123),"REVISAR WACC/g")</f>
        <v>84512.601913753</v>
      </c>
      <c r="C129" s="103"/>
      <c r="D129" s="103"/>
      <c r="E129" s="103"/>
      <c r="F129" s="103"/>
      <c r="G129" s="103"/>
    </row>
    <row r="130" customFormat="false" ht="15" hidden="false" customHeight="true" outlineLevel="0" collapsed="false">
      <c r="A130" s="89" t="s">
        <v>504</v>
      </c>
      <c r="B130" s="107" t="n">
        <f aca="false">G119</f>
        <v>0.584311337061889</v>
      </c>
      <c r="C130" s="105"/>
      <c r="D130" s="105"/>
      <c r="E130" s="105"/>
      <c r="F130" s="105"/>
      <c r="G130" s="105"/>
    </row>
    <row r="131" customFormat="false" ht="15" hidden="false" customHeight="true" outlineLevel="0" collapsed="false">
      <c r="A131" s="89" t="s">
        <v>295</v>
      </c>
      <c r="B131" s="100" t="n">
        <f aca="false">B129*B130</f>
        <v>49381.6714228042</v>
      </c>
      <c r="C131" s="105"/>
      <c r="D131" s="105"/>
      <c r="E131" s="105"/>
      <c r="F131" s="105"/>
      <c r="G131" s="105"/>
    </row>
    <row r="132" customFormat="false" ht="15" hidden="false" customHeight="true" outlineLevel="0" collapsed="false">
      <c r="A132" s="101"/>
      <c r="B132" s="101"/>
      <c r="C132" s="101"/>
      <c r="D132" s="101"/>
      <c r="E132" s="101"/>
      <c r="F132" s="101"/>
      <c r="G132" s="101"/>
    </row>
    <row r="133" customFormat="false" ht="15" hidden="false" customHeight="true" outlineLevel="0" collapsed="false">
      <c r="A133" s="88" t="s">
        <v>505</v>
      </c>
      <c r="B133" s="103" t="s">
        <v>78</v>
      </c>
      <c r="C133" s="103"/>
      <c r="D133" s="103"/>
      <c r="E133" s="103"/>
      <c r="F133" s="103"/>
      <c r="G133" s="103"/>
    </row>
    <row r="134" customFormat="false" ht="15" hidden="false" customHeight="true" outlineLevel="0" collapsed="false">
      <c r="A134" s="89" t="s">
        <v>506</v>
      </c>
      <c r="B134" s="100" t="n">
        <f aca="false">SUM(C120:G120)</f>
        <v>23066.2909319912</v>
      </c>
      <c r="C134" s="105"/>
      <c r="D134" s="105"/>
      <c r="E134" s="105"/>
      <c r="F134" s="105"/>
      <c r="G134" s="105"/>
    </row>
    <row r="135" customFormat="false" ht="15" hidden="false" customHeight="true" outlineLevel="0" collapsed="false">
      <c r="A135" s="89" t="s">
        <v>507</v>
      </c>
      <c r="B135" s="100" t="n">
        <f aca="false">B131</f>
        <v>49381.6714228042</v>
      </c>
      <c r="C135" s="105"/>
      <c r="D135" s="105"/>
      <c r="E135" s="105"/>
      <c r="F135" s="105"/>
      <c r="G135" s="105"/>
    </row>
    <row r="136" customFormat="false" ht="15" hidden="false" customHeight="true" outlineLevel="0" collapsed="false">
      <c r="A136" s="88" t="s">
        <v>508</v>
      </c>
      <c r="B136" s="104" t="n">
        <f aca="false">B134+B135</f>
        <v>72447.9623547954</v>
      </c>
      <c r="C136" s="103"/>
      <c r="D136" s="103"/>
      <c r="E136" s="103"/>
      <c r="F136" s="103"/>
      <c r="G136" s="103"/>
    </row>
    <row r="137" customFormat="false" ht="15" hidden="false" customHeight="true" outlineLevel="0" collapsed="false">
      <c r="A137" s="89" t="s">
        <v>258</v>
      </c>
      <c r="B137" s="98" t="n">
        <f aca="false">B135/B136</f>
        <v>0.681615739321557</v>
      </c>
      <c r="C137" s="105"/>
      <c r="D137" s="105"/>
      <c r="E137" s="105"/>
      <c r="F137" s="105"/>
      <c r="G137" s="105"/>
    </row>
    <row r="138" customFormat="false" ht="15" hidden="false" customHeight="true" outlineLevel="0" collapsed="false">
      <c r="A138" s="101"/>
      <c r="B138" s="101"/>
      <c r="C138" s="101"/>
      <c r="D138" s="101"/>
      <c r="E138" s="101"/>
      <c r="F138" s="101"/>
      <c r="G138" s="101"/>
    </row>
    <row r="139" customFormat="false" ht="15" hidden="false" customHeight="true" outlineLevel="0" collapsed="false">
      <c r="A139" s="88" t="s">
        <v>509</v>
      </c>
      <c r="B139" s="103" t="s">
        <v>78</v>
      </c>
      <c r="C139" s="103"/>
      <c r="D139" s="103"/>
      <c r="E139" s="103"/>
      <c r="F139" s="103"/>
      <c r="G139" s="103"/>
    </row>
    <row r="140" customFormat="false" ht="15" hidden="false" customHeight="true" outlineLevel="0" collapsed="false">
      <c r="A140" s="89" t="s">
        <v>508</v>
      </c>
      <c r="B140" s="100" t="n">
        <f aca="false">B136</f>
        <v>72447.9623547954</v>
      </c>
      <c r="C140" s="105"/>
      <c r="D140" s="105"/>
      <c r="E140" s="105"/>
      <c r="F140" s="105"/>
      <c r="G140" s="105"/>
    </row>
    <row r="141" customFormat="false" ht="15" hidden="false" customHeight="true" outlineLevel="0" collapsed="false">
      <c r="A141" s="89" t="s">
        <v>299</v>
      </c>
      <c r="B141" s="100" t="n">
        <f aca="false">-B91</f>
        <v>-11500</v>
      </c>
      <c r="C141" s="105"/>
      <c r="D141" s="105"/>
      <c r="E141" s="105"/>
      <c r="F141" s="105"/>
      <c r="G141" s="105"/>
    </row>
    <row r="142" customFormat="false" ht="15" hidden="false" customHeight="true" outlineLevel="0" collapsed="false">
      <c r="A142" s="89" t="s">
        <v>300</v>
      </c>
      <c r="B142" s="100" t="n">
        <f aca="false">-B92</f>
        <v>-12118</v>
      </c>
      <c r="C142" s="105"/>
      <c r="D142" s="105"/>
      <c r="E142" s="105"/>
      <c r="F142" s="105"/>
      <c r="G142" s="105"/>
    </row>
    <row r="143" customFormat="false" ht="15" hidden="false" customHeight="true" outlineLevel="0" collapsed="false">
      <c r="A143" s="89" t="s">
        <v>301</v>
      </c>
      <c r="B143" s="100" t="n">
        <f aca="false">B84</f>
        <v>9295</v>
      </c>
      <c r="C143" s="105"/>
      <c r="D143" s="105"/>
      <c r="E143" s="105"/>
      <c r="F143" s="105"/>
      <c r="G143" s="105"/>
    </row>
    <row r="144" customFormat="false" ht="15" hidden="false" customHeight="true" outlineLevel="0" collapsed="false">
      <c r="A144" s="89" t="s">
        <v>510</v>
      </c>
      <c r="B144" s="100" t="n">
        <f aca="false">-(B141+B142+B143)</f>
        <v>14323</v>
      </c>
      <c r="C144" s="105"/>
      <c r="D144" s="105"/>
      <c r="E144" s="105"/>
      <c r="F144" s="105"/>
      <c r="G144" s="105"/>
    </row>
    <row r="145" customFormat="false" ht="15" hidden="false" customHeight="true" outlineLevel="0" collapsed="false">
      <c r="A145" s="88" t="s">
        <v>511</v>
      </c>
      <c r="B145" s="104" t="n">
        <f aca="false">SUM(B140:B143)</f>
        <v>58124.9623547954</v>
      </c>
      <c r="C145" s="103"/>
      <c r="D145" s="103"/>
      <c r="E145" s="103"/>
      <c r="F145" s="103"/>
      <c r="G145" s="103"/>
    </row>
    <row r="146" customFormat="false" ht="15" hidden="false" customHeight="true" outlineLevel="0" collapsed="false">
      <c r="A146" s="101"/>
      <c r="B146" s="101"/>
      <c r="C146" s="101"/>
      <c r="D146" s="101"/>
      <c r="E146" s="101"/>
      <c r="F146" s="101"/>
      <c r="G146" s="101"/>
    </row>
    <row r="147" customFormat="false" ht="15" hidden="false" customHeight="true" outlineLevel="0" collapsed="false">
      <c r="A147" s="88" t="s">
        <v>512</v>
      </c>
      <c r="B147" s="103" t="s">
        <v>78</v>
      </c>
      <c r="C147" s="103"/>
      <c r="D147" s="103"/>
      <c r="E147" s="103"/>
      <c r="F147" s="103"/>
      <c r="G147" s="103"/>
    </row>
    <row r="148" customFormat="false" ht="15" hidden="false" customHeight="true" outlineLevel="0" collapsed="false">
      <c r="A148" s="89" t="s">
        <v>513</v>
      </c>
      <c r="B148" s="100" t="n">
        <f aca="false">B145</f>
        <v>58124.9623547954</v>
      </c>
      <c r="C148" s="105"/>
      <c r="D148" s="105"/>
      <c r="E148" s="105"/>
      <c r="F148" s="105"/>
      <c r="G148" s="105"/>
    </row>
    <row r="149" customFormat="false" ht="15" hidden="false" customHeight="true" outlineLevel="0" collapsed="false">
      <c r="A149" s="89" t="s">
        <v>57</v>
      </c>
      <c r="B149" s="108" t="n">
        <f aca="false">Valuación!B40</f>
        <v>1800</v>
      </c>
      <c r="C149" s="105"/>
      <c r="D149" s="105"/>
      <c r="E149" s="105"/>
      <c r="F149" s="105"/>
      <c r="G149" s="105"/>
    </row>
    <row r="150" customFormat="false" ht="15" hidden="false" customHeight="true" outlineLevel="0" collapsed="false">
      <c r="A150" s="88" t="s">
        <v>514</v>
      </c>
      <c r="B150" s="109" t="n">
        <f aca="false">B148/B149</f>
        <v>32.2916457526641</v>
      </c>
      <c r="C150" s="103"/>
      <c r="D150" s="103"/>
      <c r="E150" s="103"/>
      <c r="F150" s="103"/>
      <c r="G150" s="103"/>
    </row>
    <row r="151" customFormat="false" ht="15" hidden="false" customHeight="true" outlineLevel="0" collapsed="false">
      <c r="A151" s="89" t="s">
        <v>16</v>
      </c>
      <c r="B151" s="110" t="n">
        <f aca="false">Valuación!B42</f>
        <v>33.48</v>
      </c>
      <c r="C151" s="105"/>
      <c r="D151" s="105"/>
      <c r="E151" s="105"/>
      <c r="F151" s="105"/>
      <c r="G151" s="105"/>
    </row>
    <row r="152" customFormat="false" ht="15" hidden="false" customHeight="true" outlineLevel="0" collapsed="false">
      <c r="A152" s="89" t="s">
        <v>17</v>
      </c>
      <c r="B152" s="98" t="n">
        <f aca="false">B150/B151-1</f>
        <v>-0.0354944518320157</v>
      </c>
      <c r="C152" s="105"/>
      <c r="D152" s="105"/>
      <c r="E152" s="105"/>
      <c r="F152" s="105"/>
      <c r="G152" s="105"/>
    </row>
    <row r="153" customFormat="false" ht="15" hidden="false" customHeight="true" outlineLevel="0" collapsed="false">
      <c r="A153" s="89" t="s">
        <v>515</v>
      </c>
      <c r="B153" s="110" t="n">
        <f aca="false">'Proyección Soriana'!B85</f>
        <v>37.3596430809461</v>
      </c>
      <c r="C153" s="105"/>
      <c r="D153" s="105"/>
      <c r="E153" s="105"/>
      <c r="F153" s="105"/>
      <c r="G153" s="105"/>
    </row>
    <row r="154" customFormat="false" ht="15" hidden="false" customHeight="true" outlineLevel="0" collapsed="false">
      <c r="A154" s="89" t="s">
        <v>516</v>
      </c>
      <c r="B154" s="98" t="n">
        <f aca="false">B150/B153-1</f>
        <v>-0.135654329386962</v>
      </c>
      <c r="C154" s="105"/>
      <c r="D154" s="105"/>
      <c r="E154" s="105"/>
      <c r="F154" s="105"/>
      <c r="G154" s="105"/>
    </row>
    <row r="155" customFormat="false" ht="15" hidden="false" customHeight="true" outlineLevel="0" collapsed="false">
      <c r="A155" s="89" t="s">
        <v>517</v>
      </c>
      <c r="B155" s="98" t="n">
        <v>0.15</v>
      </c>
      <c r="C155" s="105"/>
      <c r="D155" s="105"/>
      <c r="E155" s="105"/>
      <c r="F155" s="105"/>
      <c r="G155" s="105"/>
    </row>
    <row r="156" customFormat="false" ht="15" hidden="false" customHeight="true" outlineLevel="0" collapsed="false">
      <c r="A156" s="88" t="s">
        <v>518</v>
      </c>
      <c r="B156" s="103" t="str">
        <f aca="false">IF(B152&gt;B155,"COMPRAR",IF(B152&lt;-B155,"VENDER","MANTENER"))</f>
        <v>MANTENER</v>
      </c>
      <c r="C156" s="103"/>
      <c r="D156" s="103"/>
      <c r="E156" s="103"/>
      <c r="F156" s="103"/>
      <c r="G156" s="103"/>
    </row>
    <row r="157" customFormat="false" ht="15" hidden="false" customHeight="true" outlineLevel="0" collapsed="false">
      <c r="A157" s="89" t="s">
        <v>519</v>
      </c>
      <c r="B157" s="105" t="str">
        <f aca="false" t="array" ref="B157:B157">IF(SUMPRODUCT(ABS(B97:G97))&lt;1,"PASS","FAIL")</f>
        <v>PASS</v>
      </c>
      <c r="C157" s="105"/>
      <c r="D157" s="105"/>
      <c r="E157" s="105"/>
      <c r="F157" s="105"/>
      <c r="G157" s="105"/>
    </row>
    <row r="158" customFormat="false" ht="15" hidden="false" customHeight="true" outlineLevel="0" collapsed="false">
      <c r="A158" s="89" t="s">
        <v>520</v>
      </c>
      <c r="B158" s="105" t="str">
        <f aca="false">IF(B126&gt;B123,"PASS","FAIL")</f>
        <v>PASS</v>
      </c>
      <c r="C158" s="105"/>
      <c r="D158" s="105"/>
      <c r="E158" s="105"/>
      <c r="F158" s="105"/>
      <c r="G158" s="105"/>
    </row>
    <row r="159" customFormat="false" ht="15" hidden="false" customHeight="true" outlineLevel="0" collapsed="false">
      <c r="A159" s="101"/>
      <c r="B159" s="101"/>
      <c r="C159" s="101"/>
      <c r="D159" s="101"/>
      <c r="E159" s="101"/>
      <c r="F159" s="101"/>
      <c r="G159" s="101"/>
    </row>
    <row r="160" customFormat="false" ht="15" hidden="false" customHeight="true" outlineLevel="0" collapsed="false">
      <c r="A160" s="88" t="s">
        <v>521</v>
      </c>
      <c r="B160" s="103"/>
      <c r="C160" s="103"/>
      <c r="D160" s="103"/>
      <c r="E160" s="103"/>
      <c r="F160" s="103"/>
      <c r="G160" s="103"/>
    </row>
    <row r="161" customFormat="false" ht="15" hidden="false" customHeight="true" outlineLevel="0" collapsed="false">
      <c r="A161" s="89" t="s">
        <v>522</v>
      </c>
      <c r="B161" s="99" t="n">
        <v>0.005</v>
      </c>
      <c r="C161" s="105"/>
      <c r="D161" s="105"/>
      <c r="E161" s="105"/>
      <c r="F161" s="105"/>
      <c r="G161" s="105"/>
    </row>
    <row r="162" customFormat="false" ht="15" hidden="false" customHeight="true" outlineLevel="0" collapsed="false">
      <c r="A162" s="88" t="s">
        <v>523</v>
      </c>
      <c r="B162" s="111" t="n">
        <f aca="false">$B$123-2*$B$161</f>
        <v>0.025</v>
      </c>
      <c r="C162" s="111" t="n">
        <f aca="false">B162+$B$161</f>
        <v>0.03</v>
      </c>
      <c r="D162" s="111" t="n">
        <f aca="false">C162+$B$161</f>
        <v>0.035</v>
      </c>
      <c r="E162" s="111" t="n">
        <f aca="false">D162+$B$161</f>
        <v>0.04</v>
      </c>
      <c r="F162" s="111" t="n">
        <f aca="false">E162+$B$161</f>
        <v>0.045</v>
      </c>
      <c r="G162" s="103"/>
    </row>
    <row r="163" customFormat="false" ht="15" hidden="false" customHeight="true" outlineLevel="0" collapsed="false">
      <c r="A163" s="111" t="n">
        <f aca="false">$B$126-2*$B$161</f>
        <v>0.103451071262412</v>
      </c>
      <c r="B163" s="110" t="n">
        <f aca="false" t="array" ref="B163:B163">(SUMPRODUCT($C$117:$G$117,1/(1+$A163)^$C$118:$G$118)+$G$117*(1+B$162)/($A163-B$162)/(1+$A163)^$G$118+$B$141+$B$142+$B$143)/$B$149</f>
        <v>33.6105883343644</v>
      </c>
      <c r="C163" s="110" t="n">
        <f aca="false" t="array" ref="C163:C163">(SUMPRODUCT($C$117:$G$117,1/(1+$A163)^$C$118:$G$118)+$G$117*(1+C$162)/($A163-C$162)/(1+$A163)^$G$118+$B$141+$B$142+$B$143)/$B$149</f>
        <v>35.6934871131325</v>
      </c>
      <c r="D163" s="110" t="n">
        <f aca="false" t="array" ref="D163:D163">(SUMPRODUCT($C$117:$G$117,1/(1+$A163)^$C$118:$G$118)+$G$117*(1+D$162)/($A163-D$162)/(1+$A163)^$G$118+$B$141+$B$142+$B$143)/$B$149</f>
        <v>38.0806760571755</v>
      </c>
      <c r="E163" s="110" t="n">
        <f aca="false" t="array" ref="E163:E163">(SUMPRODUCT($C$117:$G$117,1/(1+$A163)^$C$118:$G$118)+$G$117*(1+E$162)/($A163-E$162)/(1+$A163)^$G$118+$B$141+$B$142+$B$143)/$B$149</f>
        <v>40.8440901612588</v>
      </c>
      <c r="F163" s="110" t="n">
        <f aca="false" t="array" ref="F163:F163">(SUMPRODUCT($C$117:$G$117,1/(1+$A163)^$C$118:$G$118)+$G$117*(1+F$162)/($A163-F$162)/(1+$A163)^$G$118+$B$141+$B$142+$B$143)/$B$149</f>
        <v>44.0802781674109</v>
      </c>
      <c r="G163" s="105"/>
    </row>
    <row r="164" customFormat="false" ht="15" hidden="false" customHeight="true" outlineLevel="0" collapsed="false">
      <c r="A164" s="111" t="n">
        <f aca="false">A163+$B$161</f>
        <v>0.108451071262412</v>
      </c>
      <c r="B164" s="110" t="n">
        <f aca="false" t="array" ref="B164:B164">(SUMPRODUCT($C$117:$G$117,1/(1+$A164)^$C$118:$G$118)+$G$117*(1+B$162)/($A164-B$162)/(1+$A164)^$G$118+$B$141+$B$142+$B$143)/$B$149</f>
        <v>31.143521731188</v>
      </c>
      <c r="C164" s="110" t="n">
        <f aca="false" t="array" ref="C164:C164">(SUMPRODUCT($C$117:$G$117,1/(1+$A164)^$C$118:$G$118)+$G$117*(1+C$162)/($A164-C$162)/(1+$A164)^$G$118+$B$141+$B$142+$B$143)/$B$149</f>
        <v>32.9439697871349</v>
      </c>
      <c r="D164" s="110" t="n">
        <f aca="false" t="array" ref="D164:D164">(SUMPRODUCT($C$117:$G$117,1/(1+$A164)^$C$118:$G$118)+$G$117*(1+D$162)/($A164-D$162)/(1+$A164)^$G$118+$B$141+$B$142+$B$143)/$B$149</f>
        <v>34.9895399393294</v>
      </c>
      <c r="E164" s="110" t="n">
        <f aca="false" t="array" ref="E164:E164">(SUMPRODUCT($C$117:$G$117,1/(1+$A164)^$C$118:$G$118)+$G$117*(1+E$162)/($A164-E$162)/(1+$A164)^$G$118+$B$141+$B$142+$B$143)/$B$149</f>
        <v>37.3339469270136</v>
      </c>
      <c r="F164" s="110" t="n">
        <f aca="false" t="array" ref="F164:F164">(SUMPRODUCT($C$117:$G$117,1/(1+$A164)^$C$118:$G$118)+$G$117*(1+F$162)/($A164-F$162)/(1+$A164)^$G$118+$B$141+$B$142+$B$143)/$B$149</f>
        <v>40.04783656346</v>
      </c>
      <c r="G164" s="105"/>
    </row>
    <row r="165" customFormat="false" ht="15" hidden="false" customHeight="true" outlineLevel="0" collapsed="false">
      <c r="A165" s="111" t="n">
        <f aca="false">A164+$B$161</f>
        <v>0.113451071262412</v>
      </c>
      <c r="B165" s="110" t="n">
        <f aca="false" t="array" ref="B165:B165">(SUMPRODUCT($C$117:$G$117,1/(1+$A165)^$C$118:$G$118)+$G$117*(1+B$162)/($A165-B$162)/(1+$A165)^$G$118+$B$141+$B$142+$B$143)/$B$149</f>
        <v>28.9549164843448</v>
      </c>
      <c r="C165" s="110" t="n">
        <f aca="false" t="array" ref="C165:C165">(SUMPRODUCT($C$117:$G$117,1/(1+$A165)^$C$118:$G$118)+$G$117*(1+C$162)/($A165-C$162)/(1+$A165)^$G$118+$B$141+$B$142+$B$143)/$B$149</f>
        <v>30.5233204703713</v>
      </c>
      <c r="D165" s="112" t="n">
        <f aca="false" t="array" ref="D165:D165">(SUMPRODUCT($C$117:$G$117,1/(1+$A165)^$C$118:$G$118)+$G$117*(1+D$162)/($A165-D$162)/(1+$A165)^$G$118+$B$141+$B$142+$B$143)/$B$149</f>
        <v>32.2916457526641</v>
      </c>
      <c r="E165" s="110" t="n">
        <f aca="false" t="array" ref="E165:E165">(SUMPRODUCT($C$117:$G$117,1/(1+$A165)^$C$118:$G$118)+$G$117*(1+E$162)/($A165-E$162)/(1+$A165)^$G$118+$B$141+$B$142+$B$143)/$B$149</f>
        <v>34.3007197744784</v>
      </c>
      <c r="F165" s="110" t="n">
        <f aca="false" t="array" ref="F165:F165">(SUMPRODUCT($C$117:$G$117,1/(1+$A165)^$C$118:$G$118)+$G$117*(1+F$162)/($A165-F$162)/(1+$A165)^$G$118+$B$141+$B$142+$B$143)/$B$149</f>
        <v>36.6032989211596</v>
      </c>
      <c r="G165" s="105"/>
    </row>
    <row r="166" customFormat="false" ht="15" hidden="false" customHeight="true" outlineLevel="0" collapsed="false">
      <c r="A166" s="111" t="n">
        <f aca="false">A165+$B$161</f>
        <v>0.118451071262412</v>
      </c>
      <c r="B166" s="110" t="n">
        <f aca="false" t="array" ref="B166:B166">(SUMPRODUCT($C$117:$G$117,1/(1+$A166)^$C$118:$G$118)+$G$117*(1+B$162)/($A166-B$162)/(1+$A166)^$G$118+$B$141+$B$142+$B$143)/$B$149</f>
        <v>27.0000867033454</v>
      </c>
      <c r="C166" s="110" t="n">
        <f aca="false" t="array" ref="C166:C166">(SUMPRODUCT($C$117:$G$117,1/(1+$A166)^$C$118:$G$118)+$G$117*(1+C$162)/($A166-C$162)/(1+$A166)^$G$118+$B$141+$B$142+$B$143)/$B$149</f>
        <v>28.3757817062717</v>
      </c>
      <c r="D166" s="110" t="n">
        <f aca="false" t="array" ref="D166:D166">(SUMPRODUCT($C$117:$G$117,1/(1+$A166)^$C$118:$G$118)+$G$117*(1+D$162)/($A166-D$162)/(1+$A166)^$G$118+$B$141+$B$142+$B$143)/$B$149</f>
        <v>29.9163271996848</v>
      </c>
      <c r="E166" s="110" t="n">
        <f aca="false" t="array" ref="E166:E166">(SUMPRODUCT($C$117:$G$117,1/(1+$A166)^$C$118:$G$118)+$G$117*(1+E$162)/($A166-E$162)/(1+$A166)^$G$118+$B$141+$B$142+$B$143)/$B$149</f>
        <v>31.6532429234369</v>
      </c>
      <c r="F166" s="110" t="n">
        <f aca="false" t="array" ref="F166:F166">(SUMPRODUCT($C$117:$G$117,1/(1+$A166)^$C$118:$G$118)+$G$117*(1+F$162)/($A166-F$162)/(1+$A166)^$G$118+$B$141+$B$142+$B$143)/$B$149</f>
        <v>33.6266311306938</v>
      </c>
      <c r="G166" s="105"/>
    </row>
    <row r="167" customFormat="false" ht="15" hidden="false" customHeight="true" outlineLevel="0" collapsed="false">
      <c r="A167" s="111" t="n">
        <f aca="false">A166+$B$161</f>
        <v>0.123451071262412</v>
      </c>
      <c r="B167" s="110" t="n">
        <f aca="false" t="array" ref="B167:B167">(SUMPRODUCT($C$117:$G$117,1/(1+$A167)^$C$118:$G$118)+$G$117*(1+B$162)/($A167-B$162)/(1+$A167)^$G$118+$B$141+$B$142+$B$143)/$B$149</f>
        <v>25.2434240051874</v>
      </c>
      <c r="C167" s="110" t="n">
        <f aca="false" t="array" ref="C167:C167">(SUMPRODUCT($C$117:$G$117,1/(1+$A167)^$C$118:$G$118)+$G$117*(1+C$162)/($A167-C$162)/(1+$A167)^$G$118+$B$141+$B$142+$B$143)/$B$149</f>
        <v>26.4575286463462</v>
      </c>
      <c r="D167" s="110" t="n">
        <f aca="false" t="array" ref="D167:D167">(SUMPRODUCT($C$117:$G$117,1/(1+$A167)^$C$118:$G$118)+$G$117*(1+D$162)/($A167-D$162)/(1+$A167)^$G$118+$B$141+$B$142+$B$143)/$B$149</f>
        <v>27.8088961407221</v>
      </c>
      <c r="E167" s="110" t="n">
        <f aca="false" t="array" ref="E167:E167">(SUMPRODUCT($C$117:$G$117,1/(1+$A167)^$C$118:$G$118)+$G$117*(1+E$162)/($A167-E$162)/(1+$A167)^$G$118+$B$141+$B$142+$B$143)/$B$149</f>
        <v>29.3221989432892</v>
      </c>
      <c r="F167" s="110" t="n">
        <f aca="false" t="array" ref="F167:F167">(SUMPRODUCT($C$117:$G$117,1/(1+$A167)^$C$118:$G$118)+$G$117*(1+F$162)/($A167-F$162)/(1+$A167)^$G$118+$B$141+$B$142+$B$143)/$B$149</f>
        <v>31.0283994052782</v>
      </c>
      <c r="G167" s="105"/>
    </row>
    <row r="168" customFormat="false" ht="15" hidden="false" customHeight="true" outlineLevel="0" collapsed="false">
      <c r="A168" s="105" t="s">
        <v>524</v>
      </c>
      <c r="B168" s="113" t="n">
        <f aca="false">D165-B150</f>
        <v>0</v>
      </c>
      <c r="C168" s="105"/>
      <c r="D168" s="105"/>
      <c r="E168" s="105"/>
      <c r="F168" s="105"/>
      <c r="G168" s="105"/>
    </row>
    <row r="169" customFormat="false" ht="15" hidden="false" customHeight="true" outlineLevel="0" collapsed="false">
      <c r="A169" s="101"/>
      <c r="B169" s="101"/>
      <c r="C169" s="101"/>
      <c r="D169" s="101"/>
      <c r="E169" s="101"/>
      <c r="F169" s="101"/>
      <c r="G169" s="101"/>
    </row>
    <row r="170" customFormat="false" ht="15" hidden="false" customHeight="true" outlineLevel="0" collapsed="false">
      <c r="A170" s="88" t="s">
        <v>525</v>
      </c>
      <c r="B170" s="88" t="s">
        <v>357</v>
      </c>
      <c r="C170" s="88" t="s">
        <v>526</v>
      </c>
      <c r="D170" s="88" t="s">
        <v>527</v>
      </c>
      <c r="E170" s="88" t="s">
        <v>528</v>
      </c>
      <c r="F170" s="88" t="s">
        <v>529</v>
      </c>
      <c r="G170" s="88" t="s">
        <v>530</v>
      </c>
    </row>
    <row r="171" customFormat="false" ht="15" hidden="false" customHeight="false" outlineLevel="0" collapsed="false">
      <c r="A171" s="89" t="s">
        <v>531</v>
      </c>
      <c r="B171" s="89" t="s">
        <v>365</v>
      </c>
      <c r="C171" s="89" t="n">
        <v>4</v>
      </c>
      <c r="D171" s="89" t="s">
        <v>532</v>
      </c>
      <c r="E171" s="89" t="s">
        <v>533</v>
      </c>
      <c r="F171" s="89" t="s">
        <v>239</v>
      </c>
      <c r="G171" s="89" t="n">
        <v>11</v>
      </c>
    </row>
    <row r="172" customFormat="false" ht="15" hidden="false" customHeight="false" outlineLevel="0" collapsed="false">
      <c r="A172" s="89" t="s">
        <v>534</v>
      </c>
      <c r="B172" s="89" t="s">
        <v>389</v>
      </c>
      <c r="C172" s="89" t="n">
        <v>3</v>
      </c>
      <c r="D172" s="89" t="s">
        <v>532</v>
      </c>
      <c r="E172" s="89" t="s">
        <v>533</v>
      </c>
      <c r="F172" s="89" t="s">
        <v>369</v>
      </c>
      <c r="G172" s="89" t="n">
        <v>10</v>
      </c>
    </row>
    <row r="173" customFormat="false" ht="15" hidden="false" customHeight="false" outlineLevel="0" collapsed="false">
      <c r="A173" s="89" t="s">
        <v>535</v>
      </c>
      <c r="B173" s="89" t="s">
        <v>380</v>
      </c>
      <c r="C173" s="89" t="n">
        <v>5</v>
      </c>
      <c r="D173" s="89" t="s">
        <v>532</v>
      </c>
      <c r="E173" s="89" t="s">
        <v>536</v>
      </c>
      <c r="F173" s="89" t="s">
        <v>239</v>
      </c>
      <c r="G173" s="89" t="n">
        <v>13</v>
      </c>
    </row>
    <row r="174" customFormat="false" ht="15" hidden="false" customHeight="false" outlineLevel="0" collapsed="false">
      <c r="A174" s="89" t="s">
        <v>537</v>
      </c>
      <c r="B174" s="89" t="s">
        <v>365</v>
      </c>
      <c r="C174" s="89" t="n">
        <v>3</v>
      </c>
      <c r="D174" s="89" t="s">
        <v>538</v>
      </c>
      <c r="E174" s="89" t="s">
        <v>533</v>
      </c>
      <c r="F174" s="89" t="s">
        <v>239</v>
      </c>
      <c r="G174" s="89" t="n">
        <v>13</v>
      </c>
    </row>
    <row r="175" customFormat="false" ht="15" hidden="false" customHeight="false" outlineLevel="0" collapsed="false">
      <c r="A175" s="89" t="s">
        <v>539</v>
      </c>
      <c r="B175" s="89" t="s">
        <v>380</v>
      </c>
      <c r="C175" s="89" t="n">
        <v>3</v>
      </c>
      <c r="D175" s="89" t="s">
        <v>538</v>
      </c>
      <c r="E175" s="89" t="s">
        <v>536</v>
      </c>
      <c r="F175" s="89" t="s">
        <v>239</v>
      </c>
      <c r="G175" s="89" t="n">
        <v>17</v>
      </c>
    </row>
    <row r="176" customFormat="false" ht="15" hidden="false" customHeight="false" outlineLevel="0" collapsed="false">
      <c r="A176" s="89" t="s">
        <v>540</v>
      </c>
      <c r="B176" s="89" t="s">
        <v>380</v>
      </c>
      <c r="C176" s="89" t="n">
        <v>3</v>
      </c>
      <c r="D176" s="89" t="s">
        <v>532</v>
      </c>
      <c r="E176" s="89" t="s">
        <v>533</v>
      </c>
      <c r="F176" s="89" t="s">
        <v>541</v>
      </c>
      <c r="G176" s="89" t="s">
        <v>542</v>
      </c>
    </row>
    <row r="177" customFormat="false" ht="15" hidden="false" customHeight="false" outlineLevel="0" collapsed="false">
      <c r="A177" s="89" t="s">
        <v>543</v>
      </c>
      <c r="B177" s="89" t="s">
        <v>380</v>
      </c>
      <c r="C177" s="89" t="n">
        <v>3</v>
      </c>
      <c r="D177" s="89" t="s">
        <v>532</v>
      </c>
      <c r="E177" s="89" t="s">
        <v>536</v>
      </c>
      <c r="F177" s="89" t="s">
        <v>544</v>
      </c>
      <c r="G177" s="89" t="n">
        <v>125</v>
      </c>
    </row>
    <row r="178" customFormat="false" ht="15" hidden="false" customHeight="false" outlineLevel="0" collapsed="false">
      <c r="A178" s="89" t="s">
        <v>545</v>
      </c>
      <c r="B178" s="89" t="s">
        <v>380</v>
      </c>
      <c r="C178" s="89" t="n">
        <v>3</v>
      </c>
      <c r="D178" s="89" t="s">
        <v>538</v>
      </c>
      <c r="E178" s="89" t="s">
        <v>536</v>
      </c>
      <c r="F178" s="89" t="s">
        <v>379</v>
      </c>
      <c r="G178" s="89" t="n">
        <v>35</v>
      </c>
    </row>
    <row r="179" customFormat="false" ht="15" hidden="false" customHeight="false" outlineLevel="0" collapsed="false">
      <c r="A179" s="89" t="s">
        <v>546</v>
      </c>
      <c r="B179" s="89" t="s">
        <v>380</v>
      </c>
      <c r="C179" s="89" t="n">
        <v>2</v>
      </c>
      <c r="D179" s="89" t="s">
        <v>538</v>
      </c>
      <c r="E179" s="89" t="s">
        <v>547</v>
      </c>
      <c r="F179" s="89" t="s">
        <v>5</v>
      </c>
      <c r="G179" s="89" t="n">
        <v>125</v>
      </c>
    </row>
    <row r="180" customFormat="false" ht="15" hidden="false" customHeight="false" outlineLevel="0" collapsed="false">
      <c r="A180" s="89" t="s">
        <v>548</v>
      </c>
      <c r="B180" s="89" t="s">
        <v>380</v>
      </c>
      <c r="C180" s="89" t="n">
        <v>4</v>
      </c>
      <c r="D180" s="89" t="s">
        <v>532</v>
      </c>
      <c r="E180" s="89" t="s">
        <v>547</v>
      </c>
      <c r="F180" s="89" t="s">
        <v>239</v>
      </c>
      <c r="G180" s="89" t="n">
        <v>18</v>
      </c>
    </row>
    <row r="181" customFormat="false" ht="15" hidden="false" customHeight="false" outlineLevel="0" collapsed="false">
      <c r="A181" s="89" t="s">
        <v>549</v>
      </c>
      <c r="B181" s="89" t="s">
        <v>380</v>
      </c>
      <c r="C181" s="89" t="n">
        <v>3</v>
      </c>
      <c r="D181" s="89" t="s">
        <v>532</v>
      </c>
      <c r="E181" s="89" t="s">
        <v>533</v>
      </c>
      <c r="F181" s="89" t="s">
        <v>239</v>
      </c>
      <c r="G181" s="89" t="n">
        <v>18</v>
      </c>
    </row>
    <row r="182" customFormat="false" ht="15" hidden="false" customHeight="false" outlineLevel="0" collapsed="false">
      <c r="A182" s="89" t="s">
        <v>550</v>
      </c>
      <c r="B182" s="89" t="s">
        <v>380</v>
      </c>
      <c r="C182" s="89" t="n">
        <v>2</v>
      </c>
      <c r="D182" s="89" t="s">
        <v>532</v>
      </c>
      <c r="E182" s="89" t="s">
        <v>536</v>
      </c>
      <c r="F182" s="89" t="s">
        <v>379</v>
      </c>
      <c r="G182" s="89" t="n">
        <v>35</v>
      </c>
    </row>
    <row r="183" customFormat="false" ht="15" hidden="false" customHeight="false" outlineLevel="0" collapsed="false">
      <c r="A183" s="89" t="s">
        <v>551</v>
      </c>
      <c r="B183" s="89" t="s">
        <v>389</v>
      </c>
      <c r="C183" s="89" t="n">
        <v>4</v>
      </c>
      <c r="D183" s="89" t="s">
        <v>532</v>
      </c>
      <c r="E183" s="89" t="s">
        <v>552</v>
      </c>
      <c r="F183" s="89" t="s">
        <v>553</v>
      </c>
      <c r="G183" s="89" t="s">
        <v>554</v>
      </c>
    </row>
    <row r="184" customFormat="false" ht="15" hidden="false" customHeight="false" outlineLevel="0" collapsed="false">
      <c r="A184" s="89" t="s">
        <v>555</v>
      </c>
      <c r="B184" s="89" t="s">
        <v>380</v>
      </c>
      <c r="C184" s="89" t="n">
        <v>3</v>
      </c>
      <c r="D184" s="89" t="s">
        <v>532</v>
      </c>
      <c r="E184" s="89" t="s">
        <v>547</v>
      </c>
      <c r="F184" s="89" t="s">
        <v>393</v>
      </c>
      <c r="G184" s="89" t="n">
        <v>33</v>
      </c>
    </row>
    <row r="185" customFormat="false" ht="15" hidden="false" customHeight="false" outlineLevel="0" collapsed="false">
      <c r="A185" s="89" t="s">
        <v>556</v>
      </c>
      <c r="B185" s="89" t="s">
        <v>380</v>
      </c>
      <c r="C185" s="89" t="n">
        <v>2</v>
      </c>
      <c r="D185" s="89" t="s">
        <v>538</v>
      </c>
      <c r="E185" s="89" t="s">
        <v>533</v>
      </c>
      <c r="F185" s="89" t="s">
        <v>239</v>
      </c>
      <c r="G185" s="89" t="n">
        <v>21</v>
      </c>
    </row>
    <row r="186" customFormat="false" ht="15" hidden="false" customHeight="false" outlineLevel="0" collapsed="false">
      <c r="A186" s="89" t="s">
        <v>557</v>
      </c>
      <c r="B186" s="89" t="s">
        <v>380</v>
      </c>
      <c r="C186" s="89" t="n">
        <v>2</v>
      </c>
      <c r="D186" s="89" t="s">
        <v>538</v>
      </c>
      <c r="E186" s="89" t="s">
        <v>547</v>
      </c>
      <c r="F186" s="89" t="s">
        <v>236</v>
      </c>
      <c r="G186" s="89" t="n">
        <v>52</v>
      </c>
    </row>
    <row r="187" customFormat="false" ht="15" hidden="false" customHeight="false" outlineLevel="0" collapsed="false">
      <c r="A187" s="89" t="s">
        <v>558</v>
      </c>
      <c r="B187" s="89" t="s">
        <v>365</v>
      </c>
      <c r="C187" s="89" t="n">
        <v>3</v>
      </c>
      <c r="D187" s="89" t="s">
        <v>532</v>
      </c>
      <c r="E187" s="89" t="s">
        <v>547</v>
      </c>
      <c r="F187" s="89" t="s">
        <v>239</v>
      </c>
      <c r="G187" s="89" t="n">
        <v>19</v>
      </c>
    </row>
    <row r="188" customFormat="false" ht="15" hidden="false" customHeight="false" outlineLevel="0" collapsed="false">
      <c r="A188" s="89" t="s">
        <v>559</v>
      </c>
      <c r="B188" s="89" t="s">
        <v>380</v>
      </c>
      <c r="C188" s="89" t="n">
        <v>3</v>
      </c>
      <c r="D188" s="89" t="s">
        <v>532</v>
      </c>
      <c r="E188" s="89" t="s">
        <v>536</v>
      </c>
      <c r="F188" s="89" t="s">
        <v>560</v>
      </c>
      <c r="G188" s="89" t="n">
        <v>34</v>
      </c>
    </row>
    <row r="189" customFormat="false" ht="15" hidden="false" customHeight="false" outlineLevel="0" collapsed="false">
      <c r="A189" s="89" t="s">
        <v>561</v>
      </c>
      <c r="B189" s="89" t="s">
        <v>380</v>
      </c>
      <c r="C189" s="89" t="n">
        <v>5</v>
      </c>
      <c r="D189" s="89" t="s">
        <v>532</v>
      </c>
      <c r="E189" s="89" t="s">
        <v>536</v>
      </c>
      <c r="F189" s="89" t="s">
        <v>239</v>
      </c>
      <c r="G189" s="89" t="n">
        <v>15</v>
      </c>
    </row>
    <row r="190" customFormat="false" ht="15" hidden="false" customHeight="false" outlineLevel="0" collapsed="false">
      <c r="A190" s="89" t="s">
        <v>562</v>
      </c>
      <c r="B190" s="89" t="s">
        <v>380</v>
      </c>
      <c r="C190" s="89" t="n">
        <v>5</v>
      </c>
      <c r="D190" s="89" t="s">
        <v>532</v>
      </c>
      <c r="E190" s="89" t="s">
        <v>552</v>
      </c>
      <c r="F190" s="89" t="s">
        <v>563</v>
      </c>
      <c r="G190" s="89" t="s">
        <v>564</v>
      </c>
    </row>
    <row r="191" customFormat="false" ht="15" hidden="false" customHeight="false" outlineLevel="0" collapsed="false">
      <c r="A191" s="89" t="s">
        <v>565</v>
      </c>
      <c r="B191" s="89" t="s">
        <v>389</v>
      </c>
      <c r="C191" s="89" t="n">
        <v>4</v>
      </c>
      <c r="D191" s="89" t="s">
        <v>532</v>
      </c>
      <c r="E191" s="89" t="s">
        <v>566</v>
      </c>
      <c r="F191" s="89" t="s">
        <v>567</v>
      </c>
      <c r="G191" s="89" t="s">
        <v>568</v>
      </c>
    </row>
    <row r="192" customFormat="false" ht="15" hidden="false" customHeight="false" outlineLevel="0" collapsed="false">
      <c r="A192" s="89" t="s">
        <v>569</v>
      </c>
      <c r="B192" s="89" t="s">
        <v>389</v>
      </c>
      <c r="C192" s="89" t="n">
        <v>3</v>
      </c>
      <c r="D192" s="89" t="s">
        <v>532</v>
      </c>
      <c r="E192" s="89" t="s">
        <v>547</v>
      </c>
      <c r="F192" s="89" t="s">
        <v>563</v>
      </c>
      <c r="G192" s="89" t="n">
        <v>16</v>
      </c>
    </row>
    <row r="193" customFormat="false" ht="15" hidden="false" customHeight="false" outlineLevel="0" collapsed="false">
      <c r="A193" s="89" t="s">
        <v>570</v>
      </c>
      <c r="B193" s="89" t="s">
        <v>389</v>
      </c>
      <c r="C193" s="89" t="n">
        <v>2</v>
      </c>
      <c r="D193" s="89" t="s">
        <v>532</v>
      </c>
      <c r="E193" s="89" t="s">
        <v>547</v>
      </c>
      <c r="F193" s="89" t="s">
        <v>560</v>
      </c>
      <c r="G193" s="89" t="s">
        <v>571</v>
      </c>
    </row>
    <row r="194" customFormat="false" ht="15" hidden="false" customHeight="false" outlineLevel="0" collapsed="false">
      <c r="A194" s="89" t="s">
        <v>572</v>
      </c>
      <c r="B194" s="89" t="s">
        <v>365</v>
      </c>
      <c r="C194" s="89" t="n">
        <v>2</v>
      </c>
      <c r="D194" s="89" t="s">
        <v>532</v>
      </c>
      <c r="E194" s="89" t="s">
        <v>547</v>
      </c>
      <c r="F194" s="89" t="s">
        <v>435</v>
      </c>
      <c r="G194" s="89" t="n">
        <v>22</v>
      </c>
    </row>
    <row r="195" customFormat="false" ht="15" hidden="false" customHeight="false" outlineLevel="0" collapsed="false">
      <c r="A195" s="89" t="s">
        <v>573</v>
      </c>
      <c r="B195" s="89" t="s">
        <v>365</v>
      </c>
      <c r="C195" s="89" t="n">
        <v>2</v>
      </c>
      <c r="D195" s="89" t="s">
        <v>538</v>
      </c>
      <c r="E195" s="89" t="s">
        <v>566</v>
      </c>
      <c r="F195" s="89" t="s">
        <v>560</v>
      </c>
      <c r="G195" s="89" t="n">
        <v>38</v>
      </c>
    </row>
    <row r="196" customFormat="false" ht="15" hidden="false" customHeight="false" outlineLevel="0" collapsed="false">
      <c r="A196" s="89" t="s">
        <v>574</v>
      </c>
      <c r="B196" s="89" t="s">
        <v>365</v>
      </c>
      <c r="C196" s="89" t="n">
        <v>4</v>
      </c>
      <c r="D196" s="89" t="s">
        <v>532</v>
      </c>
      <c r="E196" s="89" t="s">
        <v>536</v>
      </c>
      <c r="F196" s="89" t="s">
        <v>560</v>
      </c>
      <c r="G196" s="89" t="n">
        <v>32</v>
      </c>
    </row>
    <row r="197" customFormat="false" ht="15" hidden="false" customHeight="false" outlineLevel="0" collapsed="false">
      <c r="A197" s="89" t="s">
        <v>575</v>
      </c>
      <c r="B197" s="89" t="s">
        <v>389</v>
      </c>
      <c r="C197" s="89" t="n">
        <v>3</v>
      </c>
      <c r="D197" s="89" t="s">
        <v>532</v>
      </c>
      <c r="E197" s="89" t="s">
        <v>536</v>
      </c>
      <c r="F197" s="89" t="s">
        <v>99</v>
      </c>
      <c r="G197" s="89" t="n">
        <v>47</v>
      </c>
    </row>
    <row r="198" customFormat="false" ht="15" hidden="false" customHeight="false" outlineLevel="0" collapsed="false">
      <c r="A198" s="89" t="s">
        <v>576</v>
      </c>
      <c r="B198" s="89" t="s">
        <v>380</v>
      </c>
      <c r="C198" s="89" t="n">
        <v>3</v>
      </c>
      <c r="D198" s="89" t="s">
        <v>538</v>
      </c>
      <c r="E198" s="89" t="s">
        <v>536</v>
      </c>
      <c r="F198" s="89" t="s">
        <v>393</v>
      </c>
      <c r="G198" s="89" t="n">
        <v>36</v>
      </c>
    </row>
    <row r="199" customFormat="false" ht="15" hidden="false" customHeight="false" outlineLevel="0" collapsed="false">
      <c r="A199" s="89" t="s">
        <v>577</v>
      </c>
      <c r="B199" s="89" t="s">
        <v>380</v>
      </c>
      <c r="C199" s="89" t="n">
        <v>3</v>
      </c>
      <c r="D199" s="89" t="s">
        <v>532</v>
      </c>
      <c r="E199" s="89" t="s">
        <v>533</v>
      </c>
      <c r="F199" s="89" t="s">
        <v>239</v>
      </c>
      <c r="G199" s="89" t="n">
        <v>17</v>
      </c>
    </row>
    <row r="200" customFormat="false" ht="15" hidden="false" customHeight="false" outlineLevel="0" collapsed="false">
      <c r="A200" s="89" t="s">
        <v>578</v>
      </c>
      <c r="B200" s="89" t="s">
        <v>380</v>
      </c>
      <c r="C200" s="89" t="n">
        <v>2</v>
      </c>
      <c r="D200" s="89" t="s">
        <v>538</v>
      </c>
      <c r="E200" s="89" t="s">
        <v>533</v>
      </c>
      <c r="F200" s="89" t="s">
        <v>393</v>
      </c>
      <c r="G200" s="89" t="s">
        <v>579</v>
      </c>
    </row>
    <row r="201" customFormat="false" ht="15" hidden="false" customHeight="true" outlineLevel="0" collapsed="false">
      <c r="A201" s="91"/>
      <c r="B201" s="91"/>
      <c r="C201" s="91"/>
      <c r="D201" s="91"/>
      <c r="E201" s="91"/>
      <c r="F201" s="91"/>
      <c r="G201" s="91"/>
    </row>
    <row r="202" customFormat="false" ht="15" hidden="false" customHeight="true" outlineLevel="0" collapsed="false">
      <c r="A202" s="91"/>
      <c r="B202" s="91"/>
      <c r="C202" s="91"/>
      <c r="D202" s="91"/>
      <c r="E202" s="91"/>
      <c r="F202" s="91"/>
      <c r="G202" s="91"/>
    </row>
    <row r="203" customFormat="false" ht="15" hidden="false" customHeight="true" outlineLevel="0" collapsed="false">
      <c r="A203" s="101"/>
      <c r="B203" s="101"/>
      <c r="C203" s="101"/>
      <c r="D203" s="101"/>
      <c r="E203" s="101"/>
      <c r="F203" s="101"/>
      <c r="G203" s="101"/>
    </row>
    <row r="204" customFormat="false" ht="15" hidden="false" customHeight="true" outlineLevel="0" collapsed="false">
      <c r="A204" s="101"/>
      <c r="B204" s="101"/>
      <c r="C204" s="101"/>
      <c r="D204" s="101"/>
      <c r="E204" s="101"/>
      <c r="F204" s="101"/>
      <c r="G204" s="101"/>
    </row>
    <row r="205" customFormat="false" ht="15" hidden="false" customHeight="true" outlineLevel="0" collapsed="false">
      <c r="A205" s="88" t="s">
        <v>580</v>
      </c>
      <c r="B205" s="103" t="s">
        <v>78</v>
      </c>
      <c r="C205" s="103"/>
      <c r="D205" s="103"/>
      <c r="E205" s="103"/>
      <c r="F205" s="103"/>
      <c r="G205" s="103"/>
    </row>
    <row r="206" customFormat="false" ht="15" hidden="false" customHeight="false" outlineLevel="0" collapsed="false">
      <c r="A206" s="89" t="s">
        <v>581</v>
      </c>
      <c r="B206" s="99" t="n">
        <f aca="false">C61</f>
        <v>0.1</v>
      </c>
      <c r="C206" s="105"/>
      <c r="D206" s="105"/>
      <c r="E206" s="105"/>
      <c r="F206" s="105"/>
      <c r="G206" s="105"/>
    </row>
    <row r="207" customFormat="false" ht="15" hidden="false" customHeight="false" outlineLevel="0" collapsed="false">
      <c r="A207" s="89" t="s">
        <v>582</v>
      </c>
      <c r="B207" s="99" t="n">
        <f aca="false">G55</f>
        <v>0.288010101095701</v>
      </c>
      <c r="C207" s="105"/>
      <c r="D207" s="105"/>
      <c r="E207" s="105"/>
      <c r="F207" s="105"/>
      <c r="G207" s="105"/>
    </row>
    <row r="208" customFormat="false" ht="15" hidden="false" customHeight="false" outlineLevel="0" collapsed="false">
      <c r="A208" s="89" t="s">
        <v>583</v>
      </c>
      <c r="B208" s="99" t="n">
        <f aca="false">B206*(1-B207)</f>
        <v>0.0711989898904299</v>
      </c>
      <c r="C208" s="105"/>
      <c r="D208" s="105"/>
      <c r="E208" s="105"/>
      <c r="F208" s="105"/>
      <c r="G208" s="105"/>
    </row>
    <row r="209" customFormat="false" ht="15" hidden="false" customHeight="false" outlineLevel="0" collapsed="false">
      <c r="A209" s="89" t="s">
        <v>584</v>
      </c>
      <c r="B209" s="100" t="n">
        <f aca="false">B91+B92</f>
        <v>23618</v>
      </c>
      <c r="C209" s="105"/>
      <c r="D209" s="105"/>
      <c r="E209" s="105"/>
      <c r="F209" s="105"/>
      <c r="G209" s="105"/>
    </row>
    <row r="210" customFormat="false" ht="15" hidden="false" customHeight="false" outlineLevel="0" collapsed="false">
      <c r="A210" s="89" t="s">
        <v>197</v>
      </c>
      <c r="B210" s="99" t="n">
        <f aca="false">WACC!B5</f>
        <v>0.09517</v>
      </c>
      <c r="C210" s="105"/>
      <c r="D210" s="105"/>
      <c r="E210" s="105"/>
      <c r="F210" s="105"/>
      <c r="G210" s="105"/>
    </row>
    <row r="211" customFormat="false" ht="15" hidden="false" customHeight="false" outlineLevel="0" collapsed="false">
      <c r="A211" s="89" t="s">
        <v>585</v>
      </c>
      <c r="B211" s="99" t="n">
        <f aca="false">WACC!B8</f>
        <v>0.0423</v>
      </c>
      <c r="C211" s="105"/>
      <c r="D211" s="105"/>
      <c r="E211" s="105"/>
      <c r="F211" s="105"/>
      <c r="G211" s="105"/>
    </row>
    <row r="212" customFormat="false" ht="15" hidden="false" customHeight="false" outlineLevel="0" collapsed="false">
      <c r="A212" s="89" t="s">
        <v>586</v>
      </c>
      <c r="B212" s="113" t="n">
        <f aca="false">WACC!B9</f>
        <v>0.65</v>
      </c>
      <c r="C212" s="105"/>
      <c r="D212" s="105"/>
      <c r="E212" s="105"/>
      <c r="F212" s="105"/>
      <c r="G212" s="105"/>
    </row>
    <row r="213" customFormat="false" ht="15" hidden="false" customHeight="false" outlineLevel="0" collapsed="false">
      <c r="A213" s="88" t="s">
        <v>587</v>
      </c>
      <c r="B213" s="103" t="s">
        <v>588</v>
      </c>
      <c r="C213" s="103" t="s">
        <v>589</v>
      </c>
      <c r="D213" s="103" t="s">
        <v>213</v>
      </c>
      <c r="E213" s="103" t="s">
        <v>590</v>
      </c>
      <c r="F213" s="103" t="s">
        <v>591</v>
      </c>
      <c r="G213" s="103" t="s">
        <v>592</v>
      </c>
    </row>
    <row r="214" customFormat="false" ht="15" hidden="false" customHeight="false" outlineLevel="0" collapsed="false">
      <c r="A214" s="89" t="s">
        <v>593</v>
      </c>
      <c r="B214" s="99" t="n">
        <f aca="false">WACC!B33</f>
        <v>0.119198962792971</v>
      </c>
      <c r="C214" s="100" t="n">
        <f aca="false" t="array" ref="C214:C214">SUMPRODUCT($C$117:$G$117,1/(1+B214)^$C$118:$G$118)+$G$117*(1+$B$123)/(B214-$B$123)/(1+B214)^$G$118-$B$144</f>
        <v>53253.4062442849</v>
      </c>
      <c r="D214" s="107" t="n">
        <f aca="false">$B$209/C214</f>
        <v>0.44350214691731</v>
      </c>
      <c r="E214" s="107" t="n">
        <f aca="false">$B$212*(1+(1-$B$207)*D214)</f>
        <v>0.855249881685872</v>
      </c>
      <c r="F214" s="99" t="n">
        <f aca="false">$B$210+E214*$B$211</f>
        <v>0.131347069995312</v>
      </c>
      <c r="G214" s="99" t="n">
        <f aca="false">C214/(C214+$B$209)*F214+$B$209/(C214+$B$209)*$B$208</f>
        <v>0.112867151058969</v>
      </c>
    </row>
    <row r="215" customFormat="false" ht="15" hidden="false" customHeight="false" outlineLevel="0" collapsed="false">
      <c r="A215" s="89" t="n">
        <v>1</v>
      </c>
      <c r="B215" s="99" t="n">
        <f aca="false">G214</f>
        <v>0.112867151058969</v>
      </c>
      <c r="C215" s="100" t="n">
        <f aca="false" t="array" ref="C215:C215">SUMPRODUCT($C$117:$G$117,1/(1+B215)^$C$118:$G$118)+$G$117*(1+$B$123)/(B215-$B$123)/(1+B215)^$G$118-$B$144</f>
        <v>58659.9983688201</v>
      </c>
      <c r="D215" s="107" t="n">
        <f aca="false">$B$209/C215</f>
        <v>0.402625309525304</v>
      </c>
      <c r="E215" s="107" t="n">
        <f aca="false">$B$212*(1+(1-$B$207)*D215)</f>
        <v>0.836332349726402</v>
      </c>
      <c r="F215" s="99" t="n">
        <f aca="false">$B$210+E215*$B$211</f>
        <v>0.130546858393427</v>
      </c>
      <c r="G215" s="99" t="n">
        <f aca="false">C215/(C215+$B$209)*F215+$B$209/(C215+$B$209)*$B$208</f>
        <v>0.113510980198862</v>
      </c>
    </row>
    <row r="216" customFormat="false" ht="15" hidden="false" customHeight="false" outlineLevel="0" collapsed="false">
      <c r="A216" s="89" t="n">
        <v>2</v>
      </c>
      <c r="B216" s="99" t="n">
        <f aca="false">G215</f>
        <v>0.113510980198862</v>
      </c>
      <c r="C216" s="100" t="n">
        <f aca="false" t="array" ref="C216:C216">SUMPRODUCT($C$117:$G$117,1/(1+B216)^$C$118:$G$118)+$G$117*(1+$B$123)/(B216-$B$123)/(1+B216)^$G$118-$B$144</f>
        <v>58070.517927593</v>
      </c>
      <c r="D216" s="107" t="n">
        <f aca="false">$B$209/C216</f>
        <v>0.406712404897935</v>
      </c>
      <c r="E216" s="107" t="n">
        <f aca="false">$B$212*(1+(1-$B$207)*D216)</f>
        <v>0.838223830630163</v>
      </c>
      <c r="F216" s="99" t="n">
        <f aca="false">$B$210+E216*$B$211</f>
        <v>0.130626868035656</v>
      </c>
      <c r="G216" s="99" t="n">
        <f aca="false">C216/(C216+$B$209)*F216+$B$209/(C216+$B$209)*$B$208</f>
        <v>0.113444922988274</v>
      </c>
    </row>
    <row r="217" customFormat="false" ht="15" hidden="false" customHeight="false" outlineLevel="0" collapsed="false">
      <c r="A217" s="89" t="n">
        <v>3</v>
      </c>
      <c r="B217" s="99" t="n">
        <f aca="false">G216</f>
        <v>0.113444922988274</v>
      </c>
      <c r="C217" s="100" t="n">
        <f aca="false" t="array" ref="C217:C217">SUMPRODUCT($C$117:$G$117,1/(1+B217)^$C$118:$G$118)+$G$117*(1+$B$123)/(B217-$B$123)/(1+B217)^$G$118-$B$144</f>
        <v>58130.5545167678</v>
      </c>
      <c r="D217" s="107" t="n">
        <f aca="false">$B$209/C217</f>
        <v>0.406292356856623</v>
      </c>
      <c r="E217" s="107" t="n">
        <f aca="false">$B$212*(1+(1-$B$207)*D217)</f>
        <v>0.838029435154559</v>
      </c>
      <c r="F217" s="99" t="n">
        <f aca="false">$B$210+E217*$B$211</f>
        <v>0.130618645107038</v>
      </c>
      <c r="G217" s="99" t="n">
        <f aca="false">C217/(C217+$B$209)*F217+$B$209/(C217+$B$209)*$B$208</f>
        <v>0.113451694263669</v>
      </c>
    </row>
    <row r="218" customFormat="false" ht="15" hidden="false" customHeight="false" outlineLevel="0" collapsed="false">
      <c r="A218" s="89" t="n">
        <v>4</v>
      </c>
      <c r="B218" s="99" t="n">
        <f aca="false">G217</f>
        <v>0.113451694263669</v>
      </c>
      <c r="C218" s="100" t="n">
        <f aca="false" t="array" ref="C218:C218">SUMPRODUCT($C$117:$G$117,1/(1+B218)^$C$118:$G$118)+$G$117*(1+$B$123)/(B218-$B$123)/(1+B218)^$G$118-$B$144</f>
        <v>58124.3957528739</v>
      </c>
      <c r="D218" s="107" t="n">
        <f aca="false">$B$209/C218</f>
        <v>0.406335406916161</v>
      </c>
      <c r="E218" s="107" t="n">
        <f aca="false">$B$212*(1+(1-$B$207)*D218)</f>
        <v>0.838049358439459</v>
      </c>
      <c r="F218" s="99" t="n">
        <f aca="false">$B$210+E218*$B$211</f>
        <v>0.130619487861989</v>
      </c>
      <c r="G218" s="99" t="n">
        <f aca="false">C218/(C218+$B$209)*F218+$B$209/(C218+$B$209)*$B$208</f>
        <v>0.113451000100325</v>
      </c>
    </row>
    <row r="219" customFormat="false" ht="15" hidden="false" customHeight="false" outlineLevel="0" collapsed="false">
      <c r="A219" s="89" t="n">
        <v>5</v>
      </c>
      <c r="B219" s="99" t="n">
        <f aca="false">G218</f>
        <v>0.113451000100325</v>
      </c>
      <c r="C219" s="100" t="n">
        <f aca="false" t="array" ref="C219:C219">SUMPRODUCT($C$117:$G$117,1/(1+B219)^$C$118:$G$118)+$G$117*(1+$B$123)/(B219-$B$123)/(1+B219)^$G$118-$B$144</f>
        <v>58125.0270752607</v>
      </c>
      <c r="D219" s="107" t="n">
        <f aca="false">$B$209/C219</f>
        <v>0.406330993522278</v>
      </c>
      <c r="E219" s="107" t="n">
        <f aca="false">$B$212*(1+(1-$B$207)*D219)</f>
        <v>0.838047315949747</v>
      </c>
      <c r="F219" s="99" t="n">
        <f aca="false">$B$210+E219*$B$211</f>
        <v>0.130619401464674</v>
      </c>
      <c r="G219" s="99" t="n">
        <f aca="false">C219/(C219+$B$209)*F219+$B$209/(C219+$B$209)*$B$208</f>
        <v>0.113451071262412</v>
      </c>
    </row>
    <row r="220" customFormat="false" ht="15" hidden="false" customHeight="false" outlineLevel="0" collapsed="false">
      <c r="A220" s="88" t="s">
        <v>594</v>
      </c>
      <c r="B220" s="111" t="n">
        <f aca="false">G219</f>
        <v>0.113451071262412</v>
      </c>
      <c r="C220" s="103"/>
      <c r="D220" s="103"/>
      <c r="E220" s="103"/>
      <c r="F220" s="103"/>
      <c r="G220" s="103"/>
    </row>
    <row r="221" customFormat="false" ht="15" hidden="false" customHeight="false" outlineLevel="0" collapsed="false">
      <c r="A221" s="88" t="s">
        <v>595</v>
      </c>
      <c r="B221" s="111" t="n">
        <f aca="false">F219</f>
        <v>0.130619401464674</v>
      </c>
      <c r="C221" s="103"/>
      <c r="D221" s="103"/>
      <c r="E221" s="103"/>
      <c r="F221" s="103"/>
      <c r="G221" s="103"/>
    </row>
    <row r="222" customFormat="false" ht="15" hidden="false" customHeight="false" outlineLevel="0" collapsed="false">
      <c r="A222" s="89" t="s">
        <v>596</v>
      </c>
      <c r="B222" s="113" t="n">
        <f aca="false">(G219-G218)*10000</f>
        <v>0.000711620870563756</v>
      </c>
      <c r="C222" s="106"/>
      <c r="D222" s="106"/>
      <c r="E222" s="106"/>
      <c r="F222" s="106"/>
      <c r="G222" s="106"/>
    </row>
    <row r="223" customFormat="false" ht="15" hidden="false" customHeight="false" outlineLevel="0" collapsed="false">
      <c r="A223" s="114"/>
      <c r="B223" s="114"/>
      <c r="C223" s="114"/>
      <c r="D223" s="114"/>
      <c r="E223" s="114"/>
      <c r="F223" s="114"/>
      <c r="G223" s="114"/>
    </row>
    <row r="224" customFormat="false" ht="15" hidden="false" customHeight="false" outlineLevel="0" collapsed="false">
      <c r="A224" s="114"/>
      <c r="B224" s="114"/>
      <c r="C224" s="114"/>
      <c r="D224" s="114"/>
      <c r="E224" s="114"/>
      <c r="F224" s="114"/>
      <c r="G224" s="114"/>
    </row>
    <row r="225" customFormat="false" ht="15" hidden="false" customHeight="false" outlineLevel="0" collapsed="false">
      <c r="A225" s="88" t="s">
        <v>597</v>
      </c>
      <c r="B225" s="103" t="s">
        <v>1</v>
      </c>
      <c r="C225" s="103" t="s">
        <v>2</v>
      </c>
      <c r="D225" s="103" t="s">
        <v>3</v>
      </c>
      <c r="E225" s="103" t="s">
        <v>4</v>
      </c>
      <c r="F225" s="103"/>
      <c r="G225" s="103"/>
    </row>
    <row r="226" customFormat="false" ht="15" hidden="false" customHeight="false" outlineLevel="0" collapsed="false">
      <c r="A226" s="89" t="s">
        <v>210</v>
      </c>
      <c r="B226" s="100" t="n">
        <f aca="false">WACC!B18</f>
        <v>60264</v>
      </c>
      <c r="C226" s="100" t="n">
        <f aca="false">WACC!C18</f>
        <v>813622.604529617</v>
      </c>
      <c r="D226" s="100" t="n">
        <f aca="false">WACC!D18</f>
        <v>89246.0254200776</v>
      </c>
      <c r="E226" s="100" t="n">
        <f aca="false">WACC!E18</f>
        <v>34190</v>
      </c>
      <c r="F226" s="106"/>
      <c r="G226" s="106"/>
    </row>
    <row r="227" customFormat="false" ht="15" hidden="false" customHeight="false" outlineLevel="0" collapsed="false">
      <c r="A227" s="89" t="s">
        <v>598</v>
      </c>
      <c r="B227" s="100" t="n">
        <f aca="false">WACC!B21</f>
        <v>23618</v>
      </c>
      <c r="C227" s="100" t="n">
        <f aca="false">WACC!C21</f>
        <v>80848.1</v>
      </c>
      <c r="D227" s="100" t="n">
        <f aca="false">WACC!D21</f>
        <v>56744.34</v>
      </c>
      <c r="E227" s="100" t="n">
        <f aca="false">WACC!E21</f>
        <v>2441.8</v>
      </c>
      <c r="F227" s="106"/>
      <c r="G227" s="106"/>
    </row>
    <row r="228" customFormat="false" ht="15" hidden="false" customHeight="false" outlineLevel="0" collapsed="false">
      <c r="A228" s="89" t="s">
        <v>599</v>
      </c>
      <c r="B228" s="100" t="n">
        <f aca="false">-WACC!B22</f>
        <v>-9295</v>
      </c>
      <c r="C228" s="100" t="n">
        <f aca="false">-WACC!C22</f>
        <v>-28591.2</v>
      </c>
      <c r="D228" s="100" t="n">
        <f aca="false">-WACC!D22</f>
        <v>-14640.16</v>
      </c>
      <c r="E228" s="100" t="n">
        <f aca="false">-WACC!E22</f>
        <v>-2962.8</v>
      </c>
      <c r="F228" s="106"/>
      <c r="G228" s="106"/>
    </row>
    <row r="229" customFormat="false" ht="15" hidden="false" customHeight="false" outlineLevel="0" collapsed="false">
      <c r="A229" s="89" t="s">
        <v>600</v>
      </c>
      <c r="B229" s="100" t="n">
        <f aca="false">SUM(B226:B228)</f>
        <v>74587</v>
      </c>
      <c r="C229" s="100" t="n">
        <f aca="false">SUM(C226:C228)</f>
        <v>865879.504529617</v>
      </c>
      <c r="D229" s="100" t="n">
        <f aca="false">SUM(D226:D228)</f>
        <v>131350.205420078</v>
      </c>
      <c r="E229" s="100" t="n">
        <f aca="false">SUM(E226:E228)</f>
        <v>33669</v>
      </c>
      <c r="F229" s="106"/>
      <c r="G229" s="106"/>
    </row>
    <row r="230" customFormat="false" ht="15" hidden="false" customHeight="false" outlineLevel="0" collapsed="false">
      <c r="A230" s="89" t="s">
        <v>601</v>
      </c>
      <c r="B230" s="100" t="n">
        <f aca="false">Datos!G9+Datos!G14</f>
        <v>11894</v>
      </c>
      <c r="C230" s="100" t="n">
        <f aca="false">Datos!G35+Datos!G40</f>
        <v>103446.9</v>
      </c>
      <c r="D230" s="100" t="n">
        <f aca="false">Datos!G61+Datos!G66</f>
        <v>24391.15</v>
      </c>
      <c r="E230" s="100" t="n">
        <f aca="false">Datos!G87+Datos!G92</f>
        <v>5214.81481788325</v>
      </c>
      <c r="F230" s="106"/>
      <c r="G230" s="106"/>
    </row>
    <row r="231" customFormat="false" ht="15" hidden="false" customHeight="false" outlineLevel="0" collapsed="false">
      <c r="A231" s="88" t="s">
        <v>602</v>
      </c>
      <c r="B231" s="115" t="n">
        <f aca="false">B229/B230</f>
        <v>6.27097696317471</v>
      </c>
      <c r="C231" s="115" t="n">
        <f aca="false">C229/C230</f>
        <v>8.37027986850855</v>
      </c>
      <c r="D231" s="115" t="n">
        <f aca="false">D229/D230</f>
        <v>5.38515836358997</v>
      </c>
      <c r="E231" s="115" t="n">
        <f aca="false">E229/E230</f>
        <v>6.45641334847373</v>
      </c>
      <c r="F231" s="116"/>
      <c r="G231" s="116"/>
    </row>
    <row r="232" customFormat="false" ht="15" hidden="false" customHeight="false" outlineLevel="0" collapsed="false">
      <c r="A232" s="89" t="s">
        <v>603</v>
      </c>
      <c r="B232" s="117" t="n">
        <f aca="false">MEDIAN(C231:E231)</f>
        <v>6.45641334847373</v>
      </c>
      <c r="C232" s="105"/>
      <c r="D232" s="105"/>
      <c r="E232" s="105"/>
      <c r="F232" s="105"/>
      <c r="G232" s="105"/>
    </row>
    <row r="233" customFormat="false" ht="15" hidden="false" customHeight="false" outlineLevel="0" collapsed="false">
      <c r="A233" s="89" t="s">
        <v>604</v>
      </c>
      <c r="B233" s="99" t="n">
        <v>0.1</v>
      </c>
      <c r="C233" s="105"/>
      <c r="D233" s="105"/>
      <c r="E233" s="105"/>
      <c r="F233" s="105"/>
      <c r="G233" s="105"/>
    </row>
    <row r="234" customFormat="false" ht="15" hidden="false" customHeight="false" outlineLevel="0" collapsed="false">
      <c r="A234" s="89" t="s">
        <v>605</v>
      </c>
      <c r="B234" s="117" t="n">
        <f aca="false">B232*(1-B233)</f>
        <v>5.81077201362635</v>
      </c>
      <c r="C234" s="105"/>
      <c r="D234" s="105"/>
      <c r="E234" s="105"/>
      <c r="F234" s="105"/>
      <c r="G234" s="105"/>
    </row>
    <row r="235" customFormat="false" ht="15" hidden="false" customHeight="false" outlineLevel="0" collapsed="false">
      <c r="A235" s="89" t="s">
        <v>606</v>
      </c>
      <c r="B235" s="100" t="n">
        <f aca="false">G71</f>
        <v>12256.047209706</v>
      </c>
      <c r="C235" s="105"/>
      <c r="D235" s="105"/>
      <c r="E235" s="105"/>
      <c r="F235" s="105"/>
      <c r="G235" s="105"/>
    </row>
    <row r="236" customFormat="false" ht="15" hidden="false" customHeight="false" outlineLevel="0" collapsed="false">
      <c r="A236" s="88" t="s">
        <v>607</v>
      </c>
      <c r="B236" s="104" t="n">
        <f aca="false">B234*B235</f>
        <v>71217.0961238431</v>
      </c>
      <c r="C236" s="105"/>
      <c r="D236" s="105"/>
      <c r="E236" s="105"/>
      <c r="F236" s="105"/>
      <c r="G236" s="105"/>
    </row>
    <row r="237" customFormat="false" ht="15" hidden="false" customHeight="false" outlineLevel="0" collapsed="false">
      <c r="A237" s="89" t="s">
        <v>608</v>
      </c>
      <c r="B237" s="100" t="n">
        <f aca="false">B236*G119</f>
        <v>41612.9566577878</v>
      </c>
      <c r="C237" s="105"/>
      <c r="D237" s="105"/>
      <c r="E237" s="105"/>
      <c r="F237" s="105"/>
      <c r="G237" s="105"/>
    </row>
    <row r="238" customFormat="false" ht="15" hidden="false" customHeight="false" outlineLevel="0" collapsed="false">
      <c r="A238" s="88" t="s">
        <v>609</v>
      </c>
      <c r="B238" s="104" t="n">
        <f aca="false">B134+B237</f>
        <v>64679.247589779</v>
      </c>
      <c r="C238" s="105"/>
      <c r="D238" s="105"/>
      <c r="E238" s="105"/>
      <c r="F238" s="105"/>
      <c r="G238" s="105"/>
    </row>
    <row r="239" customFormat="false" ht="15" hidden="false" customHeight="false" outlineLevel="0" collapsed="false">
      <c r="A239" s="89" t="s">
        <v>610</v>
      </c>
      <c r="B239" s="100" t="n">
        <f aca="false">B238-B144</f>
        <v>50356.247589779</v>
      </c>
      <c r="C239" s="105"/>
      <c r="D239" s="105"/>
      <c r="E239" s="105"/>
      <c r="F239" s="105"/>
      <c r="G239" s="105"/>
    </row>
    <row r="240" customFormat="false" ht="15" hidden="false" customHeight="false" outlineLevel="0" collapsed="false">
      <c r="A240" s="88" t="s">
        <v>611</v>
      </c>
      <c r="B240" s="109" t="n">
        <f aca="false">B239/B149</f>
        <v>27.9756931054328</v>
      </c>
      <c r="C240" s="105"/>
      <c r="D240" s="105"/>
      <c r="E240" s="105"/>
      <c r="F240" s="105"/>
      <c r="G240" s="105"/>
    </row>
    <row r="241" customFormat="false" ht="15" hidden="false" customHeight="false" outlineLevel="0" collapsed="false">
      <c r="A241" s="89" t="s">
        <v>612</v>
      </c>
      <c r="B241" s="117" t="n">
        <f aca="false">B129/G71</f>
        <v>6.89558390790339</v>
      </c>
      <c r="C241" s="105"/>
      <c r="D241" s="105"/>
      <c r="E241" s="105"/>
      <c r="F241" s="105"/>
      <c r="G241" s="105"/>
    </row>
    <row r="242" customFormat="false" ht="15" hidden="false" customHeight="false" outlineLevel="0" collapsed="false">
      <c r="A242" s="89" t="s">
        <v>613</v>
      </c>
      <c r="B242" s="99" t="n">
        <f aca="false">(B236*B126-B127)/(B236+B127)</f>
        <v>0.0215626585584133</v>
      </c>
      <c r="C242" s="105"/>
      <c r="D242" s="105"/>
      <c r="E242" s="105"/>
      <c r="F242" s="105"/>
      <c r="G242" s="105"/>
    </row>
    <row r="243" customFormat="false" ht="15" hidden="false" customHeight="false" outlineLevel="0" collapsed="false">
      <c r="A243" s="89" t="s">
        <v>614</v>
      </c>
      <c r="B243" s="99" t="n">
        <v>0.5</v>
      </c>
      <c r="C243" s="105"/>
      <c r="D243" s="105"/>
      <c r="E243" s="105"/>
      <c r="F243" s="105"/>
      <c r="G243" s="105"/>
    </row>
    <row r="244" customFormat="false" ht="15" hidden="false" customHeight="false" outlineLevel="0" collapsed="false">
      <c r="A244" s="89" t="s">
        <v>615</v>
      </c>
      <c r="B244" s="99" t="n">
        <f aca="false">1-B243</f>
        <v>0.5</v>
      </c>
      <c r="C244" s="105"/>
      <c r="D244" s="105"/>
      <c r="E244" s="105"/>
      <c r="F244" s="105"/>
      <c r="G244" s="105"/>
    </row>
    <row r="245" customFormat="false" ht="15" hidden="false" customHeight="false" outlineLevel="0" collapsed="false">
      <c r="A245" s="89" t="s">
        <v>616</v>
      </c>
      <c r="B245" s="100" t="n">
        <f aca="false">B243*B136+B244*B238</f>
        <v>68563.6049722872</v>
      </c>
      <c r="C245" s="105"/>
      <c r="D245" s="105"/>
      <c r="E245" s="105"/>
      <c r="F245" s="105"/>
      <c r="G245" s="105"/>
    </row>
    <row r="246" customFormat="false" ht="15" hidden="false" customHeight="false" outlineLevel="0" collapsed="false">
      <c r="A246" s="88" t="s">
        <v>617</v>
      </c>
      <c r="B246" s="109" t="n">
        <f aca="false">B243*B150+B244*B240</f>
        <v>30.1336694290485</v>
      </c>
      <c r="C246" s="105"/>
      <c r="D246" s="105"/>
      <c r="E246" s="105"/>
      <c r="F246" s="105"/>
      <c r="G246" s="105"/>
    </row>
    <row r="247" customFormat="false" ht="15" hidden="false" customHeight="false" outlineLevel="0" collapsed="false">
      <c r="A247" s="114"/>
      <c r="B247" s="114"/>
      <c r="C247" s="114"/>
      <c r="D247" s="114"/>
      <c r="E247" s="114"/>
      <c r="F247" s="114"/>
      <c r="G247" s="114"/>
    </row>
    <row r="248" customFormat="false" ht="15" hidden="false" customHeight="false" outlineLevel="0" collapsed="false">
      <c r="A248" s="114"/>
      <c r="B248" s="114"/>
      <c r="C248" s="114"/>
      <c r="D248" s="114"/>
      <c r="E248" s="114"/>
      <c r="F248" s="114"/>
      <c r="G248" s="114"/>
    </row>
    <row r="249" customFormat="false" ht="15" hidden="false" customHeight="false" outlineLevel="0" collapsed="false">
      <c r="A249" s="88" t="s">
        <v>618</v>
      </c>
      <c r="B249" s="103" t="s">
        <v>78</v>
      </c>
      <c r="C249" s="103"/>
      <c r="D249" s="103"/>
      <c r="E249" s="103"/>
      <c r="F249" s="103"/>
      <c r="G249" s="103"/>
    </row>
    <row r="250" customFormat="false" ht="15" hidden="false" customHeight="false" outlineLevel="0" collapsed="false">
      <c r="A250" s="89" t="s">
        <v>619</v>
      </c>
      <c r="B250" s="118" t="n">
        <f aca="false">DATE(2025,12,31)</f>
        <v>46022</v>
      </c>
      <c r="C250" s="105"/>
      <c r="D250" s="105"/>
      <c r="E250" s="105"/>
      <c r="F250" s="105"/>
      <c r="G250" s="105"/>
    </row>
    <row r="251" customFormat="false" ht="15" hidden="false" customHeight="false" outlineLevel="0" collapsed="false">
      <c r="A251" s="89" t="s">
        <v>620</v>
      </c>
      <c r="B251" s="118" t="n">
        <f aca="false">DATE(2026,6,30)</f>
        <v>46203</v>
      </c>
      <c r="C251" s="105"/>
      <c r="D251" s="105"/>
      <c r="E251" s="105"/>
      <c r="F251" s="105"/>
      <c r="G251" s="105"/>
    </row>
    <row r="252" customFormat="false" ht="15" hidden="false" customHeight="false" outlineLevel="0" collapsed="false">
      <c r="A252" s="89" t="s">
        <v>621</v>
      </c>
      <c r="B252" s="118" t="n">
        <f aca="false">DATE(2026,10,1)</f>
        <v>46296</v>
      </c>
      <c r="C252" s="105"/>
      <c r="D252" s="105"/>
      <c r="E252" s="105"/>
      <c r="F252" s="105"/>
      <c r="G252" s="105"/>
    </row>
    <row r="253" customFormat="false" ht="15" hidden="false" customHeight="false" outlineLevel="0" collapsed="false">
      <c r="A253" s="89" t="s">
        <v>622</v>
      </c>
      <c r="B253" s="113" t="n">
        <f aca="false">YEARFRAC(B250,B251)</f>
        <v>0.5</v>
      </c>
      <c r="C253" s="105"/>
      <c r="D253" s="105"/>
      <c r="E253" s="105"/>
      <c r="F253" s="105"/>
      <c r="G253" s="105"/>
    </row>
    <row r="254" customFormat="false" ht="15" hidden="false" customHeight="false" outlineLevel="0" collapsed="false">
      <c r="A254" s="89" t="s">
        <v>623</v>
      </c>
      <c r="B254" s="113" t="n">
        <f aca="false">YEARFRAC(B251,B252)</f>
        <v>0.252777777777778</v>
      </c>
      <c r="C254" s="105"/>
      <c r="D254" s="105"/>
      <c r="E254" s="105"/>
      <c r="F254" s="105"/>
      <c r="G254" s="105"/>
    </row>
    <row r="255" customFormat="false" ht="15" hidden="false" customHeight="false" outlineLevel="0" collapsed="false">
      <c r="A255" s="89" t="s">
        <v>624</v>
      </c>
      <c r="B255" s="100" t="n">
        <f aca="false">B245</f>
        <v>68563.6049722872</v>
      </c>
      <c r="C255" s="105"/>
      <c r="D255" s="105"/>
      <c r="E255" s="105"/>
      <c r="F255" s="105"/>
      <c r="G255" s="105"/>
    </row>
    <row r="256" customFormat="false" ht="15" hidden="false" customHeight="false" outlineLevel="0" collapsed="false">
      <c r="A256" s="89" t="s">
        <v>625</v>
      </c>
      <c r="B256" s="100" t="n">
        <f aca="false">B255*(1+B126)^B253</f>
        <v>72348.4469360682</v>
      </c>
      <c r="C256" s="105"/>
      <c r="D256" s="105"/>
      <c r="E256" s="105"/>
      <c r="F256" s="105"/>
      <c r="G256" s="105"/>
    </row>
    <row r="257" customFormat="false" ht="15" hidden="false" customHeight="false" outlineLevel="0" collapsed="false">
      <c r="A257" s="89" t="s">
        <v>626</v>
      </c>
      <c r="B257" s="100" t="n">
        <f aca="false">-((Datos!E15+Datos!F15)-(Datos!E16+Datos!F16))</f>
        <v>1060.497</v>
      </c>
      <c r="C257" s="105"/>
      <c r="D257" s="105"/>
      <c r="E257" s="105"/>
      <c r="F257" s="105"/>
      <c r="G257" s="105"/>
    </row>
    <row r="258" customFormat="false" ht="15" hidden="false" customHeight="false" outlineLevel="0" collapsed="false">
      <c r="A258" s="89" t="s">
        <v>627</v>
      </c>
      <c r="B258" s="100" t="n">
        <f aca="false">B256+B257</f>
        <v>73408.9439360682</v>
      </c>
      <c r="C258" s="105"/>
      <c r="D258" s="105"/>
      <c r="E258" s="105"/>
      <c r="F258" s="105"/>
      <c r="G258" s="105"/>
    </row>
    <row r="259" customFormat="false" ht="15" hidden="false" customHeight="false" outlineLevel="0" collapsed="false">
      <c r="A259" s="89" t="s">
        <v>628</v>
      </c>
      <c r="B259" s="100" t="n">
        <f aca="false">-(Datos!F25+Datos!F26)</f>
        <v>-11500</v>
      </c>
      <c r="C259" s="105"/>
      <c r="D259" s="105"/>
      <c r="E259" s="105"/>
      <c r="F259" s="105"/>
      <c r="G259" s="105"/>
    </row>
    <row r="260" customFormat="false" ht="15" hidden="false" customHeight="false" outlineLevel="0" collapsed="false">
      <c r="A260" s="89" t="s">
        <v>629</v>
      </c>
      <c r="B260" s="100" t="n">
        <f aca="false">-(Datos!F27+Datos!F28)</f>
        <v>-12220.588</v>
      </c>
      <c r="C260" s="105"/>
      <c r="D260" s="105"/>
      <c r="E260" s="105"/>
      <c r="F260" s="105"/>
      <c r="G260" s="105"/>
    </row>
    <row r="261" customFormat="false" ht="15" hidden="false" customHeight="false" outlineLevel="0" collapsed="false">
      <c r="A261" s="89" t="s">
        <v>630</v>
      </c>
      <c r="B261" s="100" t="n">
        <f aca="false">Datos!F17</f>
        <v>6875.384</v>
      </c>
      <c r="C261" s="105"/>
      <c r="D261" s="105"/>
      <c r="E261" s="105"/>
      <c r="F261" s="105"/>
      <c r="G261" s="105"/>
    </row>
    <row r="262" customFormat="false" ht="15" hidden="false" customHeight="false" outlineLevel="0" collapsed="false">
      <c r="A262" s="88" t="s">
        <v>631</v>
      </c>
      <c r="B262" s="104" t="n">
        <f aca="false">SUM(B258:B261)</f>
        <v>56563.7399360682</v>
      </c>
      <c r="C262" s="105"/>
      <c r="D262" s="105"/>
      <c r="E262" s="105"/>
      <c r="F262" s="105"/>
      <c r="G262" s="105"/>
    </row>
    <row r="263" customFormat="false" ht="15" hidden="false" customHeight="false" outlineLevel="0" collapsed="false">
      <c r="A263" s="88" t="s">
        <v>632</v>
      </c>
      <c r="B263" s="104" t="n">
        <f aca="false">B262*(1+B221)^B254</f>
        <v>58346.5694706359</v>
      </c>
      <c r="C263" s="105"/>
      <c r="D263" s="105"/>
      <c r="E263" s="105"/>
      <c r="F263" s="105"/>
      <c r="G263" s="105"/>
    </row>
    <row r="264" customFormat="false" ht="15" hidden="false" customHeight="false" outlineLevel="0" collapsed="false">
      <c r="A264" s="89" t="s">
        <v>57</v>
      </c>
      <c r="B264" s="108" t="n">
        <f aca="false">B149</f>
        <v>1800</v>
      </c>
      <c r="C264" s="105"/>
      <c r="D264" s="105"/>
      <c r="E264" s="105"/>
      <c r="F264" s="105"/>
      <c r="G264" s="105"/>
    </row>
    <row r="265" customFormat="false" ht="15" hidden="false" customHeight="false" outlineLevel="0" collapsed="false">
      <c r="A265" s="88" t="s">
        <v>633</v>
      </c>
      <c r="B265" s="109" t="n">
        <f aca="false">B263/B264</f>
        <v>32.41476081702</v>
      </c>
      <c r="C265" s="105"/>
      <c r="D265" s="105"/>
      <c r="E265" s="105"/>
      <c r="F265" s="105"/>
      <c r="G265" s="105"/>
    </row>
    <row r="266" customFormat="false" ht="15" hidden="false" customHeight="false" outlineLevel="0" collapsed="false">
      <c r="A266" s="89" t="s">
        <v>16</v>
      </c>
      <c r="B266" s="110" t="n">
        <f aca="false">B151</f>
        <v>33.48</v>
      </c>
      <c r="C266" s="105"/>
      <c r="D266" s="105"/>
      <c r="E266" s="105"/>
      <c r="F266" s="105"/>
      <c r="G266" s="105"/>
    </row>
    <row r="267" customFormat="false" ht="15" hidden="false" customHeight="false" outlineLevel="0" collapsed="false">
      <c r="A267" s="89" t="s">
        <v>17</v>
      </c>
      <c r="B267" s="98" t="n">
        <f aca="false">B265/B266-1</f>
        <v>-0.0318171798978506</v>
      </c>
      <c r="C267" s="105"/>
      <c r="D267" s="105"/>
      <c r="E267" s="105"/>
      <c r="F267" s="105"/>
      <c r="G267" s="105"/>
    </row>
    <row r="268" customFormat="false" ht="15" hidden="false" customHeight="false" outlineLevel="0" collapsed="false">
      <c r="A268" s="88" t="s">
        <v>634</v>
      </c>
      <c r="B268" s="111" t="str">
        <f aca="false">IF(B267&gt;B155,"COMPRAR",IF(B267&lt;-B155,"VENDER","MANTENER"))</f>
        <v>MANTENER</v>
      </c>
      <c r="C268" s="105"/>
      <c r="D268" s="105"/>
      <c r="E268" s="105"/>
      <c r="F268" s="105"/>
      <c r="G268" s="105"/>
    </row>
    <row r="269" customFormat="false" ht="15" hidden="false" customHeight="false" outlineLevel="0" collapsed="false">
      <c r="A269" s="89" t="s">
        <v>18</v>
      </c>
      <c r="B269" s="110" t="n">
        <f aca="false">Generales!B24</f>
        <v>23.357</v>
      </c>
      <c r="C269" s="105"/>
      <c r="D269" s="105"/>
      <c r="E269" s="105"/>
      <c r="F269" s="105"/>
      <c r="G269" s="105"/>
    </row>
    <row r="270" customFormat="false" ht="15" hidden="false" customHeight="false" outlineLevel="0" collapsed="false">
      <c r="A270" s="89" t="s">
        <v>635</v>
      </c>
      <c r="B270" s="98" t="n">
        <f aca="false">B265/B269-1</f>
        <v>0.38779641293916</v>
      </c>
      <c r="C270" s="105"/>
      <c r="D270" s="105"/>
      <c r="E270" s="105"/>
      <c r="F270" s="105"/>
      <c r="G270" s="10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4"/>
    <col collapsed="false" customWidth="true" hidden="false" outlineLevel="0" max="8" min="8" style="0" width="62"/>
    <col collapsed="false" customWidth="true" hidden="false" outlineLevel="0" max="12" min="9" style="0" width="14"/>
  </cols>
  <sheetData>
    <row r="1" customFormat="false" ht="17.35" hidden="false" customHeight="false" outlineLevel="0" collapsed="false">
      <c r="A1" s="119" t="s">
        <v>636</v>
      </c>
    </row>
    <row r="2" customFormat="false" ht="15" hidden="false" customHeight="false" outlineLevel="0" collapsed="false">
      <c r="A2" s="120" t="s">
        <v>637</v>
      </c>
    </row>
    <row r="3" customFormat="false" ht="15" hidden="false" customHeight="false" outlineLevel="0" collapsed="false">
      <c r="A3" s="120" t="s">
        <v>638</v>
      </c>
    </row>
    <row r="5" customFormat="false" ht="15" hidden="false" customHeight="false" outlineLevel="0" collapsed="false">
      <c r="A5" s="121" t="s">
        <v>639</v>
      </c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</row>
    <row r="6" customFormat="false" ht="15" hidden="false" customHeight="false" outlineLevel="0" collapsed="false">
      <c r="A6" s="123" t="s">
        <v>640</v>
      </c>
      <c r="B6" s="124" t="n">
        <v>2</v>
      </c>
      <c r="C6" s="123" t="str">
        <f aca="false">CHOOSE(B6+1,"Trayectoria Citi — Referencia","Cautela","Base","Alcista")</f>
        <v>Base</v>
      </c>
      <c r="H6" s="120" t="s">
        <v>641</v>
      </c>
    </row>
    <row r="8" customFormat="false" ht="15" hidden="false" customHeight="false" outlineLevel="0" collapsed="false">
      <c r="A8" s="125" t="s">
        <v>195</v>
      </c>
      <c r="B8" s="125" t="s">
        <v>226</v>
      </c>
      <c r="C8" s="125" t="s">
        <v>227</v>
      </c>
      <c r="D8" s="125" t="s">
        <v>228</v>
      </c>
      <c r="E8" s="125" t="s">
        <v>229</v>
      </c>
      <c r="F8" s="125" t="s">
        <v>230</v>
      </c>
      <c r="G8" s="125"/>
      <c r="H8" s="125" t="s">
        <v>642</v>
      </c>
    </row>
    <row r="9" customFormat="false" ht="55.2" hidden="false" customHeight="false" outlineLevel="0" collapsed="false">
      <c r="A9" s="0" t="s">
        <v>643</v>
      </c>
      <c r="B9" s="126" t="n">
        <v>0.0393</v>
      </c>
      <c r="C9" s="126" t="n">
        <v>0.0383</v>
      </c>
      <c r="D9" s="126" t="n">
        <v>0.0375</v>
      </c>
      <c r="E9" s="126" t="n">
        <v>0.0375</v>
      </c>
      <c r="F9" s="126" t="n">
        <v>0.0375</v>
      </c>
      <c r="H9" s="127" t="s">
        <v>644</v>
      </c>
    </row>
    <row r="10" customFormat="false" ht="28.35" hidden="false" customHeight="false" outlineLevel="0" collapsed="false">
      <c r="A10" s="0" t="s">
        <v>645</v>
      </c>
      <c r="B10" s="128" t="n">
        <f aca="false">$B$47</f>
        <v>0.0326</v>
      </c>
      <c r="C10" s="128" t="n">
        <f aca="false">$B$47</f>
        <v>0.0326</v>
      </c>
      <c r="D10" s="128" t="n">
        <f aca="false">$B$47</f>
        <v>0.0326</v>
      </c>
      <c r="E10" s="128" t="n">
        <f aca="false">$B$47</f>
        <v>0.0326</v>
      </c>
      <c r="F10" s="128" t="n">
        <f aca="false">$B$47</f>
        <v>0.0326</v>
      </c>
      <c r="H10" s="127" t="s">
        <v>646</v>
      </c>
    </row>
    <row r="11" customFormat="false" ht="28.35" hidden="false" customHeight="false" outlineLevel="0" collapsed="false">
      <c r="A11" s="0" t="s">
        <v>647</v>
      </c>
      <c r="B11" s="128" t="n">
        <f aca="false">$B$48</f>
        <v>0.0351</v>
      </c>
      <c r="C11" s="128" t="n">
        <f aca="false">$B$48</f>
        <v>0.0351</v>
      </c>
      <c r="D11" s="128" t="n">
        <f aca="false">$B$48</f>
        <v>0.0351</v>
      </c>
      <c r="E11" s="128" t="n">
        <f aca="false">$B$48</f>
        <v>0.0351</v>
      </c>
      <c r="F11" s="128" t="n">
        <f aca="false">$B$48</f>
        <v>0.0351</v>
      </c>
      <c r="H11" s="127" t="s">
        <v>648</v>
      </c>
    </row>
    <row r="12" customFormat="false" ht="15" hidden="false" customHeight="false" outlineLevel="0" collapsed="false">
      <c r="A12" s="0" t="s">
        <v>649</v>
      </c>
      <c r="B12" s="128" t="n">
        <f aca="false">$B$49</f>
        <v>0.04</v>
      </c>
      <c r="C12" s="128" t="n">
        <f aca="false">$B$49</f>
        <v>0.04</v>
      </c>
      <c r="D12" s="128" t="n">
        <f aca="false">$B$49</f>
        <v>0.04</v>
      </c>
      <c r="E12" s="128" t="n">
        <f aca="false">$B$49</f>
        <v>0.04</v>
      </c>
      <c r="F12" s="128" t="n">
        <f aca="false">$B$49</f>
        <v>0.04</v>
      </c>
      <c r="H12" s="127" t="s">
        <v>650</v>
      </c>
    </row>
    <row r="13" customFormat="false" ht="41.75" hidden="false" customHeight="false" outlineLevel="0" collapsed="false">
      <c r="A13" s="123" t="s">
        <v>651</v>
      </c>
      <c r="B13" s="129" t="n">
        <f aca="false">CHOOSE($B$6+1,B9,B10,B11,B12)</f>
        <v>0.0351</v>
      </c>
      <c r="C13" s="129" t="n">
        <f aca="false">CHOOSE($B$6+1,C9,C10,C11,C12)</f>
        <v>0.0351</v>
      </c>
      <c r="D13" s="129" t="n">
        <f aca="false">CHOOSE($B$6+1,D9,D10,D11,D12)</f>
        <v>0.0351</v>
      </c>
      <c r="E13" s="129" t="n">
        <f aca="false">CHOOSE($B$6+1,E9,E10,E11,E12)</f>
        <v>0.0351</v>
      </c>
      <c r="F13" s="129" t="n">
        <f aca="false">CHOOSE($B$6+1,F9,F10,F11,F12)</f>
        <v>0.0351</v>
      </c>
      <c r="H13" s="127" t="s">
        <v>652</v>
      </c>
    </row>
    <row r="15" customFormat="false" ht="15" hidden="false" customHeight="false" outlineLevel="0" collapsed="false">
      <c r="A15" s="121" t="s">
        <v>653</v>
      </c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</row>
    <row r="16" customFormat="false" ht="28.35" hidden="false" customHeight="false" outlineLevel="0" collapsed="false">
      <c r="A16" s="125" t="s">
        <v>654</v>
      </c>
      <c r="B16" s="125" t="s">
        <v>655</v>
      </c>
      <c r="C16" s="125"/>
      <c r="D16" s="125"/>
      <c r="E16" s="125"/>
      <c r="F16" s="125"/>
      <c r="G16" s="125"/>
      <c r="H16" s="125" t="s">
        <v>656</v>
      </c>
    </row>
    <row r="17" customFormat="false" ht="15" hidden="false" customHeight="true" outlineLevel="0" collapsed="false">
      <c r="A17" s="127" t="s">
        <v>657</v>
      </c>
      <c r="B17" s="130" t="s">
        <v>658</v>
      </c>
      <c r="C17" s="130"/>
      <c r="D17" s="130"/>
      <c r="E17" s="130"/>
      <c r="F17" s="130"/>
      <c r="G17" s="130"/>
      <c r="H17" s="127" t="s">
        <v>659</v>
      </c>
    </row>
    <row r="18" customFormat="false" ht="15" hidden="false" customHeight="true" outlineLevel="0" collapsed="false">
      <c r="A18" s="127" t="s">
        <v>660</v>
      </c>
      <c r="B18" s="130" t="s">
        <v>661</v>
      </c>
      <c r="C18" s="130"/>
      <c r="D18" s="130"/>
      <c r="E18" s="130"/>
      <c r="F18" s="130"/>
      <c r="G18" s="130"/>
      <c r="H18" s="127" t="s">
        <v>662</v>
      </c>
    </row>
    <row r="19" customFormat="false" ht="15" hidden="false" customHeight="true" outlineLevel="0" collapsed="false">
      <c r="A19" s="127" t="s">
        <v>663</v>
      </c>
      <c r="B19" s="130" t="s">
        <v>664</v>
      </c>
      <c r="C19" s="130"/>
      <c r="D19" s="130"/>
      <c r="E19" s="130"/>
      <c r="F19" s="130"/>
      <c r="G19" s="130"/>
      <c r="H19" s="127" t="s">
        <v>665</v>
      </c>
    </row>
    <row r="20" customFormat="false" ht="15" hidden="false" customHeight="true" outlineLevel="0" collapsed="false">
      <c r="A20" s="127" t="s">
        <v>666</v>
      </c>
      <c r="B20" s="130" t="s">
        <v>667</v>
      </c>
      <c r="C20" s="130"/>
      <c r="D20" s="130"/>
      <c r="E20" s="130"/>
      <c r="F20" s="130"/>
      <c r="G20" s="130"/>
      <c r="H20" s="127" t="s">
        <v>668</v>
      </c>
    </row>
    <row r="21" customFormat="false" ht="28.35" hidden="false" customHeight="true" outlineLevel="0" collapsed="false">
      <c r="A21" s="127" t="s">
        <v>669</v>
      </c>
      <c r="B21" s="130" t="s">
        <v>670</v>
      </c>
      <c r="C21" s="130"/>
      <c r="D21" s="130"/>
      <c r="E21" s="130"/>
      <c r="F21" s="130"/>
      <c r="G21" s="130"/>
      <c r="H21" s="127" t="s">
        <v>671</v>
      </c>
    </row>
    <row r="22" customFormat="false" ht="15" hidden="false" customHeight="true" outlineLevel="0" collapsed="false">
      <c r="A22" s="127" t="s">
        <v>672</v>
      </c>
      <c r="B22" s="130" t="s">
        <v>673</v>
      </c>
      <c r="C22" s="130"/>
      <c r="D22" s="130"/>
      <c r="E22" s="130"/>
      <c r="F22" s="130"/>
      <c r="G22" s="130"/>
      <c r="H22" s="127" t="s">
        <v>674</v>
      </c>
    </row>
    <row r="23" customFormat="false" ht="15" hidden="false" customHeight="true" outlineLevel="0" collapsed="false">
      <c r="A23" s="127" t="s">
        <v>675</v>
      </c>
      <c r="B23" s="130" t="s">
        <v>676</v>
      </c>
      <c r="C23" s="130"/>
      <c r="D23" s="130"/>
      <c r="E23" s="130"/>
      <c r="F23" s="130"/>
      <c r="G23" s="130"/>
      <c r="H23" s="127" t="s">
        <v>677</v>
      </c>
    </row>
    <row r="24" customFormat="false" ht="15" hidden="false" customHeight="true" outlineLevel="0" collapsed="false">
      <c r="A24" s="127" t="s">
        <v>678</v>
      </c>
      <c r="B24" s="130" t="s">
        <v>679</v>
      </c>
      <c r="C24" s="130"/>
      <c r="D24" s="130"/>
      <c r="E24" s="130"/>
      <c r="F24" s="130"/>
      <c r="G24" s="130"/>
      <c r="H24" s="127" t="s">
        <v>680</v>
      </c>
    </row>
    <row r="25" customFormat="false" ht="28.35" hidden="false" customHeight="true" outlineLevel="0" collapsed="false">
      <c r="A25" s="127" t="s">
        <v>681</v>
      </c>
      <c r="B25" s="130" t="s">
        <v>682</v>
      </c>
      <c r="C25" s="130"/>
      <c r="D25" s="130"/>
      <c r="E25" s="130"/>
      <c r="F25" s="130"/>
      <c r="G25" s="130"/>
      <c r="H25" s="127" t="s">
        <v>683</v>
      </c>
    </row>
    <row r="30" customFormat="false" ht="15" hidden="false" customHeight="false" outlineLevel="0" collapsed="false">
      <c r="A30" s="121" t="s">
        <v>684</v>
      </c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</row>
    <row r="31" customFormat="false" ht="15" hidden="false" customHeight="false" outlineLevel="0" collapsed="false">
      <c r="A31" s="125" t="s">
        <v>685</v>
      </c>
      <c r="B31" s="125" t="s">
        <v>332</v>
      </c>
      <c r="C31" s="125" t="s">
        <v>686</v>
      </c>
      <c r="D31" s="125" t="s">
        <v>687</v>
      </c>
      <c r="E31" s="125" t="s">
        <v>688</v>
      </c>
      <c r="F31" s="125" t="s">
        <v>689</v>
      </c>
      <c r="G31" s="125" t="s">
        <v>690</v>
      </c>
      <c r="H31" s="125" t="s">
        <v>691</v>
      </c>
    </row>
    <row r="32" customFormat="false" ht="15" hidden="false" customHeight="false" outlineLevel="0" collapsed="false">
      <c r="A32" s="0" t="s">
        <v>692</v>
      </c>
      <c r="B32" s="0" t="n">
        <f aca="false">COUNT(B148:B172)</f>
        <v>25</v>
      </c>
      <c r="C32" s="131" t="n">
        <f aca="false">EXP(INTERCEPT(F148:F172,E148:E172))</f>
        <v>3.9951135108918</v>
      </c>
      <c r="D32" s="132" t="n">
        <f aca="false">SLOPE(F148:F172,E148:E172)</f>
        <v>-0.00504430315867582</v>
      </c>
      <c r="E32" s="133" t="n">
        <f aca="false">RSQ(F148:F172,E148:E172)</f>
        <v>0.103894520254771</v>
      </c>
      <c r="F32" s="0" t="n">
        <v>26</v>
      </c>
      <c r="G32" s="134" t="n">
        <f aca="false">C32*EXP(D32*F32)/100</f>
        <v>0.0350405233912861</v>
      </c>
      <c r="H32" s="127" t="s">
        <v>693</v>
      </c>
    </row>
    <row r="33" customFormat="false" ht="15" hidden="false" customHeight="false" outlineLevel="0" collapsed="false">
      <c r="A33" s="0" t="s">
        <v>694</v>
      </c>
      <c r="B33" s="0" t="n">
        <f aca="false">COUNT(B38:E38)</f>
        <v>4</v>
      </c>
      <c r="C33" s="131" t="n">
        <f aca="false">EXP(INTERCEPT(B40:E40,B39:E39))</f>
        <v>4.03018985097207</v>
      </c>
      <c r="D33" s="132" t="n">
        <f aca="false">SLOPE(B40:E40,B39:E39)</f>
        <v>-0.0277127996736187</v>
      </c>
      <c r="E33" s="133" t="n">
        <f aca="false">RSQ(B40:E40,B39:E39)</f>
        <v>0.0920820961115119</v>
      </c>
      <c r="F33" s="0" t="n">
        <v>5</v>
      </c>
      <c r="G33" s="134" t="n">
        <f aca="false">C33*EXP(D33*F33)/100</f>
        <v>0.0350871363974646</v>
      </c>
      <c r="H33" s="127" t="s">
        <v>695</v>
      </c>
    </row>
    <row r="34" customFormat="false" ht="15" hidden="false" customHeight="false" outlineLevel="0" collapsed="false">
      <c r="A34" s="0" t="s">
        <v>696</v>
      </c>
      <c r="B34" s="0" t="n">
        <f aca="false">COUNT(C84:C172)</f>
        <v>89</v>
      </c>
      <c r="C34" s="131" t="n">
        <f aca="false">EXP(INTERCEPT(D84:D172,C84:C172))</f>
        <v>5.88119939515127</v>
      </c>
      <c r="D34" s="132" t="n">
        <f aca="false">SLOPE(D84:D172,C84:C172)</f>
        <v>-0.00633371303632891</v>
      </c>
      <c r="E34" s="133" t="n">
        <f aca="false">RSQ(D84:D172,C84:C172)</f>
        <v>0.622648621233629</v>
      </c>
      <c r="F34" s="0" t="n">
        <v>90</v>
      </c>
      <c r="G34" s="134" t="n">
        <f aca="false">C34*EXP(D34*F34)/100</f>
        <v>0.0332585421076777</v>
      </c>
      <c r="H34" s="127" t="s">
        <v>697</v>
      </c>
    </row>
    <row r="35" customFormat="false" ht="28.35" hidden="false" customHeight="false" outlineLevel="0" collapsed="false">
      <c r="A35" s="0" t="s">
        <v>698</v>
      </c>
      <c r="C35" s="135" t="n">
        <v>5.8812</v>
      </c>
      <c r="D35" s="136" t="n">
        <v>-0.006</v>
      </c>
      <c r="F35" s="0" t="n">
        <v>90</v>
      </c>
      <c r="G35" s="137" t="n">
        <f aca="false">C35*EXP(D35*F35)/100</f>
        <v>0.0342725902186191</v>
      </c>
      <c r="H35" s="127" t="s">
        <v>699</v>
      </c>
    </row>
    <row r="36" customFormat="false" ht="41.75" hidden="false" customHeight="false" outlineLevel="0" collapsed="false">
      <c r="A36" s="0" t="s">
        <v>700</v>
      </c>
      <c r="G36" s="137" t="n">
        <f aca="false">AVERAGE(B168:B172,G35*100)/100</f>
        <v>0.0326787650364365</v>
      </c>
      <c r="H36" s="127" t="s">
        <v>701</v>
      </c>
    </row>
    <row r="38" customFormat="false" ht="15" hidden="false" customHeight="false" outlineLevel="0" collapsed="false">
      <c r="A38" s="123" t="s">
        <v>702</v>
      </c>
      <c r="B38" s="131" t="n">
        <f aca="false">AVERAGE(B148:B153)</f>
        <v>3.70833333333333</v>
      </c>
      <c r="C38" s="131" t="n">
        <f aca="false">AVERAGE(B154:B159)</f>
        <v>3.83666666666667</v>
      </c>
      <c r="D38" s="131" t="n">
        <f aca="false">AVERAGE(B160:B165)</f>
        <v>4.32666666666667</v>
      </c>
      <c r="E38" s="131" t="n">
        <f aca="false">AVERAGE(B166:B171)</f>
        <v>3.24833333333333</v>
      </c>
    </row>
    <row r="39" customFormat="false" ht="15" hidden="false" customHeight="false" outlineLevel="0" collapsed="false">
      <c r="A39" s="0" t="s">
        <v>703</v>
      </c>
      <c r="B39" s="0" t="n">
        <v>1</v>
      </c>
      <c r="C39" s="0" t="n">
        <v>2</v>
      </c>
      <c r="D39" s="0" t="n">
        <v>3</v>
      </c>
      <c r="E39" s="0" t="n">
        <v>4</v>
      </c>
    </row>
    <row r="40" customFormat="false" ht="15" hidden="false" customHeight="false" outlineLevel="0" collapsed="false">
      <c r="A40" s="0" t="s">
        <v>704</v>
      </c>
      <c r="B40" s="138" t="n">
        <f aca="false">LN(B38)</f>
        <v>1.31058253938419</v>
      </c>
      <c r="C40" s="138" t="n">
        <f aca="false">LN(C38)</f>
        <v>1.34460393406568</v>
      </c>
      <c r="D40" s="138" t="n">
        <f aca="false">LN(D38)</f>
        <v>1.46479742260783</v>
      </c>
      <c r="E40" s="138" t="n">
        <f aca="false">LN(E38)</f>
        <v>1.17814204429141</v>
      </c>
    </row>
    <row r="43" customFormat="false" ht="15" hidden="false" customHeight="false" outlineLevel="0" collapsed="false">
      <c r="A43" s="121" t="s">
        <v>705</v>
      </c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</row>
    <row r="44" customFormat="false" ht="15" hidden="false" customHeight="false" outlineLevel="0" collapsed="false">
      <c r="A44" s="125" t="s">
        <v>706</v>
      </c>
      <c r="B44" s="125" t="s">
        <v>78</v>
      </c>
      <c r="C44" s="125" t="s">
        <v>707</v>
      </c>
      <c r="D44" s="125"/>
      <c r="E44" s="125"/>
      <c r="F44" s="125"/>
      <c r="G44" s="125"/>
      <c r="H44" s="125" t="s">
        <v>708</v>
      </c>
    </row>
    <row r="47" customFormat="false" ht="48" hidden="false" customHeight="true" outlineLevel="0" collapsed="false">
      <c r="A47" s="123" t="s">
        <v>709</v>
      </c>
      <c r="B47" s="126" t="n">
        <v>0.0326</v>
      </c>
      <c r="C47" s="130" t="s">
        <v>710</v>
      </c>
      <c r="D47" s="130"/>
      <c r="E47" s="130"/>
      <c r="F47" s="130"/>
      <c r="G47" s="130"/>
      <c r="H47" s="127" t="s">
        <v>711</v>
      </c>
    </row>
    <row r="48" customFormat="false" ht="48" hidden="false" customHeight="true" outlineLevel="0" collapsed="false">
      <c r="A48" s="123" t="s">
        <v>712</v>
      </c>
      <c r="B48" s="139" t="n">
        <f aca="false">ROUND(G33,4)</f>
        <v>0.0351</v>
      </c>
      <c r="C48" s="130" t="s">
        <v>713</v>
      </c>
      <c r="D48" s="130"/>
      <c r="E48" s="130"/>
      <c r="F48" s="130"/>
      <c r="G48" s="130"/>
      <c r="H48" s="127" t="s">
        <v>714</v>
      </c>
    </row>
    <row r="49" customFormat="false" ht="48" hidden="false" customHeight="true" outlineLevel="0" collapsed="false">
      <c r="A49" s="123" t="s">
        <v>715</v>
      </c>
      <c r="B49" s="126" t="n">
        <v>0.04</v>
      </c>
      <c r="C49" s="130" t="s">
        <v>716</v>
      </c>
      <c r="D49" s="130"/>
      <c r="E49" s="130"/>
      <c r="F49" s="130"/>
      <c r="G49" s="130"/>
      <c r="H49" s="127" t="s">
        <v>717</v>
      </c>
    </row>
    <row r="51" customFormat="false" ht="15" hidden="false" customHeight="false" outlineLevel="0" collapsed="false">
      <c r="A51" s="120" t="s">
        <v>718</v>
      </c>
    </row>
    <row r="58" customFormat="false" ht="15" hidden="false" customHeight="false" outlineLevel="0" collapsed="false">
      <c r="A58" s="121" t="s">
        <v>719</v>
      </c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</row>
    <row r="59" customFormat="false" ht="28.35" hidden="false" customHeight="false" outlineLevel="0" collapsed="false">
      <c r="A59" s="125" t="s">
        <v>720</v>
      </c>
      <c r="B59" s="125" t="s">
        <v>721</v>
      </c>
      <c r="C59" s="125" t="s">
        <v>722</v>
      </c>
      <c r="D59" s="125" t="s">
        <v>723</v>
      </c>
      <c r="E59" s="125" t="s">
        <v>724</v>
      </c>
      <c r="F59" s="125" t="s">
        <v>725</v>
      </c>
      <c r="G59" s="125" t="s">
        <v>726</v>
      </c>
      <c r="H59" s="125"/>
    </row>
    <row r="60" customFormat="false" ht="15" hidden="false" customHeight="false" outlineLevel="0" collapsed="false">
      <c r="A60" s="140" t="n">
        <v>44562</v>
      </c>
      <c r="B60" s="141" t="n">
        <v>7.13</v>
      </c>
    </row>
    <row r="61" customFormat="false" ht="15" hidden="false" customHeight="false" outlineLevel="0" collapsed="false">
      <c r="A61" s="140" t="n">
        <v>44577</v>
      </c>
      <c r="B61" s="141" t="n">
        <v>7.01</v>
      </c>
    </row>
    <row r="62" customFormat="false" ht="15" hidden="false" customHeight="false" outlineLevel="0" collapsed="false">
      <c r="A62" s="140" t="n">
        <v>44593</v>
      </c>
      <c r="B62" s="141" t="n">
        <v>7.22</v>
      </c>
    </row>
    <row r="63" customFormat="false" ht="15" hidden="false" customHeight="false" outlineLevel="0" collapsed="false">
      <c r="A63" s="140" t="n">
        <v>44608</v>
      </c>
      <c r="B63" s="141" t="n">
        <v>7.34</v>
      </c>
    </row>
    <row r="64" customFormat="false" ht="15" hidden="false" customHeight="false" outlineLevel="0" collapsed="false">
      <c r="A64" s="140" t="n">
        <v>44621</v>
      </c>
      <c r="B64" s="141" t="n">
        <v>7.29</v>
      </c>
    </row>
    <row r="65" customFormat="false" ht="15" hidden="false" customHeight="false" outlineLevel="0" collapsed="false">
      <c r="A65" s="140" t="n">
        <v>44636</v>
      </c>
      <c r="B65" s="141" t="n">
        <v>7.62</v>
      </c>
    </row>
    <row r="66" customFormat="false" ht="15" hidden="false" customHeight="false" outlineLevel="0" collapsed="false">
      <c r="A66" s="140" t="n">
        <v>44652</v>
      </c>
      <c r="B66" s="141" t="n">
        <v>7.72</v>
      </c>
    </row>
    <row r="67" customFormat="false" ht="15" hidden="false" customHeight="false" outlineLevel="0" collapsed="false">
      <c r="A67" s="140" t="n">
        <v>44667</v>
      </c>
      <c r="B67" s="141" t="n">
        <v>7.65</v>
      </c>
    </row>
    <row r="68" customFormat="false" ht="15" hidden="false" customHeight="false" outlineLevel="0" collapsed="false">
      <c r="A68" s="140" t="n">
        <v>44682</v>
      </c>
      <c r="B68" s="141" t="n">
        <v>7.58</v>
      </c>
    </row>
    <row r="69" customFormat="false" ht="15" hidden="false" customHeight="false" outlineLevel="0" collapsed="false">
      <c r="A69" s="140" t="n">
        <v>44697</v>
      </c>
      <c r="B69" s="141" t="n">
        <v>7.72</v>
      </c>
    </row>
    <row r="70" customFormat="false" ht="15" hidden="false" customHeight="false" outlineLevel="0" collapsed="false">
      <c r="A70" s="140" t="n">
        <v>44713</v>
      </c>
      <c r="B70" s="141" t="n">
        <v>7.88</v>
      </c>
    </row>
    <row r="71" customFormat="false" ht="15" hidden="false" customHeight="false" outlineLevel="0" collapsed="false">
      <c r="A71" s="140" t="n">
        <v>44728</v>
      </c>
      <c r="B71" s="141" t="n">
        <v>8.09</v>
      </c>
    </row>
    <row r="72" customFormat="false" ht="15" hidden="false" customHeight="false" outlineLevel="0" collapsed="false">
      <c r="A72" s="140" t="n">
        <v>44743</v>
      </c>
      <c r="B72" s="141" t="n">
        <v>8.16</v>
      </c>
    </row>
    <row r="73" customFormat="false" ht="15" hidden="false" customHeight="false" outlineLevel="0" collapsed="false">
      <c r="A73" s="140" t="n">
        <v>44758</v>
      </c>
      <c r="B73" s="141" t="n">
        <v>8.14</v>
      </c>
    </row>
    <row r="74" customFormat="false" ht="15" hidden="false" customHeight="false" outlineLevel="0" collapsed="false">
      <c r="A74" s="140" t="n">
        <v>44774</v>
      </c>
      <c r="B74" s="141" t="n">
        <v>8.62</v>
      </c>
    </row>
    <row r="75" customFormat="false" ht="15" hidden="false" customHeight="false" outlineLevel="0" collapsed="false">
      <c r="A75" s="140" t="n">
        <v>44789</v>
      </c>
      <c r="B75" s="141" t="n">
        <v>8.77</v>
      </c>
    </row>
    <row r="76" customFormat="false" ht="15" hidden="false" customHeight="false" outlineLevel="0" collapsed="false">
      <c r="A76" s="140" t="n">
        <v>44805</v>
      </c>
      <c r="B76" s="141" t="n">
        <v>8.76</v>
      </c>
    </row>
    <row r="77" customFormat="false" ht="15" hidden="false" customHeight="false" outlineLevel="0" collapsed="false">
      <c r="A77" s="140" t="n">
        <v>44820</v>
      </c>
      <c r="B77" s="141" t="n">
        <v>8.64</v>
      </c>
    </row>
    <row r="78" customFormat="false" ht="15" hidden="false" customHeight="false" outlineLevel="0" collapsed="false">
      <c r="A78" s="140" t="n">
        <v>44835</v>
      </c>
      <c r="B78" s="141" t="n">
        <v>8.53</v>
      </c>
    </row>
    <row r="79" customFormat="false" ht="15" hidden="false" customHeight="false" outlineLevel="0" collapsed="false">
      <c r="A79" s="140" t="n">
        <v>44850</v>
      </c>
      <c r="B79" s="141" t="n">
        <v>8.28</v>
      </c>
    </row>
    <row r="80" customFormat="false" ht="15" hidden="false" customHeight="false" outlineLevel="0" collapsed="false">
      <c r="A80" s="140" t="n">
        <v>44866</v>
      </c>
      <c r="B80" s="141" t="n">
        <v>8.14</v>
      </c>
    </row>
    <row r="81" customFormat="false" ht="15" hidden="false" customHeight="false" outlineLevel="0" collapsed="false">
      <c r="A81" s="140" t="n">
        <v>44881</v>
      </c>
      <c r="B81" s="141" t="n">
        <v>7.46</v>
      </c>
    </row>
    <row r="82" customFormat="false" ht="15" hidden="false" customHeight="false" outlineLevel="0" collapsed="false">
      <c r="A82" s="140" t="n">
        <v>44896</v>
      </c>
      <c r="B82" s="141" t="n">
        <v>7.77</v>
      </c>
    </row>
    <row r="83" customFormat="false" ht="15" hidden="false" customHeight="false" outlineLevel="0" collapsed="false">
      <c r="A83" s="140" t="n">
        <v>44911</v>
      </c>
      <c r="B83" s="141" t="n">
        <v>7.86</v>
      </c>
    </row>
    <row r="84" customFormat="false" ht="15" hidden="false" customHeight="false" outlineLevel="0" collapsed="false">
      <c r="A84" s="140" t="n">
        <v>44927</v>
      </c>
      <c r="B84" s="141" t="n">
        <v>7.94</v>
      </c>
      <c r="C84" s="0" t="n">
        <v>1</v>
      </c>
      <c r="D84" s="138" t="n">
        <f aca="false">LN(B84)</f>
        <v>2.07191327525904</v>
      </c>
    </row>
    <row r="85" customFormat="false" ht="15" hidden="false" customHeight="false" outlineLevel="0" collapsed="false">
      <c r="A85" s="140" t="n">
        <v>44942</v>
      </c>
      <c r="B85" s="141" t="n">
        <v>7.88</v>
      </c>
      <c r="C85" s="0" t="n">
        <v>2</v>
      </c>
      <c r="D85" s="138" t="n">
        <f aca="false">LN(B85)</f>
        <v>2.06432790386979</v>
      </c>
    </row>
    <row r="86" customFormat="false" ht="15" hidden="false" customHeight="false" outlineLevel="0" collapsed="false">
      <c r="A86" s="140" t="n">
        <v>44958</v>
      </c>
      <c r="B86" s="141" t="n">
        <v>7.76</v>
      </c>
      <c r="C86" s="0" t="n">
        <v>3</v>
      </c>
      <c r="D86" s="138" t="n">
        <f aca="false">LN(B86)</f>
        <v>2.04898233419513</v>
      </c>
    </row>
    <row r="87" customFormat="false" ht="15" hidden="false" customHeight="false" outlineLevel="0" collapsed="false">
      <c r="A87" s="140" t="n">
        <v>44973</v>
      </c>
      <c r="B87" s="141" t="n">
        <v>7.48</v>
      </c>
      <c r="C87" s="0" t="n">
        <v>4</v>
      </c>
      <c r="D87" s="138" t="n">
        <f aca="false">LN(B87)</f>
        <v>2.01223279198639</v>
      </c>
    </row>
    <row r="88" customFormat="false" ht="15" hidden="false" customHeight="false" outlineLevel="0" collapsed="false">
      <c r="A88" s="140" t="n">
        <v>44986</v>
      </c>
      <c r="B88" s="141" t="n">
        <v>7.12</v>
      </c>
      <c r="C88" s="0" t="n">
        <v>5</v>
      </c>
      <c r="D88" s="138" t="n">
        <f aca="false">LN(B88)</f>
        <v>1.96290772542388</v>
      </c>
    </row>
    <row r="89" customFormat="false" ht="15" hidden="false" customHeight="false" outlineLevel="0" collapsed="false">
      <c r="A89" s="140" t="n">
        <v>45001</v>
      </c>
      <c r="B89" s="141" t="n">
        <v>6.58</v>
      </c>
      <c r="C89" s="0" t="n">
        <v>6</v>
      </c>
      <c r="D89" s="138" t="n">
        <f aca="false">LN(B89)</f>
        <v>1.88403474533723</v>
      </c>
    </row>
    <row r="90" customFormat="false" ht="15" hidden="false" customHeight="false" outlineLevel="0" collapsed="false">
      <c r="A90" s="140" t="n">
        <v>45017</v>
      </c>
      <c r="B90" s="141" t="n">
        <v>6.24</v>
      </c>
      <c r="C90" s="0" t="n">
        <v>7</v>
      </c>
      <c r="D90" s="138" t="n">
        <f aca="false">LN(B90)</f>
        <v>1.83098018238134</v>
      </c>
    </row>
    <row r="91" customFormat="false" ht="15" hidden="false" customHeight="false" outlineLevel="0" collapsed="false">
      <c r="A91" s="140" t="n">
        <v>45032</v>
      </c>
      <c r="B91" s="141" t="n">
        <v>6.27</v>
      </c>
      <c r="C91" s="0" t="n">
        <v>8</v>
      </c>
      <c r="D91" s="138" t="n">
        <f aca="false">LN(B91)</f>
        <v>1.83577635464483</v>
      </c>
    </row>
    <row r="92" customFormat="false" ht="15" hidden="false" customHeight="false" outlineLevel="0" collapsed="false">
      <c r="A92" s="140" t="n">
        <v>45047</v>
      </c>
      <c r="B92" s="141" t="n">
        <v>6</v>
      </c>
      <c r="C92" s="0" t="n">
        <v>9</v>
      </c>
      <c r="D92" s="138" t="n">
        <f aca="false">LN(B92)</f>
        <v>1.79175946922806</v>
      </c>
    </row>
    <row r="93" customFormat="false" ht="15" hidden="false" customHeight="false" outlineLevel="0" collapsed="false">
      <c r="A93" s="140" t="n">
        <v>45062</v>
      </c>
      <c r="B93" s="141" t="n">
        <v>5.67</v>
      </c>
      <c r="C93" s="0" t="n">
        <v>10</v>
      </c>
      <c r="D93" s="138" t="n">
        <f aca="false">LN(B93)</f>
        <v>1.73518911773966</v>
      </c>
    </row>
    <row r="94" customFormat="false" ht="15" hidden="false" customHeight="false" outlineLevel="0" collapsed="false">
      <c r="A94" s="140" t="n">
        <v>45078</v>
      </c>
      <c r="B94" s="141" t="n">
        <v>5.18</v>
      </c>
      <c r="C94" s="0" t="n">
        <v>11</v>
      </c>
      <c r="D94" s="138" t="n">
        <f aca="false">LN(B94)</f>
        <v>1.64480505627139</v>
      </c>
    </row>
    <row r="95" customFormat="false" ht="15" hidden="false" customHeight="false" outlineLevel="0" collapsed="false">
      <c r="A95" s="140" t="n">
        <v>45093</v>
      </c>
      <c r="B95" s="141" t="n">
        <v>4.93</v>
      </c>
      <c r="C95" s="0" t="n">
        <v>12</v>
      </c>
      <c r="D95" s="138" t="n">
        <f aca="false">LN(B95)</f>
        <v>1.5953389880546</v>
      </c>
    </row>
    <row r="96" customFormat="false" ht="15" hidden="false" customHeight="false" outlineLevel="0" collapsed="false">
      <c r="A96" s="140" t="n">
        <v>45108</v>
      </c>
      <c r="B96" s="141" t="n">
        <v>4.79</v>
      </c>
      <c r="C96" s="0" t="n">
        <v>13</v>
      </c>
      <c r="D96" s="138" t="n">
        <f aca="false">LN(B96)</f>
        <v>1.56653041142282</v>
      </c>
    </row>
    <row r="97" customFormat="false" ht="15" hidden="false" customHeight="false" outlineLevel="0" collapsed="false">
      <c r="A97" s="140" t="n">
        <v>45123</v>
      </c>
      <c r="B97" s="141" t="n">
        <v>4.78</v>
      </c>
      <c r="C97" s="0" t="n">
        <v>14</v>
      </c>
      <c r="D97" s="138" t="n">
        <f aca="false">LN(B97)</f>
        <v>1.56444054650336</v>
      </c>
    </row>
    <row r="98" customFormat="false" ht="15" hidden="false" customHeight="false" outlineLevel="0" collapsed="false">
      <c r="A98" s="140" t="n">
        <v>45139</v>
      </c>
      <c r="B98" s="141" t="n">
        <v>4.67</v>
      </c>
      <c r="C98" s="0" t="n">
        <v>15</v>
      </c>
      <c r="D98" s="138" t="n">
        <f aca="false">LN(B98)</f>
        <v>1.54115907168081</v>
      </c>
    </row>
    <row r="99" customFormat="false" ht="15" hidden="false" customHeight="false" outlineLevel="0" collapsed="false">
      <c r="A99" s="140" t="n">
        <v>45154</v>
      </c>
      <c r="B99" s="141" t="n">
        <v>4.6</v>
      </c>
      <c r="C99" s="0" t="n">
        <v>16</v>
      </c>
      <c r="D99" s="138" t="n">
        <f aca="false">LN(B99)</f>
        <v>1.52605630349505</v>
      </c>
    </row>
    <row r="100" customFormat="false" ht="15" hidden="false" customHeight="false" outlineLevel="0" collapsed="false">
      <c r="A100" s="140" t="n">
        <v>45170</v>
      </c>
      <c r="B100" s="141" t="n">
        <v>4.44</v>
      </c>
      <c r="C100" s="0" t="n">
        <v>17</v>
      </c>
      <c r="D100" s="138" t="n">
        <f aca="false">LN(B100)</f>
        <v>1.49065437644413</v>
      </c>
    </row>
    <row r="101" customFormat="false" ht="15" hidden="false" customHeight="false" outlineLevel="0" collapsed="false">
      <c r="A101" s="140" t="n">
        <v>45185</v>
      </c>
      <c r="B101" s="141" t="n">
        <v>4.47</v>
      </c>
      <c r="C101" s="0" t="n">
        <v>18</v>
      </c>
      <c r="D101" s="138" t="n">
        <f aca="false">LN(B101)</f>
        <v>1.49738840862548</v>
      </c>
    </row>
    <row r="102" customFormat="false" ht="15" hidden="false" customHeight="false" outlineLevel="0" collapsed="false">
      <c r="A102" s="140" t="n">
        <v>45200</v>
      </c>
      <c r="B102" s="141" t="n">
        <v>4.27</v>
      </c>
      <c r="C102" s="0" t="n">
        <v>19</v>
      </c>
      <c r="D102" s="138" t="n">
        <f aca="false">LN(B102)</f>
        <v>1.45161382724053</v>
      </c>
    </row>
    <row r="103" customFormat="false" ht="15" hidden="false" customHeight="false" outlineLevel="0" collapsed="false">
      <c r="A103" s="140" t="n">
        <v>45215</v>
      </c>
      <c r="B103" s="141" t="n">
        <v>4.25</v>
      </c>
      <c r="C103" s="0" t="n">
        <v>20</v>
      </c>
      <c r="D103" s="138" t="n">
        <f aca="false">LN(B103)</f>
        <v>1.44691898293633</v>
      </c>
    </row>
    <row r="104" customFormat="false" ht="15" hidden="false" customHeight="false" outlineLevel="0" collapsed="false">
      <c r="A104" s="140" t="n">
        <v>45231</v>
      </c>
      <c r="B104" s="141" t="n">
        <v>4.32</v>
      </c>
      <c r="C104" s="0" t="n">
        <v>21</v>
      </c>
      <c r="D104" s="138" t="n">
        <f aca="false">LN(B104)</f>
        <v>1.46325540225602</v>
      </c>
    </row>
    <row r="105" customFormat="false" ht="15" hidden="false" customHeight="false" outlineLevel="0" collapsed="false">
      <c r="A105" s="140" t="n">
        <v>45246</v>
      </c>
      <c r="B105" s="141" t="n">
        <v>4.33</v>
      </c>
      <c r="C105" s="0" t="n">
        <v>22</v>
      </c>
      <c r="D105" s="138" t="n">
        <f aca="false">LN(B105)</f>
        <v>1.4655675420144</v>
      </c>
    </row>
    <row r="106" customFormat="false" ht="15" hidden="false" customHeight="false" outlineLevel="0" collapsed="false">
      <c r="A106" s="140" t="n">
        <v>45261</v>
      </c>
      <c r="B106" s="141" t="n">
        <v>4.46</v>
      </c>
      <c r="C106" s="0" t="n">
        <v>23</v>
      </c>
      <c r="D106" s="138" t="n">
        <f aca="false">LN(B106)</f>
        <v>1.49514876603197</v>
      </c>
    </row>
    <row r="107" customFormat="false" ht="15" hidden="false" customHeight="false" outlineLevel="0" collapsed="false">
      <c r="A107" s="140" t="n">
        <v>45276</v>
      </c>
      <c r="B107" s="141" t="n">
        <v>4.86</v>
      </c>
      <c r="C107" s="0" t="n">
        <v>24</v>
      </c>
      <c r="D107" s="138" t="n">
        <f aca="false">LN(B107)</f>
        <v>1.5810384379124</v>
      </c>
    </row>
    <row r="108" customFormat="false" ht="15" hidden="false" customHeight="false" outlineLevel="0" collapsed="false">
      <c r="A108" s="140" t="n">
        <v>45292</v>
      </c>
      <c r="B108" s="141" t="n">
        <v>4.9</v>
      </c>
      <c r="C108" s="0" t="n">
        <v>25</v>
      </c>
      <c r="D108" s="138" t="n">
        <f aca="false">LN(B108)</f>
        <v>1.58923520511658</v>
      </c>
    </row>
    <row r="109" customFormat="false" ht="15" hidden="false" customHeight="false" outlineLevel="0" collapsed="false">
      <c r="A109" s="140" t="n">
        <v>45307</v>
      </c>
      <c r="B109" s="141" t="n">
        <v>4.87</v>
      </c>
      <c r="C109" s="0" t="n">
        <v>26</v>
      </c>
      <c r="D109" s="138" t="n">
        <f aca="false">LN(B109)</f>
        <v>1.5830939370945</v>
      </c>
    </row>
    <row r="110" customFormat="false" ht="15" hidden="false" customHeight="false" outlineLevel="0" collapsed="false">
      <c r="A110" s="140" t="n">
        <v>45323</v>
      </c>
      <c r="B110" s="141" t="n">
        <v>4.45</v>
      </c>
      <c r="C110" s="0" t="n">
        <v>27</v>
      </c>
      <c r="D110" s="138" t="n">
        <f aca="false">LN(B110)</f>
        <v>1.49290409617815</v>
      </c>
    </row>
    <row r="111" customFormat="false" ht="15" hidden="false" customHeight="false" outlineLevel="0" collapsed="false">
      <c r="A111" s="140" t="n">
        <v>45338</v>
      </c>
      <c r="B111" s="141" t="n">
        <v>4.35</v>
      </c>
      <c r="C111" s="0" t="n">
        <v>28</v>
      </c>
      <c r="D111" s="138" t="n">
        <f aca="false">LN(B111)</f>
        <v>1.47017584510059</v>
      </c>
    </row>
    <row r="112" customFormat="false" ht="15" hidden="false" customHeight="false" outlineLevel="0" collapsed="false">
      <c r="A112" s="140" t="n">
        <v>45352</v>
      </c>
      <c r="B112" s="141" t="n">
        <v>4.48</v>
      </c>
      <c r="C112" s="0" t="n">
        <v>29</v>
      </c>
      <c r="D112" s="138" t="n">
        <f aca="false">LN(B112)</f>
        <v>1.49962304642689</v>
      </c>
    </row>
    <row r="113" customFormat="false" ht="15" hidden="false" customHeight="false" outlineLevel="0" collapsed="false">
      <c r="A113" s="140" t="n">
        <v>45367</v>
      </c>
      <c r="B113" s="141" t="n">
        <v>4.37</v>
      </c>
      <c r="C113" s="0" t="n">
        <v>30</v>
      </c>
      <c r="D113" s="138" t="n">
        <f aca="false">LN(B113)</f>
        <v>1.4747630091075</v>
      </c>
    </row>
    <row r="114" customFormat="false" ht="15" hidden="false" customHeight="false" outlineLevel="0" collapsed="false">
      <c r="A114" s="140" t="n">
        <v>45383</v>
      </c>
      <c r="B114" s="141" t="n">
        <v>4.63</v>
      </c>
      <c r="C114" s="0" t="n">
        <v>31</v>
      </c>
      <c r="D114" s="138" t="n">
        <f aca="false">LN(B114)</f>
        <v>1.53255686809814</v>
      </c>
    </row>
    <row r="115" customFormat="false" ht="15" hidden="false" customHeight="false" outlineLevel="0" collapsed="false">
      <c r="A115" s="140" t="n">
        <v>45398</v>
      </c>
      <c r="B115" s="141" t="n">
        <v>4.67</v>
      </c>
      <c r="C115" s="0" t="n">
        <v>32</v>
      </c>
      <c r="D115" s="138" t="n">
        <f aca="false">LN(B115)</f>
        <v>1.54115907168081</v>
      </c>
    </row>
    <row r="116" customFormat="false" ht="15" hidden="false" customHeight="false" outlineLevel="0" collapsed="false">
      <c r="A116" s="140" t="n">
        <v>45413</v>
      </c>
      <c r="B116" s="141" t="n">
        <v>4.78</v>
      </c>
      <c r="C116" s="0" t="n">
        <v>33</v>
      </c>
      <c r="D116" s="138" t="n">
        <f aca="false">LN(B116)</f>
        <v>1.56444054650336</v>
      </c>
    </row>
    <row r="117" customFormat="false" ht="15" hidden="false" customHeight="false" outlineLevel="0" collapsed="false">
      <c r="A117" s="140" t="n">
        <v>45428</v>
      </c>
      <c r="B117" s="141" t="n">
        <v>4.59</v>
      </c>
      <c r="C117" s="0" t="n">
        <v>34</v>
      </c>
      <c r="D117" s="138" t="n">
        <f aca="false">LN(B117)</f>
        <v>1.52388002407245</v>
      </c>
    </row>
    <row r="118" customFormat="false" ht="15" hidden="false" customHeight="false" outlineLevel="0" collapsed="false">
      <c r="A118" s="140" t="n">
        <v>45444</v>
      </c>
      <c r="B118" s="141" t="n">
        <v>4.78</v>
      </c>
      <c r="C118" s="0" t="n">
        <v>35</v>
      </c>
      <c r="D118" s="138" t="n">
        <f aca="false">LN(B118)</f>
        <v>1.56444054650336</v>
      </c>
    </row>
    <row r="119" customFormat="false" ht="15" hidden="false" customHeight="false" outlineLevel="0" collapsed="false">
      <c r="A119" s="140" t="n">
        <v>45459</v>
      </c>
      <c r="B119" s="141" t="n">
        <v>5.17</v>
      </c>
      <c r="C119" s="0" t="n">
        <v>36</v>
      </c>
      <c r="D119" s="138" t="n">
        <f aca="false">LN(B119)</f>
        <v>1.64287268852034</v>
      </c>
    </row>
    <row r="120" customFormat="false" ht="15" hidden="false" customHeight="false" outlineLevel="0" collapsed="false">
      <c r="A120" s="140" t="n">
        <v>45474</v>
      </c>
      <c r="B120" s="141" t="n">
        <v>5.61</v>
      </c>
      <c r="C120" s="0" t="n">
        <v>37</v>
      </c>
      <c r="D120" s="138" t="n">
        <f aca="false">LN(B120)</f>
        <v>1.72455071953461</v>
      </c>
    </row>
    <row r="121" customFormat="false" ht="15" hidden="false" customHeight="false" outlineLevel="0" collapsed="false">
      <c r="A121" s="140" t="n">
        <v>45489</v>
      </c>
      <c r="B121" s="141" t="n">
        <v>5.52</v>
      </c>
      <c r="C121" s="0" t="n">
        <v>38</v>
      </c>
      <c r="D121" s="138" t="n">
        <f aca="false">LN(B121)</f>
        <v>1.708377860289</v>
      </c>
    </row>
    <row r="122" customFormat="false" ht="15" hidden="false" customHeight="false" outlineLevel="0" collapsed="false">
      <c r="A122" s="140" t="n">
        <v>45505</v>
      </c>
      <c r="B122" s="141" t="n">
        <v>5.16</v>
      </c>
      <c r="C122" s="0" t="n">
        <v>39</v>
      </c>
      <c r="D122" s="138" t="n">
        <f aca="false">LN(B122)</f>
        <v>1.64093657949347</v>
      </c>
    </row>
    <row r="123" customFormat="false" ht="15" hidden="false" customHeight="false" outlineLevel="0" collapsed="false">
      <c r="A123" s="140" t="n">
        <v>45520</v>
      </c>
      <c r="B123" s="141" t="n">
        <v>4.83</v>
      </c>
      <c r="C123" s="0" t="n">
        <v>40</v>
      </c>
      <c r="D123" s="138" t="n">
        <f aca="false">LN(B123)</f>
        <v>1.57484646766448</v>
      </c>
    </row>
    <row r="124" customFormat="false" ht="15" hidden="false" customHeight="false" outlineLevel="0" collapsed="false">
      <c r="A124" s="140" t="n">
        <v>45536</v>
      </c>
      <c r="B124" s="141" t="n">
        <v>4.66</v>
      </c>
      <c r="C124" s="0" t="n">
        <v>41</v>
      </c>
      <c r="D124" s="138" t="n">
        <f aca="false">LN(B124)</f>
        <v>1.53901544813755</v>
      </c>
    </row>
    <row r="125" customFormat="false" ht="15" hidden="false" customHeight="false" outlineLevel="0" collapsed="false">
      <c r="A125" s="140" t="n">
        <v>45551</v>
      </c>
      <c r="B125" s="141" t="n">
        <v>4.5</v>
      </c>
      <c r="C125" s="0" t="n">
        <v>42</v>
      </c>
      <c r="D125" s="138" t="n">
        <f aca="false">LN(B125)</f>
        <v>1.50407739677627</v>
      </c>
    </row>
    <row r="126" customFormat="false" ht="15" hidden="false" customHeight="false" outlineLevel="0" collapsed="false">
      <c r="A126" s="140" t="n">
        <v>45566</v>
      </c>
      <c r="B126" s="141" t="n">
        <v>4.69</v>
      </c>
      <c r="C126" s="0" t="n">
        <v>43</v>
      </c>
      <c r="D126" s="138" t="n">
        <f aca="false">LN(B126)</f>
        <v>1.54543258245819</v>
      </c>
    </row>
    <row r="127" customFormat="false" ht="15" hidden="false" customHeight="false" outlineLevel="0" collapsed="false">
      <c r="A127" s="140" t="n">
        <v>45581</v>
      </c>
      <c r="B127" s="141" t="n">
        <v>4.83</v>
      </c>
      <c r="C127" s="0" t="n">
        <v>44</v>
      </c>
      <c r="D127" s="138" t="n">
        <f aca="false">LN(B127)</f>
        <v>1.57484646766448</v>
      </c>
    </row>
    <row r="128" customFormat="false" ht="15" hidden="false" customHeight="false" outlineLevel="0" collapsed="false">
      <c r="A128" s="140" t="n">
        <v>45597</v>
      </c>
      <c r="B128" s="141" t="n">
        <v>4.56</v>
      </c>
      <c r="C128" s="0" t="n">
        <v>45</v>
      </c>
      <c r="D128" s="138" t="n">
        <f aca="false">LN(B128)</f>
        <v>1.51732262352629</v>
      </c>
    </row>
    <row r="129" customFormat="false" ht="15" hidden="false" customHeight="false" outlineLevel="0" collapsed="false">
      <c r="A129" s="140" t="n">
        <v>45612</v>
      </c>
      <c r="B129" s="141" t="n">
        <v>4.54</v>
      </c>
      <c r="C129" s="0" t="n">
        <v>46</v>
      </c>
      <c r="D129" s="138" t="n">
        <f aca="false">LN(B129)</f>
        <v>1.51292701205326</v>
      </c>
    </row>
    <row r="130" customFormat="false" ht="15" hidden="false" customHeight="false" outlineLevel="0" collapsed="false">
      <c r="A130" s="140" t="n">
        <v>45627</v>
      </c>
      <c r="B130" s="141" t="n">
        <v>4.44</v>
      </c>
      <c r="C130" s="0" t="n">
        <v>47</v>
      </c>
      <c r="D130" s="138" t="n">
        <f aca="false">LN(B130)</f>
        <v>1.49065437644413</v>
      </c>
    </row>
    <row r="131" customFormat="false" ht="15" hidden="false" customHeight="false" outlineLevel="0" collapsed="false">
      <c r="A131" s="140" t="n">
        <v>45642</v>
      </c>
      <c r="B131" s="141" t="n">
        <v>3.99</v>
      </c>
      <c r="C131" s="0" t="n">
        <v>48</v>
      </c>
      <c r="D131" s="138" t="n">
        <f aca="false">LN(B131)</f>
        <v>1.38379123090177</v>
      </c>
    </row>
    <row r="132" customFormat="false" ht="15" hidden="false" customHeight="false" outlineLevel="0" collapsed="false">
      <c r="A132" s="140" t="n">
        <v>45658</v>
      </c>
      <c r="B132" s="141" t="n">
        <v>3.69</v>
      </c>
      <c r="C132" s="0" t="n">
        <v>49</v>
      </c>
      <c r="D132" s="138" t="n">
        <f aca="false">LN(B132)</f>
        <v>1.30562645805244</v>
      </c>
    </row>
    <row r="133" customFormat="false" ht="15" hidden="false" customHeight="false" outlineLevel="0" collapsed="false">
      <c r="A133" s="140" t="n">
        <v>45673</v>
      </c>
      <c r="B133" s="141" t="n">
        <v>3.48</v>
      </c>
      <c r="C133" s="0" t="n">
        <v>50</v>
      </c>
      <c r="D133" s="138" t="n">
        <f aca="false">LN(B133)</f>
        <v>1.24703229378638</v>
      </c>
    </row>
    <row r="134" customFormat="false" ht="15" hidden="false" customHeight="false" outlineLevel="0" collapsed="false">
      <c r="A134" s="140" t="n">
        <v>45689</v>
      </c>
      <c r="B134" s="141" t="n">
        <v>3.74</v>
      </c>
      <c r="C134" s="0" t="n">
        <v>51</v>
      </c>
      <c r="D134" s="138" t="n">
        <f aca="false">LN(B134)</f>
        <v>1.31908561142644</v>
      </c>
    </row>
    <row r="135" customFormat="false" ht="15" hidden="false" customHeight="false" outlineLevel="0" collapsed="false">
      <c r="A135" s="140" t="n">
        <v>45704</v>
      </c>
      <c r="B135" s="141" t="n">
        <v>3.81</v>
      </c>
      <c r="C135" s="0" t="n">
        <v>52</v>
      </c>
      <c r="D135" s="138" t="n">
        <f aca="false">LN(B135)</f>
        <v>1.33762918913861</v>
      </c>
    </row>
    <row r="136" customFormat="false" ht="15" hidden="false" customHeight="false" outlineLevel="0" collapsed="false">
      <c r="A136" s="140" t="n">
        <v>45717</v>
      </c>
      <c r="B136" s="141" t="n">
        <v>3.67</v>
      </c>
      <c r="C136" s="0" t="n">
        <v>53</v>
      </c>
      <c r="D136" s="138" t="n">
        <f aca="false">LN(B136)</f>
        <v>1.30019166206648</v>
      </c>
    </row>
    <row r="137" customFormat="false" ht="15" hidden="false" customHeight="false" outlineLevel="0" collapsed="false">
      <c r="A137" s="140" t="n">
        <v>45732</v>
      </c>
      <c r="B137" s="141" t="n">
        <v>3.93</v>
      </c>
      <c r="C137" s="0" t="n">
        <v>54</v>
      </c>
      <c r="D137" s="138" t="n">
        <f aca="false">LN(B137)</f>
        <v>1.36863942588117</v>
      </c>
    </row>
    <row r="138" customFormat="false" ht="15" hidden="false" customHeight="false" outlineLevel="0" collapsed="false">
      <c r="A138" s="140" t="n">
        <v>45748</v>
      </c>
      <c r="B138" s="141" t="n">
        <v>3.96</v>
      </c>
      <c r="C138" s="0" t="n">
        <v>55</v>
      </c>
      <c r="D138" s="138" t="n">
        <f aca="false">LN(B138)</f>
        <v>1.37624402526639</v>
      </c>
    </row>
    <row r="139" customFormat="false" ht="15" hidden="false" customHeight="false" outlineLevel="0" collapsed="false">
      <c r="A139" s="140" t="n">
        <v>45763</v>
      </c>
      <c r="B139" s="141" t="n">
        <v>3.9</v>
      </c>
      <c r="C139" s="0" t="n">
        <v>56</v>
      </c>
      <c r="D139" s="138" t="n">
        <f aca="false">LN(B139)</f>
        <v>1.3609765531356</v>
      </c>
    </row>
    <row r="140" customFormat="false" ht="15" hidden="false" customHeight="false" outlineLevel="0" collapsed="false">
      <c r="A140" s="140" t="n">
        <v>45778</v>
      </c>
      <c r="B140" s="141" t="n">
        <v>4.22</v>
      </c>
      <c r="C140" s="0" t="n">
        <v>57</v>
      </c>
      <c r="D140" s="138" t="n">
        <f aca="false">LN(B140)</f>
        <v>1.43983512804792</v>
      </c>
    </row>
    <row r="141" customFormat="false" ht="15" hidden="false" customHeight="false" outlineLevel="0" collapsed="false">
      <c r="A141" s="140" t="n">
        <v>45793</v>
      </c>
      <c r="B141" s="141" t="n">
        <v>4.62</v>
      </c>
      <c r="C141" s="0" t="n">
        <v>58</v>
      </c>
      <c r="D141" s="138" t="n">
        <f aca="false">LN(B141)</f>
        <v>1.53039470509365</v>
      </c>
    </row>
    <row r="142" customFormat="false" ht="15" hidden="false" customHeight="false" outlineLevel="0" collapsed="false">
      <c r="A142" s="140" t="n">
        <v>45809</v>
      </c>
      <c r="B142" s="141" t="n">
        <v>4.51</v>
      </c>
      <c r="C142" s="0" t="n">
        <v>59</v>
      </c>
      <c r="D142" s="138" t="n">
        <f aca="false">LN(B142)</f>
        <v>1.50629715351459</v>
      </c>
    </row>
    <row r="143" customFormat="false" ht="15" hidden="false" customHeight="false" outlineLevel="0" collapsed="false">
      <c r="A143" s="140" t="n">
        <v>45824</v>
      </c>
      <c r="B143" s="141" t="n">
        <v>4.13</v>
      </c>
      <c r="C143" s="0" t="n">
        <v>60</v>
      </c>
      <c r="D143" s="138" t="n">
        <f aca="false">LN(B143)</f>
        <v>1.41827740697294</v>
      </c>
    </row>
    <row r="144" customFormat="false" ht="15" hidden="false" customHeight="false" outlineLevel="0" collapsed="false">
      <c r="A144" s="140" t="n">
        <v>45839</v>
      </c>
      <c r="B144" s="141" t="n">
        <v>3.55</v>
      </c>
      <c r="C144" s="0" t="n">
        <v>61</v>
      </c>
      <c r="D144" s="138" t="n">
        <f aca="false">LN(B144)</f>
        <v>1.26694760348732</v>
      </c>
    </row>
    <row r="145" customFormat="false" ht="15" hidden="false" customHeight="false" outlineLevel="0" collapsed="false">
      <c r="A145" s="140" t="n">
        <v>45854</v>
      </c>
      <c r="B145" s="141" t="n">
        <v>3.48</v>
      </c>
      <c r="C145" s="0" t="n">
        <v>62</v>
      </c>
      <c r="D145" s="138" t="n">
        <f aca="false">LN(B145)</f>
        <v>1.24703229378638</v>
      </c>
    </row>
    <row r="146" customFormat="false" ht="15" hidden="false" customHeight="false" outlineLevel="0" collapsed="false">
      <c r="A146" s="140" t="n">
        <v>45870</v>
      </c>
      <c r="B146" s="141" t="n">
        <v>3.49</v>
      </c>
      <c r="C146" s="0" t="n">
        <v>63</v>
      </c>
      <c r="D146" s="138" t="n">
        <f aca="false">LN(B146)</f>
        <v>1.24990173621434</v>
      </c>
    </row>
    <row r="147" customFormat="false" ht="15" hidden="false" customHeight="false" outlineLevel="0" collapsed="false">
      <c r="A147" s="140" t="n">
        <v>45885</v>
      </c>
      <c r="B147" s="141" t="n">
        <v>3.65</v>
      </c>
      <c r="C147" s="0" t="n">
        <v>64</v>
      </c>
      <c r="D147" s="138" t="n">
        <f aca="false">LN(B147)</f>
        <v>1.2947271675944</v>
      </c>
    </row>
    <row r="148" customFormat="false" ht="15" hidden="false" customHeight="false" outlineLevel="0" collapsed="false">
      <c r="A148" s="140" t="n">
        <v>45901</v>
      </c>
      <c r="B148" s="141" t="n">
        <v>3.74</v>
      </c>
      <c r="C148" s="0" t="n">
        <v>65</v>
      </c>
      <c r="D148" s="138" t="n">
        <f aca="false">LN(B148)</f>
        <v>1.31908561142644</v>
      </c>
      <c r="E148" s="0" t="n">
        <v>1</v>
      </c>
      <c r="F148" s="138" t="n">
        <f aca="false">LN(B148)</f>
        <v>1.31908561142644</v>
      </c>
      <c r="G148" s="0" t="n">
        <v>1</v>
      </c>
    </row>
    <row r="149" customFormat="false" ht="15" hidden="false" customHeight="false" outlineLevel="0" collapsed="false">
      <c r="A149" s="140" t="n">
        <v>45916</v>
      </c>
      <c r="B149" s="141" t="n">
        <v>3.78</v>
      </c>
      <c r="C149" s="0" t="n">
        <v>66</v>
      </c>
      <c r="D149" s="138" t="n">
        <f aca="false">LN(B149)</f>
        <v>1.3297240096315</v>
      </c>
      <c r="E149" s="0" t="n">
        <v>2</v>
      </c>
      <c r="F149" s="138" t="n">
        <f aca="false">LN(B149)</f>
        <v>1.3297240096315</v>
      </c>
      <c r="G149" s="0" t="n">
        <v>1</v>
      </c>
    </row>
    <row r="150" customFormat="false" ht="15" hidden="false" customHeight="false" outlineLevel="0" collapsed="false">
      <c r="A150" s="140" t="n">
        <v>45931</v>
      </c>
      <c r="B150" s="141" t="n">
        <v>3.63</v>
      </c>
      <c r="C150" s="0" t="n">
        <v>67</v>
      </c>
      <c r="D150" s="138" t="n">
        <f aca="false">LN(B150)</f>
        <v>1.28923264827676</v>
      </c>
      <c r="E150" s="0" t="n">
        <v>3</v>
      </c>
      <c r="F150" s="138" t="n">
        <f aca="false">LN(B150)</f>
        <v>1.28923264827676</v>
      </c>
      <c r="G150" s="0" t="n">
        <v>1</v>
      </c>
    </row>
    <row r="151" customFormat="false" ht="15" hidden="false" customHeight="false" outlineLevel="0" collapsed="false">
      <c r="A151" s="140" t="n">
        <v>45946</v>
      </c>
      <c r="B151" s="141" t="n">
        <v>3.5</v>
      </c>
      <c r="C151" s="0" t="n">
        <v>68</v>
      </c>
      <c r="D151" s="138" t="n">
        <f aca="false">LN(B151)</f>
        <v>1.25276296849537</v>
      </c>
      <c r="E151" s="0" t="n">
        <v>4</v>
      </c>
      <c r="F151" s="138" t="n">
        <f aca="false">LN(B151)</f>
        <v>1.25276296849537</v>
      </c>
      <c r="G151" s="0" t="n">
        <v>1</v>
      </c>
    </row>
    <row r="152" customFormat="false" ht="15" hidden="false" customHeight="false" outlineLevel="0" collapsed="false">
      <c r="A152" s="140" t="n">
        <v>45962</v>
      </c>
      <c r="B152" s="141" t="n">
        <v>3.61</v>
      </c>
      <c r="C152" s="0" t="n">
        <v>69</v>
      </c>
      <c r="D152" s="138" t="n">
        <f aca="false">LN(B152)</f>
        <v>1.28370777234479</v>
      </c>
      <c r="E152" s="0" t="n">
        <v>5</v>
      </c>
      <c r="F152" s="138" t="n">
        <f aca="false">LN(B152)</f>
        <v>1.28370777234479</v>
      </c>
      <c r="G152" s="0" t="n">
        <v>1</v>
      </c>
    </row>
    <row r="153" customFormat="false" ht="15" hidden="false" customHeight="false" outlineLevel="0" collapsed="false">
      <c r="A153" s="140" t="n">
        <v>45977</v>
      </c>
      <c r="B153" s="141" t="n">
        <v>3.99</v>
      </c>
      <c r="C153" s="0" t="n">
        <v>70</v>
      </c>
      <c r="D153" s="138" t="n">
        <f aca="false">LN(B153)</f>
        <v>1.38379123090177</v>
      </c>
      <c r="E153" s="0" t="n">
        <v>6</v>
      </c>
      <c r="F153" s="138" t="n">
        <f aca="false">LN(B153)</f>
        <v>1.38379123090177</v>
      </c>
      <c r="G153" s="0" t="n">
        <v>1</v>
      </c>
    </row>
    <row r="154" customFormat="false" ht="15" hidden="false" customHeight="false" outlineLevel="0" collapsed="false">
      <c r="A154" s="140" t="n">
        <v>45992</v>
      </c>
      <c r="B154" s="141" t="n">
        <v>3.72</v>
      </c>
      <c r="C154" s="0" t="n">
        <v>71</v>
      </c>
      <c r="D154" s="138" t="n">
        <f aca="false">LN(B154)</f>
        <v>1.31372366828506</v>
      </c>
      <c r="E154" s="0" t="n">
        <v>7</v>
      </c>
      <c r="F154" s="138" t="n">
        <f aca="false">LN(B154)</f>
        <v>1.31372366828506</v>
      </c>
      <c r="G154" s="0" t="n">
        <v>2</v>
      </c>
    </row>
    <row r="155" customFormat="false" ht="15" hidden="false" customHeight="false" outlineLevel="0" collapsed="false">
      <c r="A155" s="140" t="n">
        <v>46007</v>
      </c>
      <c r="B155" s="141" t="n">
        <v>3.66</v>
      </c>
      <c r="C155" s="0" t="n">
        <v>72</v>
      </c>
      <c r="D155" s="138" t="n">
        <f aca="false">LN(B155)</f>
        <v>1.29746314741328</v>
      </c>
      <c r="E155" s="0" t="n">
        <v>8</v>
      </c>
      <c r="F155" s="138" t="n">
        <f aca="false">LN(B155)</f>
        <v>1.29746314741328</v>
      </c>
      <c r="G155" s="0" t="n">
        <v>2</v>
      </c>
    </row>
    <row r="156" customFormat="false" ht="15" hidden="false" customHeight="false" outlineLevel="0" collapsed="false">
      <c r="A156" s="140" t="n">
        <v>46023</v>
      </c>
      <c r="B156" s="141" t="n">
        <v>3.77</v>
      </c>
      <c r="C156" s="0" t="n">
        <v>73</v>
      </c>
      <c r="D156" s="138" t="n">
        <f aca="false">LN(B156)</f>
        <v>1.32707500145992</v>
      </c>
      <c r="E156" s="0" t="n">
        <v>9</v>
      </c>
      <c r="F156" s="138" t="n">
        <f aca="false">LN(B156)</f>
        <v>1.32707500145992</v>
      </c>
      <c r="G156" s="0" t="n">
        <v>2</v>
      </c>
    </row>
    <row r="157" customFormat="false" ht="15" hidden="false" customHeight="false" outlineLevel="0" collapsed="false">
      <c r="A157" s="140" t="n">
        <v>46038</v>
      </c>
      <c r="B157" s="141" t="n">
        <v>3.82</v>
      </c>
      <c r="C157" s="0" t="n">
        <v>74</v>
      </c>
      <c r="D157" s="138" t="n">
        <f aca="false">LN(B157)</f>
        <v>1.34025042261848</v>
      </c>
      <c r="E157" s="0" t="n">
        <v>10</v>
      </c>
      <c r="F157" s="138" t="n">
        <f aca="false">LN(B157)</f>
        <v>1.34025042261848</v>
      </c>
      <c r="G157" s="0" t="n">
        <v>2</v>
      </c>
    </row>
    <row r="158" customFormat="false" ht="15" hidden="false" customHeight="false" outlineLevel="0" collapsed="false">
      <c r="A158" s="140" t="n">
        <v>46054</v>
      </c>
      <c r="B158" s="141" t="n">
        <v>3.92</v>
      </c>
      <c r="C158" s="0" t="n">
        <v>75</v>
      </c>
      <c r="D158" s="138" t="n">
        <f aca="false">LN(B158)</f>
        <v>1.36609165380237</v>
      </c>
      <c r="E158" s="0" t="n">
        <v>11</v>
      </c>
      <c r="F158" s="138" t="n">
        <f aca="false">LN(B158)</f>
        <v>1.36609165380237</v>
      </c>
      <c r="G158" s="0" t="n">
        <v>2</v>
      </c>
    </row>
    <row r="159" customFormat="false" ht="15" hidden="false" customHeight="false" outlineLevel="0" collapsed="false">
      <c r="A159" s="140" t="n">
        <v>46069</v>
      </c>
      <c r="B159" s="141" t="n">
        <v>4.13</v>
      </c>
      <c r="C159" s="0" t="n">
        <v>76</v>
      </c>
      <c r="D159" s="138" t="n">
        <f aca="false">LN(B159)</f>
        <v>1.41827740697294</v>
      </c>
      <c r="E159" s="0" t="n">
        <v>12</v>
      </c>
      <c r="F159" s="138" t="n">
        <f aca="false">LN(B159)</f>
        <v>1.41827740697294</v>
      </c>
      <c r="G159" s="0" t="n">
        <v>2</v>
      </c>
    </row>
    <row r="160" customFormat="false" ht="15" hidden="false" customHeight="false" outlineLevel="0" collapsed="false">
      <c r="A160" s="140" t="n">
        <v>46082</v>
      </c>
      <c r="B160" s="141" t="n">
        <v>4.63</v>
      </c>
      <c r="C160" s="0" t="n">
        <v>77</v>
      </c>
      <c r="D160" s="138" t="n">
        <f aca="false">LN(B160)</f>
        <v>1.53255686809814</v>
      </c>
      <c r="E160" s="0" t="n">
        <v>13</v>
      </c>
      <c r="F160" s="138" t="n">
        <f aca="false">LN(B160)</f>
        <v>1.53255686809814</v>
      </c>
      <c r="G160" s="0" t="n">
        <v>3</v>
      </c>
    </row>
    <row r="161" customFormat="false" ht="15" hidden="false" customHeight="false" outlineLevel="0" collapsed="false">
      <c r="A161" s="140" t="n">
        <v>46097</v>
      </c>
      <c r="B161" s="141" t="n">
        <v>4.55</v>
      </c>
      <c r="C161" s="0" t="n">
        <v>78</v>
      </c>
      <c r="D161" s="138" t="n">
        <f aca="false">LN(B161)</f>
        <v>1.51512723296286</v>
      </c>
      <c r="E161" s="0" t="n">
        <v>14</v>
      </c>
      <c r="F161" s="138" t="n">
        <f aca="false">LN(B161)</f>
        <v>1.51512723296286</v>
      </c>
      <c r="G161" s="0" t="n">
        <v>3</v>
      </c>
    </row>
    <row r="162" customFormat="false" ht="15" hidden="false" customHeight="false" outlineLevel="0" collapsed="false">
      <c r="A162" s="140" t="n">
        <v>46113</v>
      </c>
      <c r="B162" s="141" t="n">
        <v>4.53</v>
      </c>
      <c r="C162" s="0" t="n">
        <v>79</v>
      </c>
      <c r="D162" s="138" t="n">
        <f aca="false">LN(B162)</f>
        <v>1.51072193949494</v>
      </c>
      <c r="E162" s="0" t="n">
        <v>15</v>
      </c>
      <c r="F162" s="138" t="n">
        <f aca="false">LN(B162)</f>
        <v>1.51072193949494</v>
      </c>
      <c r="G162" s="0" t="n">
        <v>3</v>
      </c>
    </row>
    <row r="163" customFormat="false" ht="15" hidden="false" customHeight="false" outlineLevel="0" collapsed="false">
      <c r="A163" s="140" t="n">
        <v>46128</v>
      </c>
      <c r="B163" s="141" t="n">
        <v>4.37</v>
      </c>
      <c r="C163" s="0" t="n">
        <v>80</v>
      </c>
      <c r="D163" s="138" t="n">
        <f aca="false">LN(B163)</f>
        <v>1.4747630091075</v>
      </c>
      <c r="E163" s="0" t="n">
        <v>16</v>
      </c>
      <c r="F163" s="138" t="n">
        <f aca="false">LN(B163)</f>
        <v>1.4747630091075</v>
      </c>
      <c r="G163" s="0" t="n">
        <v>3</v>
      </c>
    </row>
    <row r="164" customFormat="false" ht="15" hidden="false" customHeight="false" outlineLevel="0" collapsed="false">
      <c r="A164" s="140" t="n">
        <v>46143</v>
      </c>
      <c r="B164" s="141" t="n">
        <v>4.11</v>
      </c>
      <c r="C164" s="0" t="n">
        <v>81</v>
      </c>
      <c r="D164" s="138" t="n">
        <f aca="false">LN(B164)</f>
        <v>1.41342302850814</v>
      </c>
      <c r="E164" s="0" t="n">
        <v>17</v>
      </c>
      <c r="F164" s="138" t="n">
        <f aca="false">LN(B164)</f>
        <v>1.41342302850814</v>
      </c>
      <c r="G164" s="0" t="n">
        <v>3</v>
      </c>
    </row>
    <row r="165" customFormat="false" ht="15" hidden="false" customHeight="false" outlineLevel="0" collapsed="false">
      <c r="A165" s="140" t="n">
        <v>46158</v>
      </c>
      <c r="B165" s="141" t="n">
        <v>3.77</v>
      </c>
      <c r="C165" s="0" t="n">
        <v>82</v>
      </c>
      <c r="D165" s="138" t="n">
        <f aca="false">LN(B165)</f>
        <v>1.32707500145992</v>
      </c>
      <c r="E165" s="0" t="n">
        <v>18</v>
      </c>
      <c r="F165" s="138" t="n">
        <f aca="false">LN(B165)</f>
        <v>1.32707500145992</v>
      </c>
      <c r="G165" s="0" t="n">
        <v>3</v>
      </c>
    </row>
    <row r="166" customFormat="false" ht="15" hidden="false" customHeight="false" outlineLevel="0" collapsed="false">
      <c r="A166" s="140" t="n">
        <v>46174</v>
      </c>
      <c r="B166" s="141" t="n">
        <v>3.55</v>
      </c>
      <c r="C166" s="0" t="n">
        <v>83</v>
      </c>
      <c r="D166" s="138" t="n">
        <f aca="false">LN(B166)</f>
        <v>1.26694760348732</v>
      </c>
      <c r="E166" s="0" t="n">
        <v>19</v>
      </c>
      <c r="F166" s="138" t="n">
        <f aca="false">LN(B166)</f>
        <v>1.26694760348732</v>
      </c>
      <c r="G166" s="0" t="n">
        <v>4</v>
      </c>
    </row>
    <row r="167" customFormat="false" ht="15" hidden="false" customHeight="false" outlineLevel="0" collapsed="false">
      <c r="A167" s="140" t="n">
        <v>46189</v>
      </c>
      <c r="B167" s="141" t="n">
        <v>3.18</v>
      </c>
      <c r="C167" s="0" t="n">
        <v>84</v>
      </c>
      <c r="D167" s="138" t="n">
        <f aca="false">LN(B167)</f>
        <v>1.15688119679209</v>
      </c>
      <c r="E167" s="0" t="n">
        <v>20</v>
      </c>
      <c r="F167" s="138" t="n">
        <f aca="false">LN(B167)</f>
        <v>1.15688119679209</v>
      </c>
      <c r="G167" s="0" t="n">
        <v>4</v>
      </c>
    </row>
    <row r="168" customFormat="false" ht="15" hidden="false" customHeight="false" outlineLevel="0" collapsed="false">
      <c r="A168" s="140" t="n">
        <v>46204</v>
      </c>
      <c r="B168" s="141" t="n">
        <v>3.1</v>
      </c>
      <c r="C168" s="0" t="n">
        <v>85</v>
      </c>
      <c r="D168" s="138" t="n">
        <f aca="false">LN(B168)</f>
        <v>1.1314021114911</v>
      </c>
      <c r="E168" s="0" t="n">
        <v>21</v>
      </c>
      <c r="F168" s="138" t="n">
        <f aca="false">LN(B168)</f>
        <v>1.1314021114911</v>
      </c>
      <c r="G168" s="0" t="n">
        <v>4</v>
      </c>
    </row>
    <row r="169" customFormat="false" ht="15" hidden="false" customHeight="false" outlineLevel="0" collapsed="false">
      <c r="A169" s="140" t="n">
        <v>46219</v>
      </c>
      <c r="B169" s="141" t="n">
        <v>3.14</v>
      </c>
      <c r="C169" s="0" t="n">
        <v>86</v>
      </c>
      <c r="D169" s="138" t="n">
        <f aca="false">LN(B169)</f>
        <v>1.14422279992016</v>
      </c>
      <c r="E169" s="0" t="n">
        <v>22</v>
      </c>
      <c r="F169" s="138" t="n">
        <f aca="false">LN(B169)</f>
        <v>1.14422279992016</v>
      </c>
      <c r="G169" s="0" t="n">
        <v>4</v>
      </c>
    </row>
    <row r="170" customFormat="false" ht="15" hidden="false" customHeight="false" outlineLevel="0" collapsed="false">
      <c r="A170" s="140" t="n">
        <v>46235</v>
      </c>
      <c r="B170" s="141" t="n">
        <v>3.26</v>
      </c>
      <c r="C170" s="0" t="n">
        <v>87</v>
      </c>
      <c r="D170" s="138" t="n">
        <f aca="false">LN(B170)</f>
        <v>1.18172719537862</v>
      </c>
      <c r="E170" s="0" t="n">
        <v>23</v>
      </c>
      <c r="F170" s="138" t="n">
        <f aca="false">LN(B170)</f>
        <v>1.18172719537862</v>
      </c>
      <c r="G170" s="0" t="n">
        <v>4</v>
      </c>
    </row>
    <row r="171" customFormat="false" ht="15" hidden="false" customHeight="false" outlineLevel="0" collapsed="false">
      <c r="A171" s="140" t="n">
        <v>46250</v>
      </c>
      <c r="B171" s="141" t="n">
        <v>3.26</v>
      </c>
      <c r="C171" s="0" t="n">
        <v>88</v>
      </c>
      <c r="D171" s="138" t="n">
        <f aca="false">LN(B171)</f>
        <v>1.18172719537862</v>
      </c>
      <c r="E171" s="0" t="n">
        <v>24</v>
      </c>
      <c r="F171" s="138" t="n">
        <f aca="false">LN(B171)</f>
        <v>1.18172719537862</v>
      </c>
      <c r="G171" s="0" t="n">
        <v>4</v>
      </c>
    </row>
    <row r="172" customFormat="false" ht="15" hidden="false" customHeight="false" outlineLevel="0" collapsed="false">
      <c r="A172" s="140" t="n">
        <v>46266</v>
      </c>
      <c r="B172" s="141" t="n">
        <v>3.42</v>
      </c>
      <c r="C172" s="0" t="n">
        <v>89</v>
      </c>
      <c r="D172" s="138" t="n">
        <f aca="false">LN(B172)</f>
        <v>1.22964055107451</v>
      </c>
      <c r="E172" s="0" t="n">
        <v>25</v>
      </c>
      <c r="F172" s="138" t="n">
        <f aca="false">LN(B172)</f>
        <v>1.22964055107451</v>
      </c>
    </row>
    <row r="176" customFormat="false" ht="15" hidden="false" customHeight="false" outlineLevel="0" collapsed="false">
      <c r="A176" s="121" t="s">
        <v>727</v>
      </c>
      <c r="B176" s="122"/>
      <c r="C176" s="122"/>
      <c r="D176" s="122"/>
      <c r="E176" s="122"/>
      <c r="F176" s="122"/>
      <c r="G176" s="122"/>
      <c r="H176" s="122"/>
      <c r="I176" s="122"/>
      <c r="J176" s="122"/>
      <c r="K176" s="122"/>
      <c r="L176" s="122"/>
    </row>
    <row r="177" customFormat="false" ht="55.2" hidden="false" customHeight="false" outlineLevel="0" collapsed="false">
      <c r="A177" s="125" t="s">
        <v>728</v>
      </c>
      <c r="B177" s="125" t="s">
        <v>729</v>
      </c>
      <c r="C177" s="125" t="s">
        <v>730</v>
      </c>
    </row>
    <row r="178" customFormat="false" ht="15" hidden="false" customHeight="false" outlineLevel="0" collapsed="false">
      <c r="A178" s="142" t="n">
        <v>45597</v>
      </c>
      <c r="B178" s="141" t="n">
        <v>30.5</v>
      </c>
      <c r="C178" s="143" t="n">
        <v>4.55</v>
      </c>
    </row>
    <row r="179" customFormat="false" ht="15" hidden="false" customHeight="false" outlineLevel="0" collapsed="false">
      <c r="A179" s="142" t="n">
        <v>45627</v>
      </c>
      <c r="B179" s="141" t="n">
        <v>29.63</v>
      </c>
      <c r="C179" s="143" t="n">
        <v>4.215</v>
      </c>
    </row>
    <row r="180" customFormat="false" ht="15" hidden="false" customHeight="false" outlineLevel="0" collapsed="false">
      <c r="A180" s="142" t="n">
        <v>45658</v>
      </c>
      <c r="B180" s="141" t="n">
        <v>29.18</v>
      </c>
      <c r="C180" s="143" t="n">
        <v>3.585</v>
      </c>
    </row>
    <row r="181" customFormat="false" ht="15" hidden="false" customHeight="false" outlineLevel="0" collapsed="false">
      <c r="A181" s="142" t="n">
        <v>45689</v>
      </c>
      <c r="B181" s="141" t="n">
        <v>27.65</v>
      </c>
      <c r="C181" s="143" t="n">
        <v>3.775</v>
      </c>
    </row>
    <row r="182" customFormat="false" ht="15" hidden="false" customHeight="false" outlineLevel="0" collapsed="false">
      <c r="A182" s="142" t="n">
        <v>45717</v>
      </c>
      <c r="B182" s="141" t="n">
        <v>27.7</v>
      </c>
      <c r="C182" s="143" t="n">
        <v>3.8</v>
      </c>
    </row>
    <row r="183" customFormat="false" ht="15" hidden="false" customHeight="false" outlineLevel="0" collapsed="false">
      <c r="A183" s="142" t="n">
        <v>45748</v>
      </c>
      <c r="B183" s="141" t="n">
        <v>25.98</v>
      </c>
      <c r="C183" s="143" t="n">
        <v>3.93</v>
      </c>
    </row>
    <row r="184" customFormat="false" ht="15" hidden="false" customHeight="false" outlineLevel="0" collapsed="false">
      <c r="A184" s="142" t="n">
        <v>45778</v>
      </c>
      <c r="B184" s="141" t="n">
        <v>27.51</v>
      </c>
      <c r="C184" s="143" t="n">
        <v>4.42</v>
      </c>
    </row>
    <row r="185" customFormat="false" ht="15" hidden="false" customHeight="false" outlineLevel="0" collapsed="false">
      <c r="A185" s="142" t="n">
        <v>45809</v>
      </c>
      <c r="B185" s="141" t="n">
        <v>27.98</v>
      </c>
      <c r="C185" s="143" t="n">
        <v>4.32</v>
      </c>
    </row>
    <row r="186" customFormat="false" ht="15" hidden="false" customHeight="false" outlineLevel="0" collapsed="false">
      <c r="A186" s="142" t="n">
        <v>45839</v>
      </c>
      <c r="B186" s="141" t="n">
        <v>25.96</v>
      </c>
      <c r="C186" s="143" t="n">
        <v>3.515</v>
      </c>
    </row>
    <row r="187" customFormat="false" ht="15" hidden="false" customHeight="false" outlineLevel="0" collapsed="false">
      <c r="A187" s="142" t="n">
        <v>45870</v>
      </c>
      <c r="B187" s="141" t="n">
        <v>25.73</v>
      </c>
      <c r="C187" s="143" t="n">
        <v>3.57</v>
      </c>
    </row>
    <row r="188" customFormat="false" ht="15" hidden="false" customHeight="false" outlineLevel="0" collapsed="false">
      <c r="A188" s="142" t="n">
        <v>45901</v>
      </c>
      <c r="B188" s="141" t="n">
        <v>25</v>
      </c>
      <c r="C188" s="143" t="n">
        <v>3.76</v>
      </c>
    </row>
    <row r="189" customFormat="false" ht="15" hidden="false" customHeight="false" outlineLevel="0" collapsed="false">
      <c r="A189" s="142" t="n">
        <v>45931</v>
      </c>
      <c r="B189" s="141" t="n">
        <v>26.45</v>
      </c>
      <c r="C189" s="143" t="n">
        <v>3.565</v>
      </c>
    </row>
    <row r="190" customFormat="false" ht="15" hidden="false" customHeight="false" outlineLevel="0" collapsed="false">
      <c r="A190" s="142" t="n">
        <v>45962</v>
      </c>
      <c r="B190" s="141" t="n">
        <v>31.05</v>
      </c>
      <c r="C190" s="143" t="n">
        <v>3.8</v>
      </c>
    </row>
    <row r="191" customFormat="false" ht="15" hidden="false" customHeight="false" outlineLevel="0" collapsed="false">
      <c r="A191" s="142" t="n">
        <v>45992</v>
      </c>
      <c r="B191" s="141" t="n">
        <v>40.93</v>
      </c>
      <c r="C191" s="143" t="n">
        <v>3.69</v>
      </c>
    </row>
    <row r="192" customFormat="false" ht="15" hidden="false" customHeight="false" outlineLevel="0" collapsed="false">
      <c r="A192" s="142" t="n">
        <v>46023</v>
      </c>
      <c r="B192" s="141" t="n">
        <v>35.8</v>
      </c>
      <c r="C192" s="143" t="n">
        <v>3.795</v>
      </c>
    </row>
    <row r="193" customFormat="false" ht="15" hidden="false" customHeight="false" outlineLevel="0" collapsed="false">
      <c r="A193" s="142" t="n">
        <v>46054</v>
      </c>
      <c r="B193" s="141" t="n">
        <v>37.12</v>
      </c>
      <c r="C193" s="143" t="n">
        <v>4.025</v>
      </c>
    </row>
    <row r="194" customFormat="false" ht="15" hidden="false" customHeight="false" outlineLevel="0" collapsed="false">
      <c r="A194" s="142" t="n">
        <v>46082</v>
      </c>
      <c r="B194" s="141" t="n">
        <v>35.44</v>
      </c>
      <c r="C194" s="143" t="n">
        <v>4.59</v>
      </c>
    </row>
    <row r="195" customFormat="false" ht="15" hidden="false" customHeight="false" outlineLevel="0" collapsed="false">
      <c r="A195" s="142" t="n">
        <v>46113</v>
      </c>
      <c r="B195" s="141" t="n">
        <v>33.49</v>
      </c>
      <c r="C195" s="143" t="n">
        <v>4.45</v>
      </c>
    </row>
    <row r="196" customFormat="false" ht="15" hidden="false" customHeight="false" outlineLevel="0" collapsed="false">
      <c r="A196" s="142" t="n">
        <v>46143</v>
      </c>
      <c r="B196" s="141" t="n">
        <v>34.49</v>
      </c>
      <c r="C196" s="143" t="n">
        <v>3.94</v>
      </c>
    </row>
    <row r="197" customFormat="false" ht="15" hidden="false" customHeight="false" outlineLevel="0" collapsed="false">
      <c r="A197" s="142" t="n">
        <v>46174</v>
      </c>
      <c r="B197" s="141" t="n">
        <v>30.25</v>
      </c>
      <c r="C197" s="143" t="n">
        <v>3.365</v>
      </c>
    </row>
    <row r="198" customFormat="false" ht="15" hidden="false" customHeight="false" outlineLevel="0" collapsed="false">
      <c r="A198" s="142" t="n">
        <v>46204</v>
      </c>
      <c r="B198" s="141" t="n">
        <v>29.59</v>
      </c>
      <c r="C198" s="143" t="n">
        <v>3.12</v>
      </c>
    </row>
    <row r="199" customFormat="false" ht="15" hidden="false" customHeight="false" outlineLevel="0" collapsed="false">
      <c r="A199" s="142" t="n">
        <v>46235</v>
      </c>
      <c r="B199" s="141" t="n">
        <v>27.06</v>
      </c>
      <c r="C199" s="143" t="n">
        <v>3.26</v>
      </c>
    </row>
    <row r="200" customFormat="false" ht="15" hidden="false" customHeight="false" outlineLevel="0" collapsed="false">
      <c r="A200" s="142" t="n">
        <v>46266</v>
      </c>
      <c r="B200" s="141" t="n">
        <v>35</v>
      </c>
      <c r="C200" s="143" t="n">
        <v>3.42</v>
      </c>
    </row>
    <row r="202" customFormat="false" ht="15" hidden="false" customHeight="false" outlineLevel="0" collapsed="false">
      <c r="A202" s="125" t="s">
        <v>731</v>
      </c>
      <c r="B202" s="125" t="s">
        <v>78</v>
      </c>
      <c r="C202" s="125" t="s">
        <v>732</v>
      </c>
    </row>
    <row r="203" customFormat="false" ht="15" hidden="false" customHeight="false" outlineLevel="0" collapsed="false">
      <c r="A203" s="0" t="s">
        <v>733</v>
      </c>
      <c r="B203" s="133" t="n">
        <f aca="false">CORREL(B178:B200,C178:C200)</f>
        <v>0.190174438586874</v>
      </c>
      <c r="C203" s="0" t="str">
        <f aca="false">TEXT(A178,"mmm-yy")&amp;" a "&amp;TEXT(A200,"mmm-yy")</f>
        <v>Nov-24 a Sep-26</v>
      </c>
    </row>
    <row r="204" customFormat="false" ht="15" hidden="false" customHeight="false" outlineLevel="0" collapsed="false">
      <c r="A204" s="0" t="s">
        <v>734</v>
      </c>
      <c r="B204" s="133" t="n">
        <f aca="false">CORREL(B192:B200,C192:C200)</f>
        <v>0.660039084883809</v>
      </c>
      <c r="C204" s="0" t="str">
        <f aca="false">TEXT(A192,"mmm-yy")&amp;" a "&amp;TEXT(A200,"mmm-yy")</f>
        <v>Jan-26 a Sep-26</v>
      </c>
    </row>
    <row r="205" customFormat="false" ht="15" hidden="false" customHeight="false" outlineLevel="0" collapsed="false">
      <c r="A205" s="0" t="s">
        <v>735</v>
      </c>
      <c r="B205" s="133" t="n">
        <f aca="false">CORREL(B195:B200,C195:C200)</f>
        <v>0.602966810483746</v>
      </c>
      <c r="C205" s="0" t="str">
        <f aca="false">TEXT(A195,"mmm-yy")&amp;" a "&amp;TEXT(A200,"mmm-yy")</f>
        <v>Apr-26 a Sep-26</v>
      </c>
    </row>
    <row r="206" customFormat="false" ht="15" hidden="false" customHeight="false" outlineLevel="0" collapsed="false">
      <c r="A206" s="0" t="s">
        <v>736</v>
      </c>
      <c r="B206" s="133" t="n">
        <f aca="false">CORREL(B198:B200,C198:C200)</f>
        <v>0.695059955343774</v>
      </c>
      <c r="C206" s="0" t="str">
        <f aca="false">TEXT(A198,"mmm-yy")&amp;" a "&amp;TEXT(A200,"mmm-yy")</f>
        <v>Jul-26 a Sep-26</v>
      </c>
    </row>
    <row r="207" customFormat="false" ht="15" hidden="false" customHeight="false" outlineLevel="0" collapsed="false">
      <c r="A207" s="120" t="s">
        <v>737</v>
      </c>
    </row>
    <row r="209" customFormat="false" ht="28.35" hidden="false" customHeight="false" outlineLevel="0" collapsed="false">
      <c r="A209" s="125" t="s">
        <v>60</v>
      </c>
      <c r="B209" s="125" t="s">
        <v>738</v>
      </c>
      <c r="C209" s="125" t="s">
        <v>739</v>
      </c>
    </row>
    <row r="210" customFormat="false" ht="15" hidden="false" customHeight="false" outlineLevel="0" collapsed="false">
      <c r="A210" s="140" t="n">
        <v>46204</v>
      </c>
      <c r="B210" s="135" t="n">
        <v>0.003</v>
      </c>
      <c r="C210" s="135" t="n">
        <v>0.0042</v>
      </c>
    </row>
    <row r="211" customFormat="false" ht="15" hidden="false" customHeight="false" outlineLevel="0" collapsed="false">
      <c r="A211" s="140" t="n">
        <v>46205</v>
      </c>
      <c r="B211" s="135" t="n">
        <v>0.0119</v>
      </c>
      <c r="C211" s="135" t="n">
        <v>-0.0026</v>
      </c>
    </row>
    <row r="212" customFormat="false" ht="15" hidden="false" customHeight="false" outlineLevel="0" collapsed="false">
      <c r="A212" s="140" t="n">
        <v>46206</v>
      </c>
      <c r="B212" s="135" t="n">
        <v>-0.0257</v>
      </c>
      <c r="C212" s="135" t="n">
        <v>-0.0002</v>
      </c>
    </row>
    <row r="213" customFormat="false" ht="15" hidden="false" customHeight="false" outlineLevel="0" collapsed="false">
      <c r="A213" s="140" t="n">
        <v>46209</v>
      </c>
      <c r="B213" s="135" t="n">
        <v>-0.0104</v>
      </c>
      <c r="C213" s="135" t="n">
        <v>0.0061</v>
      </c>
    </row>
    <row r="214" customFormat="false" ht="15" hidden="false" customHeight="false" outlineLevel="0" collapsed="false">
      <c r="A214" s="140" t="n">
        <v>46210</v>
      </c>
      <c r="B214" s="135" t="n">
        <v>0.0233</v>
      </c>
      <c r="C214" s="135" t="n">
        <v>-0.0117</v>
      </c>
    </row>
    <row r="215" customFormat="false" ht="15" hidden="false" customHeight="false" outlineLevel="0" collapsed="false">
      <c r="A215" s="140" t="n">
        <v>46211</v>
      </c>
      <c r="B215" s="135" t="n">
        <v>-0.0096</v>
      </c>
      <c r="C215" s="135" t="n">
        <v>-0.001</v>
      </c>
    </row>
    <row r="216" customFormat="false" ht="15" hidden="false" customHeight="false" outlineLevel="0" collapsed="false">
      <c r="A216" s="140" t="n">
        <v>46212</v>
      </c>
      <c r="B216" s="135" t="n">
        <v>0.0253</v>
      </c>
      <c r="C216" s="135" t="n">
        <v>-0.0075</v>
      </c>
    </row>
    <row r="217" customFormat="false" ht="15" hidden="false" customHeight="false" outlineLevel="0" collapsed="false">
      <c r="A217" s="140" t="n">
        <v>46213</v>
      </c>
      <c r="B217" s="135" t="n">
        <v>-0.0052</v>
      </c>
      <c r="C217" s="135" t="n">
        <v>0.0059</v>
      </c>
    </row>
    <row r="218" customFormat="false" ht="15" hidden="false" customHeight="false" outlineLevel="0" collapsed="false">
      <c r="A218" s="140" t="n">
        <v>46216</v>
      </c>
      <c r="B218" s="135" t="n">
        <v>-0.0196</v>
      </c>
      <c r="C218" s="135" t="n">
        <v>-0.0079</v>
      </c>
    </row>
    <row r="219" customFormat="false" ht="15" hidden="false" customHeight="false" outlineLevel="0" collapsed="false">
      <c r="A219" s="140" t="n">
        <v>46218</v>
      </c>
      <c r="B219" s="135" t="n">
        <v>0.0013</v>
      </c>
      <c r="C219" s="135" t="n">
        <v>-0.0017</v>
      </c>
    </row>
    <row r="220" customFormat="false" ht="15" hidden="false" customHeight="false" outlineLevel="0" collapsed="false">
      <c r="A220" s="140" t="n">
        <v>46219</v>
      </c>
      <c r="B220" s="135" t="n">
        <v>-0.0027</v>
      </c>
      <c r="C220" s="135" t="n">
        <v>-0.0007</v>
      </c>
    </row>
    <row r="221" customFormat="false" ht="15" hidden="false" customHeight="false" outlineLevel="0" collapsed="false">
      <c r="A221" s="140" t="n">
        <v>46220</v>
      </c>
      <c r="B221" s="135" t="n">
        <v>0.0103</v>
      </c>
      <c r="C221" s="135" t="n">
        <v>0.0042</v>
      </c>
    </row>
    <row r="222" customFormat="false" ht="15" hidden="false" customHeight="false" outlineLevel="0" collapsed="false">
      <c r="A222" s="140" t="n">
        <v>46224</v>
      </c>
      <c r="B222" s="135" t="n">
        <v>-0.0155</v>
      </c>
      <c r="C222" s="135" t="n">
        <v>0.0089</v>
      </c>
    </row>
    <row r="223" customFormat="false" ht="15" hidden="false" customHeight="false" outlineLevel="0" collapsed="false">
      <c r="A223" s="140" t="n">
        <v>46225</v>
      </c>
      <c r="B223" s="135" t="n">
        <v>-0.0168</v>
      </c>
      <c r="C223" s="135" t="n">
        <v>0.0088</v>
      </c>
    </row>
    <row r="224" customFormat="false" ht="15" hidden="false" customHeight="false" outlineLevel="0" collapsed="false">
      <c r="A224" s="140" t="n">
        <v>46227</v>
      </c>
      <c r="B224" s="135" t="n">
        <v>0.0038</v>
      </c>
      <c r="C224" s="135" t="n">
        <v>0.0018</v>
      </c>
    </row>
    <row r="225" customFormat="false" ht="15" hidden="false" customHeight="false" outlineLevel="0" collapsed="false">
      <c r="A225" s="140" t="n">
        <v>46230</v>
      </c>
      <c r="B225" s="135" t="n">
        <v>-0.0129</v>
      </c>
      <c r="C225" s="135" t="n">
        <v>0.0117</v>
      </c>
    </row>
    <row r="226" customFormat="false" ht="15" hidden="false" customHeight="false" outlineLevel="0" collapsed="false">
      <c r="A226" s="140" t="n">
        <v>46231</v>
      </c>
      <c r="B226" s="135" t="n">
        <v>0.0162</v>
      </c>
      <c r="C226" s="135" t="n">
        <v>0.0022</v>
      </c>
    </row>
    <row r="227" customFormat="false" ht="15" hidden="false" customHeight="false" outlineLevel="0" collapsed="false">
      <c r="A227" s="140" t="n">
        <v>46232</v>
      </c>
      <c r="B227" s="135" t="n">
        <v>0.0034</v>
      </c>
      <c r="C227" s="135" t="n">
        <v>-0.0123</v>
      </c>
    </row>
    <row r="228" customFormat="false" ht="15" hidden="false" customHeight="false" outlineLevel="0" collapsed="false">
      <c r="A228" s="140" t="n">
        <v>46234</v>
      </c>
      <c r="B228" s="135" t="n">
        <v>-0.0003</v>
      </c>
      <c r="C228" s="135" t="n">
        <v>-0.0053</v>
      </c>
    </row>
    <row r="229" customFormat="false" ht="15" hidden="false" customHeight="false" outlineLevel="0" collapsed="false">
      <c r="A229" s="140" t="n">
        <v>46237</v>
      </c>
      <c r="B229" s="135" t="n">
        <v>0.0071</v>
      </c>
      <c r="C229" s="135" t="n">
        <v>-0.0036</v>
      </c>
    </row>
    <row r="230" customFormat="false" ht="15" hidden="false" customHeight="false" outlineLevel="0" collapsed="false">
      <c r="A230" s="140" t="n">
        <v>46239</v>
      </c>
      <c r="B230" s="135" t="n">
        <v>-0.0268</v>
      </c>
      <c r="C230" s="135" t="n">
        <v>-0.0046</v>
      </c>
    </row>
    <row r="231" customFormat="false" ht="15" hidden="false" customHeight="false" outlineLevel="0" collapsed="false">
      <c r="A231" s="140" t="n">
        <v>46240</v>
      </c>
      <c r="B231" s="135" t="n">
        <v>0</v>
      </c>
      <c r="C231" s="135" t="n">
        <v>-0.0019</v>
      </c>
    </row>
    <row r="232" customFormat="false" ht="15" hidden="false" customHeight="false" outlineLevel="0" collapsed="false">
      <c r="A232" s="140" t="n">
        <v>46241</v>
      </c>
      <c r="B232" s="135" t="n">
        <v>0.0162</v>
      </c>
      <c r="C232" s="135" t="n">
        <v>0.0082</v>
      </c>
    </row>
    <row r="233" customFormat="false" ht="15" hidden="false" customHeight="false" outlineLevel="0" collapsed="false">
      <c r="A233" s="140" t="n">
        <v>46244</v>
      </c>
      <c r="B233" s="135" t="n">
        <v>-0.0037</v>
      </c>
      <c r="C233" s="135" t="n">
        <v>-0.0075</v>
      </c>
    </row>
    <row r="234" customFormat="false" ht="15" hidden="false" customHeight="false" outlineLevel="0" collapsed="false">
      <c r="A234" s="140" t="n">
        <v>46245</v>
      </c>
      <c r="B234" s="135" t="n">
        <v>-0.0208</v>
      </c>
      <c r="C234" s="135" t="n">
        <v>-0.0132</v>
      </c>
    </row>
    <row r="235" customFormat="false" ht="15" hidden="false" customHeight="false" outlineLevel="0" collapsed="false">
      <c r="A235" s="140" t="n">
        <v>46246</v>
      </c>
      <c r="B235" s="135" t="n">
        <v>0</v>
      </c>
      <c r="C235" s="135" t="n">
        <v>0.0029</v>
      </c>
    </row>
    <row r="236" customFormat="false" ht="15" hidden="false" customHeight="false" outlineLevel="0" collapsed="false">
      <c r="A236" s="140" t="n">
        <v>46247</v>
      </c>
      <c r="B236" s="135" t="n">
        <v>-0.0278</v>
      </c>
      <c r="C236" s="135" t="n">
        <v>-0.0141</v>
      </c>
    </row>
    <row r="237" customFormat="false" ht="15" hidden="false" customHeight="false" outlineLevel="0" collapsed="false">
      <c r="A237" s="140" t="n">
        <v>46248</v>
      </c>
      <c r="B237" s="135" t="n">
        <v>-0.0161</v>
      </c>
      <c r="C237" s="135" t="n">
        <v>-0.0066</v>
      </c>
    </row>
    <row r="238" customFormat="false" ht="15" hidden="false" customHeight="false" outlineLevel="0" collapsed="false">
      <c r="A238" s="140" t="n">
        <v>46251</v>
      </c>
      <c r="B238" s="135" t="n">
        <v>0</v>
      </c>
      <c r="C238" s="135" t="n">
        <v>-0.0022</v>
      </c>
    </row>
    <row r="239" customFormat="false" ht="15" hidden="false" customHeight="false" outlineLevel="0" collapsed="false">
      <c r="A239" s="140" t="n">
        <v>46252</v>
      </c>
      <c r="B239" s="135" t="n">
        <v>0</v>
      </c>
      <c r="C239" s="135" t="n">
        <v>-0.005</v>
      </c>
    </row>
    <row r="240" customFormat="false" ht="15" hidden="false" customHeight="false" outlineLevel="0" collapsed="false">
      <c r="A240" s="140" t="n">
        <v>46253</v>
      </c>
      <c r="B240" s="135" t="n">
        <v>-0.0004</v>
      </c>
      <c r="C240" s="135" t="n">
        <v>0.001</v>
      </c>
    </row>
    <row r="241" customFormat="false" ht="15" hidden="false" customHeight="false" outlineLevel="0" collapsed="false">
      <c r="A241" s="140" t="n">
        <v>46254</v>
      </c>
      <c r="B241" s="135" t="n">
        <v>0</v>
      </c>
      <c r="C241" s="135" t="n">
        <v>0.0055</v>
      </c>
    </row>
    <row r="242" customFormat="false" ht="15" hidden="false" customHeight="false" outlineLevel="0" collapsed="false">
      <c r="A242" s="140" t="n">
        <v>46255</v>
      </c>
      <c r="B242" s="135" t="n">
        <v>-0.0149</v>
      </c>
      <c r="C242" s="135" t="n">
        <v>0.0214</v>
      </c>
    </row>
    <row r="243" customFormat="false" ht="15" hidden="false" customHeight="false" outlineLevel="0" collapsed="false">
      <c r="A243" s="140" t="n">
        <v>46258</v>
      </c>
      <c r="B243" s="135" t="n">
        <v>0</v>
      </c>
      <c r="C243" s="135" t="n">
        <v>0.0006</v>
      </c>
    </row>
    <row r="244" customFormat="false" ht="15" hidden="false" customHeight="false" outlineLevel="0" collapsed="false">
      <c r="A244" s="140" t="n">
        <v>46259</v>
      </c>
      <c r="B244" s="135" t="n">
        <v>0.0078</v>
      </c>
      <c r="C244" s="135" t="n">
        <v>0.0079</v>
      </c>
    </row>
    <row r="245" customFormat="false" ht="15" hidden="false" customHeight="false" outlineLevel="0" collapsed="false">
      <c r="A245" s="140" t="n">
        <v>46260</v>
      </c>
      <c r="B245" s="135" t="n">
        <v>0</v>
      </c>
      <c r="C245" s="135" t="n">
        <v>-0.0015</v>
      </c>
    </row>
    <row r="246" customFormat="false" ht="15" hidden="false" customHeight="false" outlineLevel="0" collapsed="false">
      <c r="A246" s="140" t="n">
        <v>46261</v>
      </c>
      <c r="B246" s="135" t="n">
        <v>-0.0081</v>
      </c>
      <c r="C246" s="135" t="n">
        <v>-0.0055</v>
      </c>
    </row>
    <row r="247" customFormat="false" ht="15" hidden="false" customHeight="false" outlineLevel="0" collapsed="false">
      <c r="A247" s="140" t="n">
        <v>46262</v>
      </c>
      <c r="B247" s="135" t="n">
        <v>0</v>
      </c>
      <c r="C247" s="135" t="n">
        <v>-0.0053</v>
      </c>
    </row>
    <row r="248" customFormat="false" ht="15" hidden="false" customHeight="false" outlineLevel="0" collapsed="false">
      <c r="A248" s="140" t="n">
        <v>46265</v>
      </c>
      <c r="B248" s="135" t="n">
        <v>-0.0004</v>
      </c>
      <c r="C248" s="135" t="n">
        <v>-0.0008</v>
      </c>
    </row>
    <row r="249" customFormat="false" ht="15" hidden="false" customHeight="false" outlineLevel="0" collapsed="false">
      <c r="A249" s="140" t="n">
        <v>46266</v>
      </c>
      <c r="B249" s="135" t="n">
        <v>-0.0052</v>
      </c>
      <c r="C249" s="135" t="n">
        <v>-0.014</v>
      </c>
    </row>
    <row r="250" customFormat="false" ht="15" hidden="false" customHeight="false" outlineLevel="0" collapsed="false">
      <c r="A250" s="140" t="n">
        <v>46267</v>
      </c>
      <c r="B250" s="135" t="n">
        <v>-0.0063</v>
      </c>
      <c r="C250" s="135" t="n">
        <v>0.0057</v>
      </c>
    </row>
    <row r="251" customFormat="false" ht="15" hidden="false" customHeight="false" outlineLevel="0" collapsed="false">
      <c r="A251" s="140" t="n">
        <v>46268</v>
      </c>
      <c r="B251" s="135" t="n">
        <v>0</v>
      </c>
      <c r="C251" s="135" t="n">
        <v>0.0085</v>
      </c>
    </row>
    <row r="252" customFormat="false" ht="15" hidden="false" customHeight="false" outlineLevel="0" collapsed="false">
      <c r="A252" s="140" t="n">
        <v>46269</v>
      </c>
      <c r="B252" s="135" t="n">
        <v>-0.028</v>
      </c>
      <c r="C252" s="135" t="n">
        <v>-0.0087</v>
      </c>
    </row>
    <row r="253" customFormat="false" ht="15" hidden="false" customHeight="false" outlineLevel="0" collapsed="false">
      <c r="A253" s="140" t="n">
        <v>46273</v>
      </c>
      <c r="B253" s="135" t="n">
        <v>0.0096</v>
      </c>
      <c r="C253" s="135" t="n">
        <v>0.0052</v>
      </c>
    </row>
    <row r="254" customFormat="false" ht="15" hidden="false" customHeight="false" outlineLevel="0" collapsed="false">
      <c r="A254" s="140" t="n">
        <v>46274</v>
      </c>
      <c r="B254" s="135" t="n">
        <v>0.0095</v>
      </c>
      <c r="C254" s="135" t="n">
        <v>-0.0039</v>
      </c>
    </row>
    <row r="255" customFormat="false" ht="15" hidden="false" customHeight="false" outlineLevel="0" collapsed="false">
      <c r="A255" s="140" t="n">
        <v>46275</v>
      </c>
      <c r="B255" s="135" t="n">
        <v>-0.0355</v>
      </c>
      <c r="C255" s="135" t="n">
        <v>-0.0109</v>
      </c>
    </row>
    <row r="256" customFormat="false" ht="15" hidden="false" customHeight="false" outlineLevel="0" collapsed="false">
      <c r="A256" s="140" t="n">
        <v>46276</v>
      </c>
      <c r="B256" s="135" t="n">
        <v>0.0172</v>
      </c>
      <c r="C256" s="135" t="n">
        <v>-0.0028</v>
      </c>
    </row>
    <row r="257" customFormat="false" ht="15" hidden="false" customHeight="false" outlineLevel="0" collapsed="false">
      <c r="A257" s="140" t="n">
        <v>46279</v>
      </c>
      <c r="B257" s="135" t="n">
        <v>0.06</v>
      </c>
      <c r="C257" s="135" t="n">
        <v>0.0046</v>
      </c>
    </row>
    <row r="258" customFormat="false" ht="15" hidden="false" customHeight="false" outlineLevel="0" collapsed="false">
      <c r="A258" s="140" t="n">
        <v>46280</v>
      </c>
      <c r="B258" s="135" t="n">
        <v>0.0762</v>
      </c>
      <c r="C258" s="135" t="n">
        <v>-0.0111</v>
      </c>
    </row>
    <row r="259" customFormat="false" ht="15" hidden="false" customHeight="false" outlineLevel="0" collapsed="false">
      <c r="A259" s="140" t="n">
        <v>46282</v>
      </c>
      <c r="B259" s="135" t="n">
        <v>0.0121</v>
      </c>
      <c r="C259" s="135" t="n">
        <v>0.0058</v>
      </c>
    </row>
    <row r="260" customFormat="false" ht="15" hidden="false" customHeight="false" outlineLevel="0" collapsed="false">
      <c r="A260" s="140" t="n">
        <v>46283</v>
      </c>
      <c r="B260" s="135" t="n">
        <v>0.0073</v>
      </c>
      <c r="C260" s="135" t="n">
        <v>-0.0078</v>
      </c>
    </row>
    <row r="261" customFormat="false" ht="15" hidden="false" customHeight="false" outlineLevel="0" collapsed="false">
      <c r="A261" s="140" t="n">
        <v>46286</v>
      </c>
      <c r="B261" s="135" t="n">
        <v>-0.0046</v>
      </c>
      <c r="C261" s="135" t="n">
        <v>0.0025</v>
      </c>
    </row>
    <row r="262" customFormat="false" ht="15" hidden="false" customHeight="false" outlineLevel="0" collapsed="false">
      <c r="A262" s="140" t="n">
        <v>46288</v>
      </c>
      <c r="B262" s="135" t="n">
        <v>0.0233</v>
      </c>
      <c r="C262" s="135" t="n">
        <v>-0.0028</v>
      </c>
    </row>
    <row r="263" customFormat="false" ht="15" hidden="false" customHeight="false" outlineLevel="0" collapsed="false">
      <c r="A263" s="140" t="n">
        <v>46289</v>
      </c>
      <c r="B263" s="135" t="n">
        <v>0.0682</v>
      </c>
      <c r="C263" s="135" t="n">
        <v>-0.0002</v>
      </c>
    </row>
    <row r="264" customFormat="false" ht="15" hidden="false" customHeight="false" outlineLevel="0" collapsed="false">
      <c r="A264" s="140" t="n">
        <v>46290</v>
      </c>
      <c r="B264" s="135" t="n">
        <v>0.0176</v>
      </c>
      <c r="C264" s="135" t="n">
        <v>0.0113</v>
      </c>
    </row>
    <row r="265" customFormat="false" ht="15" hidden="false" customHeight="false" outlineLevel="0" collapsed="false">
      <c r="A265" s="140" t="n">
        <v>46293</v>
      </c>
      <c r="B265" s="135" t="n">
        <v>0.0111</v>
      </c>
      <c r="C265" s="135" t="n">
        <v>-0.0007</v>
      </c>
    </row>
    <row r="266" customFormat="false" ht="15" hidden="false" customHeight="false" outlineLevel="0" collapsed="false">
      <c r="A266" s="140" t="n">
        <v>46294</v>
      </c>
      <c r="B266" s="135" t="n">
        <v>0.0192</v>
      </c>
      <c r="C266" s="135" t="n">
        <v>0.0026</v>
      </c>
    </row>
    <row r="267" customFormat="false" ht="15" hidden="false" customHeight="false" outlineLevel="0" collapsed="false">
      <c r="A267" s="140" t="n">
        <v>46295</v>
      </c>
      <c r="B267" s="135" t="n">
        <v>0.0145</v>
      </c>
      <c r="C267" s="135" t="n">
        <v>-0.0138</v>
      </c>
    </row>
    <row r="268" customFormat="false" ht="15" hidden="false" customHeight="false" outlineLevel="0" collapsed="false">
      <c r="A268" s="140" t="n">
        <v>46296</v>
      </c>
      <c r="B268" s="135" t="n">
        <v>-0.0286</v>
      </c>
      <c r="C268" s="135" t="n">
        <v>-0.006</v>
      </c>
    </row>
    <row r="269" customFormat="false" ht="15" hidden="false" customHeight="false" outlineLevel="0" collapsed="false">
      <c r="A269" s="140" t="n">
        <v>46297</v>
      </c>
      <c r="B269" s="135" t="n">
        <v>0.0029</v>
      </c>
      <c r="C269" s="135" t="n">
        <v>0.011</v>
      </c>
    </row>
    <row r="270" customFormat="false" ht="15" hidden="false" customHeight="false" outlineLevel="0" collapsed="false">
      <c r="A270" s="140" t="n">
        <v>46300</v>
      </c>
      <c r="B270" s="135" t="n">
        <v>-0.0091</v>
      </c>
      <c r="C270" s="135" t="n">
        <v>0.0069</v>
      </c>
    </row>
    <row r="271" customFormat="false" ht="15" hidden="false" customHeight="false" outlineLevel="0" collapsed="false">
      <c r="A271" s="140" t="n">
        <v>46301</v>
      </c>
      <c r="B271" s="135" t="n">
        <v>-0.0201</v>
      </c>
      <c r="C271" s="135" t="n">
        <v>0.0052</v>
      </c>
    </row>
    <row r="273" customFormat="false" ht="15" hidden="false" customHeight="false" outlineLevel="0" collapsed="false">
      <c r="A273" s="123" t="s">
        <v>740</v>
      </c>
    </row>
    <row r="274" customFormat="false" ht="15" hidden="false" customHeight="false" outlineLevel="0" collapsed="false">
      <c r="A274" s="0" t="s">
        <v>741</v>
      </c>
      <c r="B274" s="144" t="n">
        <f aca="false">SLOPE(B210:B271,C210:C271)</f>
        <v>0.0414619566109314</v>
      </c>
    </row>
    <row r="275" customFormat="false" ht="15" hidden="false" customHeight="false" outlineLevel="0" collapsed="false">
      <c r="A275" s="0" t="s">
        <v>688</v>
      </c>
      <c r="B275" s="131" t="n">
        <f aca="false">RSQ(B210:B271,C210:C271)</f>
        <v>0.000225094026900157</v>
      </c>
    </row>
    <row r="276" customFormat="false" ht="15" hidden="false" customHeight="false" outlineLevel="0" collapsed="false">
      <c r="A276" s="0" t="s">
        <v>742</v>
      </c>
      <c r="B276" s="0" t="n">
        <f aca="false">COUNT(B210:B271)</f>
        <v>62</v>
      </c>
    </row>
    <row r="277" customFormat="false" ht="15" hidden="false" customHeight="false" outlineLevel="0" collapsed="false">
      <c r="A277" s="0" t="s">
        <v>743</v>
      </c>
      <c r="B277" s="135" t="n">
        <v>0.414619566109315</v>
      </c>
      <c r="C277" s="120" t="s">
        <v>744</v>
      </c>
    </row>
    <row r="279" customFormat="false" ht="15" hidden="false" customHeight="false" outlineLevel="0" collapsed="false">
      <c r="A279" s="123" t="s">
        <v>745</v>
      </c>
    </row>
    <row r="280" customFormat="false" ht="15" hidden="false" customHeight="false" outlineLevel="0" collapsed="false">
      <c r="A280" s="0" t="s">
        <v>746</v>
      </c>
      <c r="B280" s="141" t="n">
        <f aca="false">WACC!B9</f>
        <v>0.65</v>
      </c>
      <c r="C280" s="120" t="s">
        <v>747</v>
      </c>
    </row>
    <row r="281" customFormat="false" ht="15" hidden="false" customHeight="false" outlineLevel="0" collapsed="false">
      <c r="A281" s="0" t="s">
        <v>748</v>
      </c>
      <c r="C281" s="120" t="s">
        <v>749</v>
      </c>
    </row>
  </sheetData>
  <mergeCells count="12"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C47:G47"/>
    <mergeCell ref="C48:G48"/>
    <mergeCell ref="C49:G49"/>
  </mergeCells>
  <dataValidations count="1">
    <dataValidation allowBlank="false" errorStyle="stop" operator="between" showDropDown="false" showErrorMessage="false" showInputMessage="false" sqref="B6" type="list">
      <formula1>"1,2,3,0"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19" t="s">
        <v>750</v>
      </c>
    </row>
    <row r="2" customFormat="false" ht="15" hidden="false" customHeight="false" outlineLevel="0" collapsed="false">
      <c r="A2" s="120" t="s">
        <v>751</v>
      </c>
    </row>
    <row r="3" customFormat="false" ht="15" hidden="false" customHeight="false" outlineLevel="0" collapsed="false">
      <c r="A3" s="120" t="s">
        <v>638</v>
      </c>
    </row>
    <row r="5" customFormat="false" ht="15" hidden="false" customHeight="false" outlineLevel="0" collapsed="false">
      <c r="A5" s="121" t="s">
        <v>752</v>
      </c>
      <c r="B5" s="122"/>
      <c r="C5" s="122"/>
      <c r="D5" s="122"/>
      <c r="E5" s="122"/>
    </row>
    <row r="6" customFormat="false" ht="15" hidden="false" customHeight="false" outlineLevel="0" collapsed="false">
      <c r="A6" s="125" t="s">
        <v>46</v>
      </c>
      <c r="B6" s="125" t="s">
        <v>78</v>
      </c>
      <c r="C6" s="125"/>
      <c r="D6" s="125"/>
      <c r="E6" s="125" t="s">
        <v>753</v>
      </c>
    </row>
    <row r="7" customFormat="false" ht="28.35" hidden="false" customHeight="false" outlineLevel="0" collapsed="false">
      <c r="A7" s="127" t="s">
        <v>754</v>
      </c>
      <c r="B7" s="145" t="s">
        <v>755</v>
      </c>
      <c r="E7" s="127" t="s">
        <v>756</v>
      </c>
    </row>
    <row r="8" customFormat="false" ht="15" hidden="false" customHeight="false" outlineLevel="0" collapsed="false">
      <c r="A8" s="127" t="s">
        <v>757</v>
      </c>
      <c r="B8" s="145" t="s">
        <v>758</v>
      </c>
      <c r="E8" s="127" t="s">
        <v>759</v>
      </c>
    </row>
    <row r="9" customFormat="false" ht="15" hidden="false" customHeight="false" outlineLevel="0" collapsed="false">
      <c r="A9" s="127" t="s">
        <v>760</v>
      </c>
      <c r="B9" s="145" t="s">
        <v>761</v>
      </c>
      <c r="E9" s="127" t="s">
        <v>762</v>
      </c>
    </row>
    <row r="10" customFormat="false" ht="15" hidden="false" customHeight="false" outlineLevel="0" collapsed="false">
      <c r="A10" s="127" t="s">
        <v>763</v>
      </c>
      <c r="B10" s="145" t="n">
        <v>215</v>
      </c>
      <c r="E10" s="127" t="s">
        <v>764</v>
      </c>
    </row>
    <row r="11" customFormat="false" ht="15" hidden="false" customHeight="false" outlineLevel="0" collapsed="false">
      <c r="A11" s="127" t="s">
        <v>765</v>
      </c>
      <c r="B11" s="146" t="n">
        <v>0.87</v>
      </c>
      <c r="E11" s="127" t="s">
        <v>766</v>
      </c>
    </row>
    <row r="12" customFormat="false" ht="15" hidden="false" customHeight="false" outlineLevel="0" collapsed="false">
      <c r="A12" s="127" t="s">
        <v>767</v>
      </c>
      <c r="B12" s="126" t="n">
        <v>0.4596</v>
      </c>
      <c r="E12" s="127" t="s">
        <v>768</v>
      </c>
    </row>
    <row r="13" customFormat="false" ht="15" hidden="false" customHeight="false" outlineLevel="0" collapsed="false">
      <c r="A13" s="127" t="s">
        <v>769</v>
      </c>
      <c r="B13" s="126" t="n">
        <v>0.2081</v>
      </c>
      <c r="E13" s="127" t="s">
        <v>770</v>
      </c>
    </row>
    <row r="14" customFormat="false" ht="15" hidden="false" customHeight="false" outlineLevel="0" collapsed="false">
      <c r="A14" s="127" t="s">
        <v>771</v>
      </c>
      <c r="B14" s="126" t="n">
        <v>0.2537</v>
      </c>
      <c r="E14" s="127" t="s">
        <v>772</v>
      </c>
    </row>
    <row r="15" customFormat="false" ht="15" hidden="false" customHeight="false" outlineLevel="0" collapsed="false">
      <c r="A15" s="127" t="s">
        <v>773</v>
      </c>
      <c r="B15" s="146" t="n">
        <v>0.65</v>
      </c>
      <c r="E15" s="127" t="s">
        <v>774</v>
      </c>
    </row>
    <row r="16" customFormat="false" ht="15" hidden="false" customHeight="false" outlineLevel="0" collapsed="false">
      <c r="A16" s="127" t="s">
        <v>775</v>
      </c>
      <c r="B16" s="126" t="n">
        <v>0.0581</v>
      </c>
      <c r="E16" s="127" t="s">
        <v>770</v>
      </c>
    </row>
    <row r="17" customFormat="false" ht="15" hidden="false" customHeight="false" outlineLevel="0" collapsed="false">
      <c r="A17" s="127" t="s">
        <v>776</v>
      </c>
      <c r="B17" s="146" t="n">
        <v>0.69</v>
      </c>
      <c r="E17" s="127" t="s">
        <v>777</v>
      </c>
    </row>
    <row r="18" customFormat="false" ht="15" hidden="false" customHeight="false" outlineLevel="0" collapsed="false">
      <c r="A18" s="147" t="s">
        <v>778</v>
      </c>
      <c r="B18" s="144" t="n">
        <f aca="false">B11/(1+(1-B14)*B12)</f>
        <v>0.647803675992488</v>
      </c>
      <c r="C18" s="131" t="n">
        <f aca="false">B18-B15</f>
        <v>-0.00219632400751191</v>
      </c>
      <c r="E18" s="36" t="s">
        <v>779</v>
      </c>
    </row>
    <row r="19" customFormat="false" ht="15" hidden="false" customHeight="false" outlineLevel="0" collapsed="false">
      <c r="A19" s="127"/>
    </row>
    <row r="20" customFormat="false" ht="28.35" hidden="false" customHeight="false" outlineLevel="0" collapsed="false">
      <c r="A20" s="148" t="s">
        <v>780</v>
      </c>
      <c r="B20" s="122"/>
      <c r="C20" s="122"/>
      <c r="D20" s="122"/>
      <c r="E20" s="122"/>
    </row>
    <row r="21" customFormat="false" ht="31.5" hidden="false" customHeight="true" outlineLevel="0" collapsed="false">
      <c r="A21" s="130" t="s">
        <v>781</v>
      </c>
      <c r="B21" s="130"/>
      <c r="C21" s="130"/>
      <c r="D21" s="130"/>
      <c r="E21" s="130"/>
    </row>
    <row r="22" customFormat="false" ht="31.5" hidden="false" customHeight="true" outlineLevel="0" collapsed="false">
      <c r="A22" s="130" t="s">
        <v>782</v>
      </c>
      <c r="B22" s="130"/>
      <c r="C22" s="130"/>
      <c r="D22" s="130"/>
      <c r="E22" s="130"/>
    </row>
    <row r="23" customFormat="false" ht="31.5" hidden="false" customHeight="true" outlineLevel="0" collapsed="false">
      <c r="A23" s="130" t="s">
        <v>783</v>
      </c>
      <c r="B23" s="130"/>
      <c r="C23" s="130"/>
      <c r="D23" s="130"/>
      <c r="E23" s="130"/>
    </row>
    <row r="24" customFormat="false" ht="31.5" hidden="false" customHeight="true" outlineLevel="0" collapsed="false">
      <c r="A24" s="130" t="s">
        <v>784</v>
      </c>
      <c r="B24" s="130"/>
      <c r="C24" s="130"/>
      <c r="D24" s="130"/>
      <c r="E24" s="130"/>
    </row>
    <row r="25" customFormat="false" ht="15" hidden="false" customHeight="false" outlineLevel="0" collapsed="false">
      <c r="A25" s="127"/>
    </row>
    <row r="26" customFormat="false" ht="28.35" hidden="false" customHeight="false" outlineLevel="0" collapsed="false">
      <c r="A26" s="127" t="s">
        <v>785</v>
      </c>
      <c r="B26" s="146" t="n">
        <v>0.8</v>
      </c>
      <c r="E26" s="36" t="s">
        <v>786</v>
      </c>
    </row>
    <row r="27" customFormat="false" ht="28.35" hidden="false" customHeight="false" outlineLevel="0" collapsed="false">
      <c r="A27" s="147" t="s">
        <v>787</v>
      </c>
      <c r="B27" s="124" t="n">
        <v>1</v>
      </c>
    </row>
    <row r="28" customFormat="false" ht="15" hidden="false" customHeight="false" outlineLevel="0" collapsed="false">
      <c r="A28" s="147" t="s">
        <v>788</v>
      </c>
      <c r="B28" s="149" t="n">
        <f aca="false">CHOOSE(B27+1,B26,B15)</f>
        <v>0.65</v>
      </c>
      <c r="E28" s="36" t="s">
        <v>789</v>
      </c>
    </row>
    <row r="29" customFormat="false" ht="15" hidden="false" customHeight="false" outlineLevel="0" collapsed="false">
      <c r="A29" s="127"/>
    </row>
    <row r="30" customFormat="false" ht="28.35" hidden="false" customHeight="false" outlineLevel="0" collapsed="false">
      <c r="A30" s="148" t="s">
        <v>790</v>
      </c>
      <c r="B30" s="122"/>
      <c r="C30" s="122"/>
      <c r="D30" s="122"/>
      <c r="E30" s="122"/>
    </row>
    <row r="31" customFormat="false" ht="28.35" hidden="false" customHeight="false" outlineLevel="0" collapsed="false">
      <c r="A31" s="125" t="s">
        <v>195</v>
      </c>
      <c r="B31" s="125" t="s">
        <v>791</v>
      </c>
      <c r="C31" s="125" t="s">
        <v>792</v>
      </c>
      <c r="D31" s="125"/>
      <c r="E31" s="125" t="s">
        <v>793</v>
      </c>
    </row>
    <row r="32" customFormat="false" ht="15" hidden="false" customHeight="false" outlineLevel="0" collapsed="false">
      <c r="A32" s="127" t="s">
        <v>794</v>
      </c>
      <c r="B32" s="131" t="n">
        <f aca="false">B28</f>
        <v>0.65</v>
      </c>
      <c r="C32" s="131" t="n">
        <f aca="false">B28</f>
        <v>0.65</v>
      </c>
      <c r="E32" s="127" t="s">
        <v>795</v>
      </c>
    </row>
    <row r="33" customFormat="false" ht="28.35" hidden="false" customHeight="false" outlineLevel="0" collapsed="false">
      <c r="A33" s="127" t="s">
        <v>796</v>
      </c>
      <c r="B33" s="131" t="n">
        <f aca="false">WACC!B23</f>
        <v>0.391908934023629</v>
      </c>
      <c r="C33" s="131" t="n">
        <f aca="false">'Proyección Final Soriana'!D219</f>
        <v>0.406330993522278</v>
      </c>
      <c r="E33" s="127" t="s">
        <v>797</v>
      </c>
    </row>
    <row r="34" customFormat="false" ht="15" hidden="false" customHeight="false" outlineLevel="0" collapsed="false">
      <c r="A34" s="127" t="s">
        <v>798</v>
      </c>
      <c r="B34" s="131" t="n">
        <f aca="false">WACC!B10</f>
        <v>0.3</v>
      </c>
      <c r="C34" s="131" t="n">
        <f aca="false">'Proyección Final Soriana'!B207</f>
        <v>0.288010101095701</v>
      </c>
      <c r="E34" s="127" t="s">
        <v>799</v>
      </c>
    </row>
    <row r="35" customFormat="false" ht="15" hidden="false" customHeight="false" outlineLevel="0" collapsed="false">
      <c r="A35" s="147" t="s">
        <v>800</v>
      </c>
      <c r="B35" s="131" t="n">
        <f aca="false">B32*(1+(1-B34)*B33)</f>
        <v>0.828318564980751</v>
      </c>
      <c r="C35" s="131" t="n">
        <f aca="false">C32*(1+(1-C34)*C33)</f>
        <v>0.838047315949747</v>
      </c>
      <c r="E35" s="127" t="s">
        <v>801</v>
      </c>
    </row>
    <row r="36" customFormat="false" ht="15" hidden="false" customHeight="false" outlineLevel="0" collapsed="false">
      <c r="A36" s="127" t="s">
        <v>802</v>
      </c>
      <c r="B36" s="137" t="n">
        <f aca="false">WACC!B5</f>
        <v>0.09517</v>
      </c>
      <c r="C36" s="137" t="n">
        <f aca="false">'Proyección Final Soriana'!B210</f>
        <v>0.09517</v>
      </c>
      <c r="E36" s="127" t="s">
        <v>803</v>
      </c>
    </row>
    <row r="37" customFormat="false" ht="15" hidden="false" customHeight="false" outlineLevel="0" collapsed="false">
      <c r="A37" s="127" t="s">
        <v>804</v>
      </c>
      <c r="B37" s="137" t="n">
        <f aca="false">WACC!B8</f>
        <v>0.0423</v>
      </c>
      <c r="C37" s="137" t="n">
        <f aca="false">'Proyección Final Soriana'!B211</f>
        <v>0.0423</v>
      </c>
      <c r="E37" s="127" t="s">
        <v>805</v>
      </c>
    </row>
    <row r="38" customFormat="false" ht="15" hidden="false" customHeight="false" outlineLevel="0" collapsed="false">
      <c r="A38" s="147" t="s">
        <v>806</v>
      </c>
      <c r="B38" s="137" t="n">
        <f aca="false">B36+B35*B37</f>
        <v>0.130207875298686</v>
      </c>
      <c r="C38" s="137" t="n">
        <f aca="false">C36+C35*C37</f>
        <v>0.130619401464674</v>
      </c>
      <c r="E38" s="127" t="s">
        <v>807</v>
      </c>
    </row>
    <row r="39" customFormat="false" ht="15" hidden="false" customHeight="false" outlineLevel="0" collapsed="false">
      <c r="A39" s="127" t="s">
        <v>808</v>
      </c>
      <c r="B39" s="137" t="n">
        <f aca="false">WACC!B33</f>
        <v>0.119198962792971</v>
      </c>
      <c r="C39" s="137" t="n">
        <f aca="false">'Proyección Final Soriana'!B126</f>
        <v>0.113451071262412</v>
      </c>
      <c r="E39" s="127" t="s">
        <v>809</v>
      </c>
    </row>
    <row r="40" customFormat="false" ht="15" hidden="false" customHeight="false" outlineLevel="0" collapsed="false">
      <c r="A40" s="127" t="s">
        <v>810</v>
      </c>
      <c r="B40" s="131" t="n">
        <f aca="false">B35-WACC!B28</f>
        <v>0</v>
      </c>
      <c r="C40" s="131" t="n">
        <f aca="false">C35-'Proyección Final Soriana'!E219</f>
        <v>0</v>
      </c>
      <c r="E40" s="127" t="s">
        <v>811</v>
      </c>
    </row>
    <row r="41" customFormat="false" ht="28.35" hidden="false" customHeight="false" outlineLevel="0" collapsed="false">
      <c r="A41" s="127" t="s">
        <v>812</v>
      </c>
      <c r="B41" s="137" t="n">
        <f aca="false">WACC!B5+B11*WACC!B8</f>
        <v>0.131971</v>
      </c>
      <c r="E41" s="36" t="s">
        <v>813</v>
      </c>
    </row>
    <row r="42" customFormat="false" ht="15" hidden="false" customHeight="false" outlineLevel="0" collapsed="false">
      <c r="A42" s="127"/>
    </row>
    <row r="43" customFormat="false" ht="41.75" hidden="false" customHeight="false" outlineLevel="0" collapsed="false">
      <c r="A43" s="148" t="s">
        <v>814</v>
      </c>
      <c r="B43" s="122"/>
      <c r="C43" s="122"/>
      <c r="D43" s="122"/>
      <c r="E43" s="122"/>
    </row>
    <row r="44" customFormat="false" ht="28.35" hidden="false" customHeight="false" outlineLevel="0" collapsed="false">
      <c r="A44" s="125" t="s">
        <v>195</v>
      </c>
      <c r="B44" s="125" t="s">
        <v>815</v>
      </c>
      <c r="C44" s="125" t="s">
        <v>816</v>
      </c>
      <c r="D44" s="125" t="s">
        <v>817</v>
      </c>
      <c r="E44" s="125" t="s">
        <v>691</v>
      </c>
    </row>
    <row r="45" customFormat="false" ht="15" hidden="false" customHeight="false" outlineLevel="0" collapsed="false">
      <c r="A45" s="127" t="s">
        <v>818</v>
      </c>
      <c r="B45" s="131" t="n">
        <f aca="false">Validación!H8</f>
        <v>0.8</v>
      </c>
      <c r="C45" s="131" t="n">
        <f aca="false">Validación!F8</f>
        <v>0.65</v>
      </c>
      <c r="D45" s="131" t="n">
        <f aca="false">C45-B45</f>
        <v>-0.15</v>
      </c>
      <c r="E45" s="36" t="s">
        <v>819</v>
      </c>
    </row>
    <row r="46" customFormat="false" ht="15" hidden="false" customHeight="false" outlineLevel="0" collapsed="false">
      <c r="A46" s="127" t="s">
        <v>820</v>
      </c>
      <c r="B46" s="131" t="n">
        <f aca="false">Validación!H14</f>
        <v>1.05076123422354</v>
      </c>
      <c r="C46" s="131" t="n">
        <f aca="false">Validación!F14</f>
        <v>0.838047315949747</v>
      </c>
      <c r="D46" s="131" t="n">
        <f aca="false">C46-B46</f>
        <v>-0.212713918273793</v>
      </c>
    </row>
    <row r="47" customFormat="false" ht="15" hidden="false" customHeight="false" outlineLevel="0" collapsed="false">
      <c r="A47" s="127" t="s">
        <v>821</v>
      </c>
      <c r="B47" s="137" t="n">
        <f aca="false">Validación!H13</f>
        <v>0.139617200207656</v>
      </c>
      <c r="C47" s="137" t="n">
        <f aca="false">Validación!F13</f>
        <v>0.130619401464674</v>
      </c>
      <c r="D47" s="137" t="n">
        <f aca="false">C47-B47</f>
        <v>-0.00899779874298201</v>
      </c>
    </row>
    <row r="48" customFormat="false" ht="15" hidden="false" customHeight="false" outlineLevel="0" collapsed="false">
      <c r="A48" s="127" t="s">
        <v>822</v>
      </c>
      <c r="B48" s="137" t="n">
        <f aca="false">Validación!H12</f>
        <v>0.118703481777349</v>
      </c>
      <c r="C48" s="137" t="n">
        <f aca="false">Validación!F12</f>
        <v>0.113451071262412</v>
      </c>
      <c r="D48" s="137" t="n">
        <f aca="false">C48-B48</f>
        <v>-0.00525241051493701</v>
      </c>
    </row>
    <row r="49" customFormat="false" ht="15" hidden="false" customHeight="false" outlineLevel="0" collapsed="false">
      <c r="A49" s="127" t="s">
        <v>823</v>
      </c>
      <c r="B49" s="137" t="n">
        <f aca="false">Validación!H15</f>
        <v>0.125008009155719</v>
      </c>
      <c r="C49" s="137" t="n">
        <f aca="false">Validación!F15</f>
        <v>0.119198962792971</v>
      </c>
      <c r="D49" s="137" t="n">
        <f aca="false">C49-B49</f>
        <v>-0.005809046362748</v>
      </c>
    </row>
    <row r="50" customFormat="false" ht="15" hidden="false" customHeight="false" outlineLevel="0" collapsed="false">
      <c r="A50" s="127" t="s">
        <v>824</v>
      </c>
      <c r="B50" s="137" t="n">
        <f aca="false">Validación!H16</f>
        <v>0.138293538829152</v>
      </c>
      <c r="C50" s="137" t="n">
        <f aca="false">Validación!F16</f>
        <v>0.130207875298686</v>
      </c>
      <c r="D50" s="137" t="n">
        <f aca="false">C50-B50</f>
        <v>-0.008085663530466</v>
      </c>
    </row>
    <row r="51" customFormat="false" ht="15" hidden="false" customHeight="false" outlineLevel="0" collapsed="false">
      <c r="A51" s="127" t="s">
        <v>825</v>
      </c>
      <c r="B51" s="150" t="n">
        <f aca="false">Validación!H11</f>
        <v>65689.3600289305</v>
      </c>
      <c r="C51" s="150" t="n">
        <f aca="false">Validación!F11</f>
        <v>68563.6049722872</v>
      </c>
      <c r="D51" s="150" t="n">
        <f aca="false">C51-B51</f>
        <v>2874.24494335669</v>
      </c>
    </row>
    <row r="52" customFormat="false" ht="15" hidden="false" customHeight="false" outlineLevel="0" collapsed="false">
      <c r="A52" s="127" t="s">
        <v>826</v>
      </c>
      <c r="B52" s="150" t="n">
        <f aca="false">Validación!H10</f>
        <v>55497.600188144</v>
      </c>
      <c r="C52" s="150" t="n">
        <f aca="false">Validación!F10</f>
        <v>58346.5694706359</v>
      </c>
      <c r="D52" s="150" t="n">
        <f aca="false">C52-B52</f>
        <v>2848.9692824919</v>
      </c>
    </row>
    <row r="53" customFormat="false" ht="15" hidden="false" customHeight="false" outlineLevel="0" collapsed="false">
      <c r="A53" s="147" t="s">
        <v>827</v>
      </c>
      <c r="B53" s="151" t="n">
        <f aca="false">Validación!H9</f>
        <v>30.8320001045245</v>
      </c>
      <c r="C53" s="151" t="n">
        <f aca="false">Validación!F9</f>
        <v>32.41476081702</v>
      </c>
      <c r="D53" s="151" t="n">
        <f aca="false">C53-B53</f>
        <v>1.5827607124955</v>
      </c>
    </row>
    <row r="54" customFormat="false" ht="15" hidden="false" customHeight="false" outlineLevel="0" collapsed="false">
      <c r="A54" s="147" t="s">
        <v>828</v>
      </c>
      <c r="B54" s="151" t="n">
        <f aca="false">Validación!H19</f>
        <v>32.1624204795109</v>
      </c>
      <c r="C54" s="151" t="n">
        <f aca="false">Validación!F19</f>
        <v>32.9538008357587</v>
      </c>
      <c r="D54" s="151" t="n">
        <f aca="false">C54-B54</f>
        <v>0.7913803562478</v>
      </c>
    </row>
    <row r="55" customFormat="false" ht="15" hidden="false" customHeight="false" outlineLevel="0" collapsed="false">
      <c r="A55" s="127"/>
    </row>
    <row r="56" customFormat="false" ht="28.35" hidden="false" customHeight="false" outlineLevel="0" collapsed="false">
      <c r="A56" s="148" t="s">
        <v>829</v>
      </c>
      <c r="B56" s="122"/>
      <c r="C56" s="122"/>
      <c r="D56" s="122"/>
      <c r="E56" s="122"/>
    </row>
    <row r="57" customFormat="false" ht="30" hidden="false" customHeight="true" outlineLevel="0" collapsed="false">
      <c r="A57" s="147" t="s">
        <v>830</v>
      </c>
      <c r="B57" s="152" t="n">
        <f aca="false">'Proyección Final Soriana'!C61</f>
        <v>0.1</v>
      </c>
      <c r="E57" s="127" t="s">
        <v>831</v>
      </c>
    </row>
    <row r="58" customFormat="false" ht="30" hidden="false" customHeight="true" outlineLevel="0" collapsed="false">
      <c r="A58" s="127" t="s">
        <v>832</v>
      </c>
      <c r="B58" s="128" t="n">
        <f aca="false">(Datos!E10+Datos!F10)*2/Datos!F29</f>
        <v>0.0986484820696688</v>
      </c>
      <c r="E58" s="127" t="s">
        <v>833</v>
      </c>
    </row>
    <row r="59" customFormat="false" ht="30" hidden="false" customHeight="true" outlineLevel="0" collapsed="false">
      <c r="A59" s="127" t="s">
        <v>834</v>
      </c>
      <c r="B59" s="128" t="n">
        <f aca="false">B57-B58</f>
        <v>0.00135151793033124</v>
      </c>
      <c r="E59" s="127" t="s">
        <v>835</v>
      </c>
    </row>
    <row r="60" customFormat="false" ht="30" hidden="false" customHeight="true" outlineLevel="0" collapsed="false">
      <c r="A60" s="127" t="s">
        <v>836</v>
      </c>
      <c r="B60" s="128" t="n">
        <f aca="false">WACC!B31</f>
        <v>0.130154966550936</v>
      </c>
      <c r="E60" s="127" t="s">
        <v>837</v>
      </c>
    </row>
    <row r="61" customFormat="false" ht="15" hidden="false" customHeight="false" outlineLevel="0" collapsed="false">
      <c r="A61" s="127"/>
    </row>
  </sheetData>
  <mergeCells count="4">
    <mergeCell ref="A21:E21"/>
    <mergeCell ref="A22:E22"/>
    <mergeCell ref="A23:E23"/>
    <mergeCell ref="A24:E24"/>
  </mergeCells>
  <dataValidations count="1">
    <dataValidation allowBlank="false" errorStyle="stop" operator="between" showDropDown="false" showErrorMessage="false" showInputMessage="false" sqref="B27" type="list">
      <formula1>"1,0"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6" min="5" style="0" width="11"/>
    <col collapsed="false" customWidth="true" hidden="false" outlineLevel="0" max="9" min="7" style="0" width="10"/>
    <col collapsed="false" customWidth="true" hidden="false" outlineLevel="0" max="10" min="10" style="0" width="16"/>
    <col collapsed="false" customWidth="true" hidden="false" outlineLevel="0" max="11" min="11" style="0" width="8"/>
    <col collapsed="false" customWidth="true" hidden="false" outlineLevel="0" max="12" min="12" style="0" width="48"/>
    <col collapsed="false" customWidth="true" hidden="false" outlineLevel="0" max="19" min="13" style="0" width="10"/>
  </cols>
  <sheetData>
    <row r="1" customFormat="false" ht="17.35" hidden="false" customHeight="false" outlineLevel="0" collapsed="false">
      <c r="A1" s="119" t="s">
        <v>838</v>
      </c>
    </row>
    <row r="2" customFormat="false" ht="15" hidden="false" customHeight="false" outlineLevel="0" collapsed="false">
      <c r="A2" s="120" t="s">
        <v>839</v>
      </c>
    </row>
    <row r="3" customFormat="false" ht="15" hidden="false" customHeight="false" outlineLevel="0" collapsed="false">
      <c r="A3" s="120" t="s">
        <v>638</v>
      </c>
    </row>
    <row r="5" customFormat="false" ht="15" hidden="false" customHeight="false" outlineLevel="0" collapsed="false">
      <c r="A5" s="121" t="s">
        <v>840</v>
      </c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</row>
    <row r="6" customFormat="false" ht="41.75" hidden="false" customHeight="false" outlineLevel="0" collapsed="false">
      <c r="A6" s="125" t="s">
        <v>841</v>
      </c>
      <c r="B6" s="125" t="s">
        <v>842</v>
      </c>
      <c r="C6" s="125" t="s">
        <v>843</v>
      </c>
      <c r="D6" s="125" t="s">
        <v>844</v>
      </c>
      <c r="E6" s="125" t="s">
        <v>845</v>
      </c>
      <c r="F6" s="125" t="s">
        <v>846</v>
      </c>
      <c r="G6" s="125" t="s">
        <v>847</v>
      </c>
      <c r="H6" s="125" t="s">
        <v>848</v>
      </c>
      <c r="I6" s="125" t="s">
        <v>849</v>
      </c>
      <c r="J6" s="125" t="s">
        <v>850</v>
      </c>
      <c r="K6" s="125" t="s">
        <v>851</v>
      </c>
      <c r="L6" s="125" t="s">
        <v>852</v>
      </c>
      <c r="M6" s="125" t="s">
        <v>853</v>
      </c>
      <c r="N6" s="125" t="s">
        <v>854</v>
      </c>
      <c r="O6" s="125" t="s">
        <v>855</v>
      </c>
      <c r="P6" s="125" t="s">
        <v>856</v>
      </c>
      <c r="Q6" s="125" t="s">
        <v>857</v>
      </c>
      <c r="R6" s="125" t="s">
        <v>858</v>
      </c>
      <c r="S6" s="125" t="s">
        <v>859</v>
      </c>
    </row>
    <row r="7" customFormat="false" ht="42" hidden="false" customHeight="true" outlineLevel="0" collapsed="false">
      <c r="A7" s="153" t="s">
        <v>860</v>
      </c>
      <c r="B7" s="153" t="s">
        <v>861</v>
      </c>
      <c r="C7" s="153" t="s">
        <v>862</v>
      </c>
      <c r="D7" s="127" t="s">
        <v>863</v>
      </c>
      <c r="E7" s="154" t="n">
        <v>7428.7</v>
      </c>
      <c r="F7" s="154" t="n">
        <v>16018.2</v>
      </c>
      <c r="G7" s="155" t="n">
        <v>0.064</v>
      </c>
      <c r="H7" s="155" t="n">
        <v>-0.0335</v>
      </c>
      <c r="I7" s="156" t="n">
        <v>2.5</v>
      </c>
      <c r="J7" s="124" t="s">
        <v>864</v>
      </c>
      <c r="K7" s="124" t="n">
        <v>1</v>
      </c>
      <c r="L7" s="127" t="s">
        <v>865</v>
      </c>
      <c r="M7" s="157" t="n">
        <v>0.5</v>
      </c>
      <c r="N7" s="157" t="n">
        <v>5.7</v>
      </c>
      <c r="O7" s="157" t="n">
        <v>8.8</v>
      </c>
      <c r="P7" s="157" t="n">
        <v>13.1</v>
      </c>
      <c r="Q7" s="157" t="n">
        <v>2</v>
      </c>
      <c r="R7" s="157" t="n">
        <v>5.17</v>
      </c>
      <c r="S7" s="157" t="n">
        <v>11.18</v>
      </c>
    </row>
    <row r="8" customFormat="false" ht="42" hidden="false" customHeight="true" outlineLevel="0" collapsed="false">
      <c r="A8" s="153" t="s">
        <v>866</v>
      </c>
      <c r="B8" s="153" t="s">
        <v>867</v>
      </c>
      <c r="C8" s="153" t="s">
        <v>868</v>
      </c>
      <c r="D8" s="127" t="s">
        <v>869</v>
      </c>
      <c r="E8" s="154" t="n">
        <v>2853.8</v>
      </c>
      <c r="F8" s="154" t="n">
        <v>8146.6</v>
      </c>
      <c r="G8" s="155" t="n">
        <v>0.059</v>
      </c>
      <c r="H8" s="155" t="n">
        <v>0.1871</v>
      </c>
      <c r="I8" s="156" t="n">
        <v>2.6</v>
      </c>
      <c r="J8" s="124" t="s">
        <v>870</v>
      </c>
      <c r="K8" s="124" t="n">
        <v>1</v>
      </c>
      <c r="L8" s="127" t="s">
        <v>871</v>
      </c>
      <c r="M8" s="157" t="n">
        <v>0.4</v>
      </c>
      <c r="N8" s="157" t="n">
        <v>5.3</v>
      </c>
      <c r="O8" s="157" t="n">
        <v>6.6</v>
      </c>
      <c r="P8" s="157" t="n">
        <v>4.7</v>
      </c>
      <c r="Q8" s="157" t="n">
        <v>0.8</v>
      </c>
      <c r="R8" s="157" t="n">
        <v>5.04</v>
      </c>
      <c r="S8" s="157" t="n">
        <v>6.32</v>
      </c>
    </row>
    <row r="9" customFormat="false" ht="42" hidden="false" customHeight="true" outlineLevel="0" collapsed="false">
      <c r="A9" s="153" t="s">
        <v>872</v>
      </c>
      <c r="B9" s="153" t="s">
        <v>861</v>
      </c>
      <c r="C9" s="153" t="s">
        <v>873</v>
      </c>
      <c r="D9" s="127" t="s">
        <v>874</v>
      </c>
      <c r="E9" s="154" t="n">
        <v>9571.4</v>
      </c>
      <c r="F9" s="154" t="n">
        <v>12791.2</v>
      </c>
      <c r="G9" s="155" t="n">
        <v>0.142</v>
      </c>
      <c r="H9" s="155" t="n">
        <v>0.0304</v>
      </c>
      <c r="I9" s="156" t="n">
        <v>1.6</v>
      </c>
      <c r="J9" s="124" t="s">
        <v>875</v>
      </c>
      <c r="K9" s="124" t="n">
        <v>0</v>
      </c>
      <c r="L9" s="127" t="s">
        <v>876</v>
      </c>
      <c r="M9" s="157" t="n">
        <v>0.8</v>
      </c>
      <c r="N9" s="157" t="n">
        <v>4.9</v>
      </c>
      <c r="O9" s="157" t="n">
        <v>5.9</v>
      </c>
      <c r="P9" s="157" t="n">
        <v>8.2</v>
      </c>
      <c r="Q9" s="157" t="n">
        <v>0.8</v>
      </c>
      <c r="R9" s="157" t="n">
        <v>4.69</v>
      </c>
      <c r="S9" s="157" t="n">
        <v>6.29</v>
      </c>
    </row>
    <row r="10" customFormat="false" ht="42" hidden="false" customHeight="true" outlineLevel="0" collapsed="false">
      <c r="A10" s="153" t="s">
        <v>877</v>
      </c>
      <c r="B10" s="153" t="s">
        <v>861</v>
      </c>
      <c r="C10" s="153" t="s">
        <v>868</v>
      </c>
      <c r="D10" s="127" t="s">
        <v>878</v>
      </c>
      <c r="E10" s="154" t="n">
        <v>52191.3</v>
      </c>
      <c r="F10" s="154" t="n">
        <v>56741.1</v>
      </c>
      <c r="G10" s="155" t="n">
        <v>0.096</v>
      </c>
      <c r="H10" s="155" t="n">
        <v>0.0287</v>
      </c>
      <c r="I10" s="156" t="n">
        <v>0.8</v>
      </c>
      <c r="J10" s="124" t="s">
        <v>870</v>
      </c>
      <c r="K10" s="124" t="n">
        <v>1</v>
      </c>
      <c r="L10" s="127" t="s">
        <v>879</v>
      </c>
      <c r="M10" s="157" t="n">
        <v>0.9</v>
      </c>
      <c r="N10" s="157" t="n">
        <v>9.1</v>
      </c>
      <c r="O10" s="157" t="n">
        <v>12</v>
      </c>
      <c r="P10" s="157" t="n">
        <v>17.8</v>
      </c>
      <c r="Q10" s="157" t="n">
        <v>4.3</v>
      </c>
      <c r="R10" s="157" t="n">
        <v>8.52</v>
      </c>
      <c r="S10" s="157" t="n">
        <v>16.13</v>
      </c>
    </row>
    <row r="11" customFormat="false" ht="42" hidden="false" customHeight="true" outlineLevel="0" collapsed="false">
      <c r="A11" s="153" t="s">
        <v>880</v>
      </c>
      <c r="B11" s="153" t="s">
        <v>861</v>
      </c>
      <c r="C11" s="153" t="s">
        <v>862</v>
      </c>
      <c r="D11" s="127" t="s">
        <v>881</v>
      </c>
      <c r="E11" s="154" t="n">
        <v>2140.3</v>
      </c>
      <c r="F11" s="154" t="n">
        <v>2735.8</v>
      </c>
      <c r="G11" s="155" t="n">
        <v>0.1</v>
      </c>
      <c r="H11" s="155" t="n">
        <v>0.086</v>
      </c>
      <c r="I11" s="156" t="n">
        <v>0.5</v>
      </c>
      <c r="J11" s="124" t="s">
        <v>870</v>
      </c>
      <c r="K11" s="124" t="n">
        <v>1</v>
      </c>
      <c r="L11" s="127" t="s">
        <v>882</v>
      </c>
      <c r="M11" s="157" t="n">
        <v>0.8</v>
      </c>
      <c r="N11" s="157" t="n">
        <v>7.4</v>
      </c>
      <c r="O11" s="157" t="n">
        <v>10.7</v>
      </c>
      <c r="P11" s="157" t="n">
        <v>14.6</v>
      </c>
      <c r="Q11" s="157" t="n">
        <v>1.4</v>
      </c>
      <c r="R11" s="157" t="n">
        <v>7.07</v>
      </c>
      <c r="S11" s="157" t="n">
        <v>13.9</v>
      </c>
    </row>
    <row r="12" customFormat="false" ht="42" hidden="false" customHeight="true" outlineLevel="0" collapsed="false">
      <c r="A12" s="153" t="s">
        <v>883</v>
      </c>
      <c r="B12" s="153" t="s">
        <v>867</v>
      </c>
      <c r="C12" s="153" t="s">
        <v>868</v>
      </c>
      <c r="D12" s="127" t="s">
        <v>884</v>
      </c>
      <c r="E12" s="154" t="n">
        <v>6909.1</v>
      </c>
      <c r="F12" s="154" t="n">
        <v>15576.1</v>
      </c>
      <c r="G12" s="155" t="n">
        <v>0.078</v>
      </c>
      <c r="H12" s="155" t="n">
        <v>0.0169</v>
      </c>
      <c r="I12" s="156" t="n">
        <v>4</v>
      </c>
      <c r="J12" s="124" t="s">
        <v>870</v>
      </c>
      <c r="K12" s="124" t="n">
        <v>1</v>
      </c>
      <c r="L12" s="127" t="s">
        <v>885</v>
      </c>
      <c r="M12" s="157" t="n">
        <v>0.4</v>
      </c>
      <c r="N12" s="157" t="n">
        <v>5.5</v>
      </c>
      <c r="O12" s="157" t="n">
        <v>7.6</v>
      </c>
      <c r="P12" s="157" t="n">
        <v>16.8</v>
      </c>
      <c r="Q12" s="157" t="n">
        <v>17.1</v>
      </c>
      <c r="R12" s="157" t="n">
        <v>4.77</v>
      </c>
      <c r="S12" s="157" t="n">
        <v>11.68</v>
      </c>
    </row>
    <row r="13" customFormat="false" ht="42" hidden="false" customHeight="true" outlineLevel="0" collapsed="false">
      <c r="A13" s="153" t="s">
        <v>886</v>
      </c>
      <c r="B13" s="153" t="s">
        <v>887</v>
      </c>
      <c r="C13" s="153" t="s">
        <v>868</v>
      </c>
      <c r="D13" s="127" t="s">
        <v>888</v>
      </c>
      <c r="E13" s="154" t="n">
        <v>11831.7</v>
      </c>
      <c r="F13" s="154" t="n">
        <v>17028</v>
      </c>
      <c r="G13" s="155" t="n">
        <v>0.056</v>
      </c>
      <c r="H13" s="155" t="n">
        <v>-0.016</v>
      </c>
      <c r="I13" s="156" t="n">
        <v>5.1</v>
      </c>
      <c r="J13" s="124" t="s">
        <v>870</v>
      </c>
      <c r="K13" s="124" t="n">
        <v>1</v>
      </c>
      <c r="L13" s="127" t="s">
        <v>889</v>
      </c>
      <c r="M13" s="157" t="n">
        <v>0.7</v>
      </c>
      <c r="N13" s="157" t="n">
        <v>9.3</v>
      </c>
      <c r="O13" s="157" t="n">
        <v>14</v>
      </c>
      <c r="P13" s="157" t="n">
        <v>21</v>
      </c>
      <c r="Q13" s="157" t="n">
        <v>2.7</v>
      </c>
      <c r="R13" s="157" t="n">
        <v>6.88</v>
      </c>
      <c r="S13" s="157" t="n">
        <v>15.27</v>
      </c>
    </row>
    <row r="14" customFormat="false" ht="42" hidden="false" customHeight="true" outlineLevel="0" collapsed="false">
      <c r="A14" s="153" t="s">
        <v>890</v>
      </c>
      <c r="B14" s="153" t="s">
        <v>891</v>
      </c>
      <c r="C14" s="153" t="s">
        <v>868</v>
      </c>
      <c r="D14" s="127" t="s">
        <v>892</v>
      </c>
      <c r="E14" s="154" t="n">
        <v>6092.8</v>
      </c>
      <c r="F14" s="154" t="n">
        <v>6992.8</v>
      </c>
      <c r="G14" s="155" t="n">
        <v>0.11</v>
      </c>
      <c r="H14" s="155" t="n">
        <v>0.0785</v>
      </c>
      <c r="I14" s="156" t="n">
        <v>3.2</v>
      </c>
      <c r="J14" s="124" t="s">
        <v>870</v>
      </c>
      <c r="K14" s="124" t="n">
        <v>1</v>
      </c>
      <c r="L14" s="127" t="s">
        <v>893</v>
      </c>
      <c r="M14" s="157" t="n">
        <v>0.9</v>
      </c>
      <c r="N14" s="157" t="n">
        <v>7</v>
      </c>
      <c r="O14" s="157" t="n">
        <v>10</v>
      </c>
      <c r="P14" s="157" t="n">
        <v>13.6</v>
      </c>
      <c r="Q14" s="157" t="n">
        <v>4.2</v>
      </c>
      <c r="R14" s="157" t="n">
        <v>6.49</v>
      </c>
      <c r="S14" s="157" t="n">
        <v>13.1</v>
      </c>
    </row>
    <row r="15" customFormat="false" ht="42" hidden="false" customHeight="true" outlineLevel="0" collapsed="false">
      <c r="A15" s="153" t="s">
        <v>894</v>
      </c>
      <c r="B15" s="153" t="s">
        <v>861</v>
      </c>
      <c r="C15" s="153" t="s">
        <v>895</v>
      </c>
      <c r="D15" s="127" t="s">
        <v>896</v>
      </c>
      <c r="E15" s="154" t="n">
        <v>49954.9</v>
      </c>
      <c r="F15" s="154" t="n">
        <v>48576.5</v>
      </c>
      <c r="G15" s="155" t="n">
        <v>0.118</v>
      </c>
      <c r="H15" s="155" t="n">
        <v>0.0745</v>
      </c>
      <c r="I15" s="156" t="n">
        <v>2.1</v>
      </c>
      <c r="J15" s="124" t="s">
        <v>875</v>
      </c>
      <c r="K15" s="124" t="n">
        <v>0</v>
      </c>
      <c r="L15" s="127" t="s">
        <v>897</v>
      </c>
      <c r="M15" s="157" t="n">
        <v>1.1</v>
      </c>
      <c r="N15" s="157" t="n">
        <v>7.5</v>
      </c>
      <c r="O15" s="157" t="n">
        <v>11.1</v>
      </c>
      <c r="P15" s="157" t="n">
        <v>25.9</v>
      </c>
      <c r="Q15" s="157" t="n">
        <v>11.6</v>
      </c>
      <c r="R15" s="157" t="n">
        <v>6.58</v>
      </c>
      <c r="S15" s="157" t="n">
        <v>20.88</v>
      </c>
    </row>
    <row r="16" customFormat="false" ht="42" hidden="false" customHeight="true" outlineLevel="0" collapsed="false">
      <c r="A16" s="153" t="s">
        <v>898</v>
      </c>
      <c r="B16" s="153" t="s">
        <v>887</v>
      </c>
      <c r="C16" s="153" t="s">
        <v>873</v>
      </c>
      <c r="D16" s="127" t="s">
        <v>899</v>
      </c>
      <c r="E16" s="154" t="n">
        <v>20976.5</v>
      </c>
      <c r="F16" s="154" t="n">
        <v>14289.2</v>
      </c>
      <c r="G16" s="155" t="n">
        <v>0.127</v>
      </c>
      <c r="H16" s="155" t="n">
        <v>0.0894</v>
      </c>
      <c r="I16" s="156" t="n">
        <v>3</v>
      </c>
      <c r="J16" s="124" t="s">
        <v>875</v>
      </c>
      <c r="K16" s="124" t="n">
        <v>0</v>
      </c>
      <c r="L16" s="127" t="s">
        <v>900</v>
      </c>
      <c r="M16" s="157" t="n">
        <v>1.5</v>
      </c>
      <c r="N16" s="157" t="n">
        <v>10.4</v>
      </c>
      <c r="O16" s="157" t="n">
        <v>12.8</v>
      </c>
      <c r="P16" s="157" t="n">
        <v>10.4</v>
      </c>
      <c r="Q16" s="157" t="n">
        <v>2</v>
      </c>
      <c r="R16" s="157" t="n">
        <v>9.77</v>
      </c>
      <c r="S16" s="157" t="n">
        <v>18.33</v>
      </c>
    </row>
    <row r="17" customFormat="false" ht="15" hidden="false" customHeight="false" outlineLevel="0" collapsed="false">
      <c r="A17" s="123" t="s">
        <v>901</v>
      </c>
      <c r="E17" s="154" t="n">
        <v>4103.2</v>
      </c>
      <c r="F17" s="154" t="n">
        <v>9502.5</v>
      </c>
      <c r="G17" s="155" t="n">
        <v>0.064</v>
      </c>
      <c r="H17" s="155" t="n">
        <v>-0.0293</v>
      </c>
      <c r="I17" s="156" t="n">
        <v>2</v>
      </c>
      <c r="M17" s="157" t="n">
        <v>0.4</v>
      </c>
      <c r="N17" s="157" t="n">
        <v>6.3</v>
      </c>
      <c r="O17" s="157" t="n">
        <v>9.9</v>
      </c>
      <c r="P17" s="157" t="n">
        <v>15.7</v>
      </c>
      <c r="Q17" s="157" t="n">
        <v>0.8</v>
      </c>
      <c r="R17" s="157" t="n">
        <v>6.53</v>
      </c>
      <c r="S17" s="157" t="n">
        <v>15.08</v>
      </c>
    </row>
    <row r="18" customFormat="false" ht="15" hidden="false" customHeight="false" outlineLevel="0" collapsed="false">
      <c r="A18" s="120" t="s">
        <v>902</v>
      </c>
    </row>
    <row r="20" customFormat="false" ht="15" hidden="false" customHeight="false" outlineLevel="0" collapsed="false">
      <c r="A20" s="123" t="s">
        <v>903</v>
      </c>
      <c r="M20" s="157" t="n">
        <v>0.8</v>
      </c>
      <c r="N20" s="157" t="n">
        <v>7.2</v>
      </c>
      <c r="O20" s="157" t="n">
        <v>10</v>
      </c>
      <c r="P20" s="157" t="n">
        <v>14.6</v>
      </c>
      <c r="Q20" s="157" t="n">
        <v>4.7</v>
      </c>
      <c r="R20" s="157" t="n">
        <v>6.5</v>
      </c>
      <c r="S20" s="157" t="n">
        <v>13.31</v>
      </c>
    </row>
    <row r="21" customFormat="false" ht="15" hidden="false" customHeight="false" outlineLevel="0" collapsed="false">
      <c r="A21" s="0" t="s">
        <v>904</v>
      </c>
      <c r="M21" s="158" t="n">
        <f aca="false">AVERAGE(M7:M16)</f>
        <v>0.8</v>
      </c>
      <c r="N21" s="158" t="n">
        <f aca="false">AVERAGE(N7:N16)</f>
        <v>7.21</v>
      </c>
      <c r="O21" s="158" t="n">
        <f aca="false">AVERAGE(O7:O16)</f>
        <v>9.95</v>
      </c>
      <c r="P21" s="158" t="n">
        <f aca="false">AVERAGE(P7:P16)</f>
        <v>14.61</v>
      </c>
      <c r="Q21" s="158" t="n">
        <f aca="false">AVERAGE(Q7:Q16)</f>
        <v>4.69</v>
      </c>
      <c r="R21" s="158" t="n">
        <f aca="false">AVERAGE(R7:R16)</f>
        <v>6.498</v>
      </c>
      <c r="S21" s="158" t="n">
        <f aca="false">AVERAGE(S7:S16)</f>
        <v>13.308</v>
      </c>
    </row>
    <row r="24" customFormat="false" ht="15" hidden="false" customHeight="false" outlineLevel="0" collapsed="false">
      <c r="A24" s="121" t="s">
        <v>905</v>
      </c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</row>
    <row r="25" customFormat="false" ht="15" hidden="false" customHeight="false" outlineLevel="0" collapsed="false">
      <c r="A25" s="0" t="s">
        <v>906</v>
      </c>
      <c r="B25" s="159" t="n">
        <f aca="false">SUM(Datos!C6:F6)</f>
        <v>174278</v>
      </c>
      <c r="C25" s="120" t="s">
        <v>907</v>
      </c>
    </row>
    <row r="26" customFormat="false" ht="15" hidden="false" customHeight="false" outlineLevel="0" collapsed="false">
      <c r="A26" s="0" t="s">
        <v>908</v>
      </c>
      <c r="B26" s="159" t="n">
        <f aca="false">SUM(Datos!C9:F9)</f>
        <v>7631</v>
      </c>
      <c r="C26" s="120" t="s">
        <v>909</v>
      </c>
    </row>
    <row r="27" customFormat="false" ht="15" hidden="false" customHeight="false" outlineLevel="0" collapsed="false">
      <c r="A27" s="0" t="s">
        <v>910</v>
      </c>
      <c r="B27" s="159" t="n">
        <f aca="false">SUM(Datos!C14:F14)</f>
        <v>4179.871</v>
      </c>
      <c r="C27" s="120" t="s">
        <v>911</v>
      </c>
    </row>
    <row r="28" customFormat="false" ht="15" hidden="false" customHeight="false" outlineLevel="0" collapsed="false">
      <c r="A28" s="123" t="s">
        <v>912</v>
      </c>
      <c r="B28" s="150" t="n">
        <f aca="false">B26+B27</f>
        <v>11810.871</v>
      </c>
      <c r="C28" s="120" t="s">
        <v>913</v>
      </c>
    </row>
    <row r="29" customFormat="false" ht="15" hidden="false" customHeight="false" outlineLevel="0" collapsed="false">
      <c r="A29" s="0" t="s">
        <v>914</v>
      </c>
      <c r="B29" s="159" t="n">
        <f aca="false">SUM(Datos!C13:F13)</f>
        <v>3816</v>
      </c>
      <c r="C29" s="120" t="s">
        <v>915</v>
      </c>
    </row>
    <row r="30" customFormat="false" ht="15" hidden="false" customHeight="false" outlineLevel="0" collapsed="false">
      <c r="A30" s="0" t="s">
        <v>57</v>
      </c>
      <c r="B30" s="159" t="n">
        <f aca="false">WACC!B17</f>
        <v>1800</v>
      </c>
      <c r="C30" s="120" t="s">
        <v>916</v>
      </c>
    </row>
    <row r="31" customFormat="false" ht="15" hidden="false" customHeight="false" outlineLevel="0" collapsed="false">
      <c r="A31" s="0" t="s">
        <v>917</v>
      </c>
      <c r="B31" s="131" t="n">
        <f aca="false">B29/B30</f>
        <v>2.12</v>
      </c>
      <c r="C31" s="120" t="s">
        <v>918</v>
      </c>
    </row>
    <row r="32" customFormat="false" ht="15" hidden="false" customHeight="false" outlineLevel="0" collapsed="false">
      <c r="A32" s="0" t="s">
        <v>630</v>
      </c>
      <c r="B32" s="159" t="n">
        <f aca="false">Datos!F17</f>
        <v>6875.384</v>
      </c>
      <c r="C32" s="120" t="s">
        <v>919</v>
      </c>
    </row>
    <row r="33" customFormat="false" ht="15" hidden="false" customHeight="false" outlineLevel="0" collapsed="false">
      <c r="A33" s="0" t="s">
        <v>628</v>
      </c>
      <c r="B33" s="159" t="n">
        <f aca="false">-(Datos!F25+Datos!F26)</f>
        <v>-11500</v>
      </c>
      <c r="C33" s="120" t="s">
        <v>920</v>
      </c>
    </row>
    <row r="34" customFormat="false" ht="15" hidden="false" customHeight="false" outlineLevel="0" collapsed="false">
      <c r="A34" s="0" t="s">
        <v>629</v>
      </c>
      <c r="B34" s="159" t="n">
        <f aca="false">-(Datos!F27+Datos!F28)</f>
        <v>-12220.588</v>
      </c>
      <c r="C34" s="120" t="s">
        <v>921</v>
      </c>
    </row>
    <row r="35" customFormat="false" ht="15" hidden="false" customHeight="false" outlineLevel="0" collapsed="false">
      <c r="A35" s="0" t="s">
        <v>922</v>
      </c>
      <c r="B35" s="160" t="n">
        <v>0</v>
      </c>
      <c r="C35" s="120" t="s">
        <v>923</v>
      </c>
    </row>
    <row r="36" customFormat="false" ht="15" hidden="false" customHeight="false" outlineLevel="0" collapsed="false">
      <c r="A36" s="0" t="s">
        <v>924</v>
      </c>
      <c r="B36" s="160" t="n">
        <v>0</v>
      </c>
      <c r="C36" s="120" t="s">
        <v>925</v>
      </c>
    </row>
    <row r="37" customFormat="false" ht="15" hidden="false" customHeight="false" outlineLevel="0" collapsed="false">
      <c r="A37" s="123" t="s">
        <v>926</v>
      </c>
      <c r="B37" s="150" t="n">
        <f aca="false">SUM(B32:B36)</f>
        <v>-16845.204</v>
      </c>
      <c r="C37" s="120" t="s">
        <v>927</v>
      </c>
    </row>
    <row r="40" customFormat="false" ht="15" hidden="false" customHeight="false" outlineLevel="0" collapsed="false">
      <c r="A40" s="121" t="s">
        <v>928</v>
      </c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</row>
    <row r="41" customFormat="false" ht="28.35" hidden="false" customHeight="false" outlineLevel="0" collapsed="false">
      <c r="A41" s="125" t="s">
        <v>929</v>
      </c>
      <c r="B41" s="125" t="s">
        <v>930</v>
      </c>
      <c r="C41" s="125" t="s">
        <v>931</v>
      </c>
      <c r="D41" s="125" t="s">
        <v>932</v>
      </c>
      <c r="E41" s="125" t="s">
        <v>933</v>
      </c>
      <c r="F41" s="125" t="s">
        <v>934</v>
      </c>
    </row>
    <row r="42" customFormat="false" ht="30" hidden="false" customHeight="true" outlineLevel="0" collapsed="false">
      <c r="A42" s="123" t="s">
        <v>854</v>
      </c>
      <c r="B42" s="36" t="s">
        <v>935</v>
      </c>
      <c r="C42" s="161" t="n">
        <f aca="false">$B$28</f>
        <v>11810.871</v>
      </c>
      <c r="D42" s="124" t="n">
        <v>1</v>
      </c>
      <c r="E42" s="123" t="s">
        <v>936</v>
      </c>
      <c r="F42" s="130" t="s">
        <v>937</v>
      </c>
      <c r="G42" s="130"/>
      <c r="H42" s="130"/>
      <c r="I42" s="130"/>
      <c r="J42" s="130"/>
      <c r="K42" s="130"/>
      <c r="L42" s="130"/>
    </row>
    <row r="43" customFormat="false" ht="30" hidden="false" customHeight="true" outlineLevel="0" collapsed="false">
      <c r="A43" s="123" t="s">
        <v>855</v>
      </c>
      <c r="B43" s="36" t="s">
        <v>935</v>
      </c>
      <c r="C43" s="161" t="n">
        <f aca="false">$B$26</f>
        <v>7631</v>
      </c>
      <c r="D43" s="124" t="n">
        <v>1</v>
      </c>
      <c r="E43" s="123" t="s">
        <v>936</v>
      </c>
      <c r="F43" s="130" t="s">
        <v>938</v>
      </c>
      <c r="G43" s="130"/>
      <c r="H43" s="130"/>
      <c r="I43" s="130"/>
      <c r="J43" s="130"/>
      <c r="K43" s="130"/>
      <c r="L43" s="130"/>
    </row>
    <row r="44" customFormat="false" ht="30" hidden="false" customHeight="true" outlineLevel="0" collapsed="false">
      <c r="A44" s="123" t="s">
        <v>856</v>
      </c>
      <c r="B44" s="36" t="s">
        <v>939</v>
      </c>
      <c r="C44" s="161" t="n">
        <f aca="false">$B$31</f>
        <v>2.12</v>
      </c>
      <c r="D44" s="124" t="n">
        <v>1</v>
      </c>
      <c r="E44" s="123" t="s">
        <v>936</v>
      </c>
      <c r="F44" s="130" t="s">
        <v>940</v>
      </c>
      <c r="G44" s="130"/>
      <c r="H44" s="130"/>
      <c r="I44" s="130"/>
      <c r="J44" s="130"/>
      <c r="K44" s="130"/>
      <c r="L44" s="130"/>
    </row>
    <row r="45" customFormat="false" ht="30" hidden="false" customHeight="true" outlineLevel="0" collapsed="false">
      <c r="A45" s="123" t="s">
        <v>853</v>
      </c>
      <c r="B45" s="36" t="s">
        <v>935</v>
      </c>
      <c r="C45" s="161" t="n">
        <f aca="false">$B$25</f>
        <v>174278</v>
      </c>
      <c r="D45" s="124" t="n">
        <v>0</v>
      </c>
      <c r="E45" s="123" t="s">
        <v>941</v>
      </c>
      <c r="F45" s="130" t="s">
        <v>942</v>
      </c>
      <c r="G45" s="130"/>
      <c r="H45" s="130"/>
      <c r="I45" s="130"/>
      <c r="J45" s="130"/>
      <c r="K45" s="130"/>
      <c r="L45" s="130"/>
    </row>
    <row r="46" customFormat="false" ht="30" hidden="false" customHeight="true" outlineLevel="0" collapsed="false">
      <c r="A46" s="123" t="s">
        <v>857</v>
      </c>
      <c r="B46" s="36" t="s">
        <v>939</v>
      </c>
      <c r="C46" s="161" t="s">
        <v>943</v>
      </c>
      <c r="D46" s="124" t="n">
        <v>0</v>
      </c>
      <c r="E46" s="123" t="s">
        <v>943</v>
      </c>
      <c r="F46" s="130" t="s">
        <v>944</v>
      </c>
      <c r="G46" s="130"/>
      <c r="H46" s="130"/>
      <c r="I46" s="130"/>
      <c r="J46" s="130"/>
      <c r="K46" s="130"/>
      <c r="L46" s="130"/>
    </row>
    <row r="47" customFormat="false" ht="30" hidden="false" customHeight="true" outlineLevel="0" collapsed="false">
      <c r="A47" s="123" t="s">
        <v>858</v>
      </c>
      <c r="B47" s="36" t="s">
        <v>935</v>
      </c>
      <c r="C47" s="161" t="s">
        <v>943</v>
      </c>
      <c r="D47" s="124" t="n">
        <v>0</v>
      </c>
      <c r="E47" s="123" t="s">
        <v>943</v>
      </c>
      <c r="F47" s="130" t="s">
        <v>945</v>
      </c>
      <c r="G47" s="130"/>
      <c r="H47" s="130"/>
      <c r="I47" s="130"/>
      <c r="J47" s="130"/>
      <c r="K47" s="130"/>
      <c r="L47" s="130"/>
    </row>
    <row r="48" customFormat="false" ht="30" hidden="false" customHeight="true" outlineLevel="0" collapsed="false">
      <c r="A48" s="123" t="s">
        <v>859</v>
      </c>
      <c r="B48" s="36" t="s">
        <v>939</v>
      </c>
      <c r="C48" s="161" t="s">
        <v>943</v>
      </c>
      <c r="D48" s="124" t="n">
        <v>0</v>
      </c>
      <c r="E48" s="123" t="s">
        <v>943</v>
      </c>
      <c r="F48" s="130" t="s">
        <v>946</v>
      </c>
      <c r="G48" s="130"/>
      <c r="H48" s="130"/>
      <c r="I48" s="130"/>
      <c r="J48" s="130"/>
      <c r="K48" s="130"/>
      <c r="L48" s="130"/>
    </row>
    <row r="51" customFormat="false" ht="15" hidden="false" customHeight="false" outlineLevel="0" collapsed="false">
      <c r="A51" s="121" t="s">
        <v>947</v>
      </c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</row>
    <row r="52" customFormat="false" ht="15" hidden="false" customHeight="false" outlineLevel="0" collapsed="false">
      <c r="A52" s="123" t="s">
        <v>948</v>
      </c>
    </row>
    <row r="53" customFormat="false" ht="15" hidden="false" customHeight="false" outlineLevel="0" collapsed="false">
      <c r="A53" s="125" t="s">
        <v>949</v>
      </c>
      <c r="B53" s="125" t="s">
        <v>950</v>
      </c>
      <c r="C53" s="125" t="s">
        <v>951</v>
      </c>
      <c r="D53" s="125" t="s">
        <v>952</v>
      </c>
      <c r="E53" s="125" t="s">
        <v>134</v>
      </c>
    </row>
    <row r="54" customFormat="false" ht="15" hidden="false" customHeight="false" outlineLevel="0" collapsed="false">
      <c r="A54" s="0" t="str">
        <f aca="false">A7</f>
        <v>Grupo Comercial Chedraui, S.A.B. de C.V. (BMV:CHDRAUI B)</v>
      </c>
      <c r="B54" s="158" t="n">
        <f aca="false">IF(AND($K$7=1,ISNUMBER(M7)),M7,"")</f>
        <v>0.5</v>
      </c>
      <c r="C54" s="158" t="n">
        <f aca="false">IF(AND($K$7=1,ISNUMBER(N7)),N7,"")</f>
        <v>5.7</v>
      </c>
      <c r="D54" s="158" t="n">
        <f aca="false">IF(AND($K$7=1,ISNUMBER(O7)),O7,"")</f>
        <v>8.8</v>
      </c>
      <c r="E54" s="158" t="n">
        <f aca="false">IF(AND($K$7=1,ISNUMBER(P7)),P7,"")</f>
        <v>13.1</v>
      </c>
    </row>
    <row r="55" customFormat="false" ht="15" hidden="false" customHeight="false" outlineLevel="0" collapsed="false">
      <c r="A55" s="0" t="str">
        <f aca="false">A8</f>
        <v>Grupo Mateus S.A. (BOVESPA:GMAT3)</v>
      </c>
      <c r="B55" s="158" t="n">
        <f aca="false">IF(AND($K$8=1,ISNUMBER(M8)),M8,"")</f>
        <v>0.4</v>
      </c>
      <c r="C55" s="158" t="n">
        <f aca="false">IF(AND($K$8=1,ISNUMBER(N8)),N8,"")</f>
        <v>5.3</v>
      </c>
      <c r="D55" s="158" t="n">
        <f aca="false">IF(AND($K$8=1,ISNUMBER(O8)),O8,"")</f>
        <v>6.6</v>
      </c>
      <c r="E55" s="158" t="n">
        <f aca="false">IF(AND($K$8=1,ISNUMBER(P8)),P8,"")</f>
        <v>4.7</v>
      </c>
    </row>
    <row r="56" customFormat="false" ht="15" hidden="false" customHeight="false" outlineLevel="0" collapsed="false">
      <c r="A56" s="0" t="str">
        <f aca="false">A9</f>
        <v>El Puerto de Liverpool, S.A.B. de C.V. (BMV:LIVEPOL C-1)</v>
      </c>
      <c r="B56" s="158" t="str">
        <f aca="false">IF(AND($K$9=1,ISNUMBER(M9)),M9,"")</f>
        <v/>
      </c>
      <c r="C56" s="158" t="str">
        <f aca="false">IF(AND($K$9=1,ISNUMBER(N9)),N9,"")</f>
        <v/>
      </c>
      <c r="D56" s="158" t="str">
        <f aca="false">IF(AND($K$9=1,ISNUMBER(O9)),O9,"")</f>
        <v/>
      </c>
      <c r="E56" s="158" t="str">
        <f aca="false">IF(AND($K$9=1,ISNUMBER(P9)),P9,"")</f>
        <v/>
      </c>
    </row>
    <row r="57" customFormat="false" ht="15" hidden="false" customHeight="false" outlineLevel="0" collapsed="false">
      <c r="A57" s="0" t="str">
        <f aca="false">A10</f>
        <v>Wal-Mart de México, S.A.B. de C.V. (BMV:WALMEX *)</v>
      </c>
      <c r="B57" s="158" t="n">
        <f aca="false">IF(AND($K$10=1,ISNUMBER(M10)),M10,"")</f>
        <v>0.9</v>
      </c>
      <c r="C57" s="158" t="n">
        <f aca="false">IF(AND($K$10=1,ISNUMBER(N10)),N10,"")</f>
        <v>9.1</v>
      </c>
      <c r="D57" s="158" t="n">
        <f aca="false">IF(AND($K$10=1,ISNUMBER(O10)),O10,"")</f>
        <v>12</v>
      </c>
      <c r="E57" s="158" t="n">
        <f aca="false">IF(AND($K$10=1,ISNUMBER(P10)),P10,"")</f>
        <v>17.8</v>
      </c>
    </row>
    <row r="58" customFormat="false" ht="15" hidden="false" customHeight="false" outlineLevel="0" collapsed="false">
      <c r="A58" s="0" t="str">
        <f aca="false">A11</f>
        <v>La Comer, S.A.B. de C.V. (BMV:LACOMER UBC)</v>
      </c>
      <c r="B58" s="158" t="n">
        <f aca="false">IF(AND($K$11=1,ISNUMBER(M11)),M11,"")</f>
        <v>0.8</v>
      </c>
      <c r="C58" s="158" t="n">
        <f aca="false">IF(AND($K$11=1,ISNUMBER(N11)),N11,"")</f>
        <v>7.4</v>
      </c>
      <c r="D58" s="158" t="n">
        <f aca="false">IF(AND($K$11=1,ISNUMBER(O11)),O11,"")</f>
        <v>10.7</v>
      </c>
      <c r="E58" s="158" t="n">
        <f aca="false">IF(AND($K$11=1,ISNUMBER(P11)),P11,"")</f>
        <v>14.6</v>
      </c>
    </row>
    <row r="59" customFormat="false" ht="15" hidden="false" customHeight="false" outlineLevel="0" collapsed="false">
      <c r="A59" s="0" t="str">
        <f aca="false">A12</f>
        <v>Sendas Distribuidora S.A. (BOVESPA:ASAI3)</v>
      </c>
      <c r="B59" s="158" t="n">
        <f aca="false">IF(AND($K$12=1,ISNUMBER(M12)),M12,"")</f>
        <v>0.4</v>
      </c>
      <c r="C59" s="158" t="n">
        <f aca="false">IF(AND($K$12=1,ISNUMBER(N12)),N12,"")</f>
        <v>5.5</v>
      </c>
      <c r="D59" s="158" t="n">
        <f aca="false">IF(AND($K$12=1,ISNUMBER(O12)),O12,"")</f>
        <v>7.6</v>
      </c>
      <c r="E59" s="158" t="n">
        <f aca="false">IF(AND($K$12=1,ISNUMBER(P12)),P12,"")</f>
        <v>16.8</v>
      </c>
    </row>
    <row r="60" customFormat="false" ht="15" hidden="false" customHeight="false" outlineLevel="0" collapsed="false">
      <c r="A60" s="0" t="str">
        <f aca="false">A13</f>
        <v>Cencosud S.A. (SNSE:CENCOSUD)</v>
      </c>
      <c r="B60" s="158" t="n">
        <f aca="false">IF(AND($K$13=1,ISNUMBER(M13)),M13,"")</f>
        <v>0.7</v>
      </c>
      <c r="C60" s="158" t="n">
        <f aca="false">IF(AND($K$13=1,ISNUMBER(N13)),N13,"")</f>
        <v>9.3</v>
      </c>
      <c r="D60" s="158" t="n">
        <f aca="false">IF(AND($K$13=1,ISNUMBER(O13)),O13,"")</f>
        <v>14</v>
      </c>
      <c r="E60" s="158" t="n">
        <f aca="false">IF(AND($K$13=1,ISNUMBER(P13)),P13,"")</f>
        <v>21</v>
      </c>
    </row>
    <row r="61" customFormat="false" ht="15" hidden="false" customHeight="false" outlineLevel="0" collapsed="false">
      <c r="A61" s="0" t="str">
        <f aca="false">A14</f>
        <v>InRetail Perú Corp. (BVL:INRETC1)</v>
      </c>
      <c r="B61" s="158" t="n">
        <f aca="false">IF(AND($K$14=1,ISNUMBER(M14)),M14,"")</f>
        <v>0.9</v>
      </c>
      <c r="C61" s="158" t="n">
        <f aca="false">IF(AND($K$14=1,ISNUMBER(N14)),N14,"")</f>
        <v>7</v>
      </c>
      <c r="D61" s="158" t="n">
        <f aca="false">IF(AND($K$14=1,ISNUMBER(O14)),O14,"")</f>
        <v>10</v>
      </c>
      <c r="E61" s="158" t="n">
        <f aca="false">IF(AND($K$14=1,ISNUMBER(P14)),P14,"")</f>
        <v>13.6</v>
      </c>
    </row>
    <row r="62" customFormat="false" ht="15" hidden="false" customHeight="false" outlineLevel="0" collapsed="false">
      <c r="A62" s="0" t="str">
        <f aca="false">A15</f>
        <v>Fomento Económico Mexicano, S.A.B. de C.V. (BMV:FEMSA UBD)</v>
      </c>
      <c r="B62" s="158" t="str">
        <f aca="false">IF(AND($K$15=1,ISNUMBER(M15)),M15,"")</f>
        <v/>
      </c>
      <c r="C62" s="158" t="str">
        <f aca="false">IF(AND($K$15=1,ISNUMBER(N15)),N15,"")</f>
        <v/>
      </c>
      <c r="D62" s="158" t="str">
        <f aca="false">IF(AND($K$15=1,ISNUMBER(O15)),O15,"")</f>
        <v/>
      </c>
      <c r="E62" s="158" t="str">
        <f aca="false">IF(AND($K$15=1,ISNUMBER(P15)),P15,"")</f>
        <v/>
      </c>
    </row>
    <row r="63" customFormat="false" ht="15" hidden="false" customHeight="false" outlineLevel="0" collapsed="false">
      <c r="A63" s="0" t="str">
        <f aca="false">A16</f>
        <v>Falabella S.A. (SNSE:FALABELLA)</v>
      </c>
      <c r="B63" s="158" t="str">
        <f aca="false">IF(AND($K$16=1,ISNUMBER(M16)),M16,"")</f>
        <v/>
      </c>
      <c r="C63" s="158" t="str">
        <f aca="false">IF(AND($K$16=1,ISNUMBER(N16)),N16,"")</f>
        <v/>
      </c>
      <c r="D63" s="158" t="str">
        <f aca="false">IF(AND($K$16=1,ISNUMBER(O16)),O16,"")</f>
        <v/>
      </c>
      <c r="E63" s="158" t="str">
        <f aca="false">IF(AND($K$16=1,ISNUMBER(P16)),P16,"")</f>
        <v/>
      </c>
    </row>
    <row r="65" customFormat="false" ht="41.75" hidden="false" customHeight="false" outlineLevel="0" collapsed="false">
      <c r="A65" s="125" t="s">
        <v>953</v>
      </c>
      <c r="B65" s="125" t="s">
        <v>950</v>
      </c>
      <c r="C65" s="125" t="s">
        <v>951</v>
      </c>
      <c r="D65" s="125" t="s">
        <v>952</v>
      </c>
      <c r="E65" s="125" t="s">
        <v>134</v>
      </c>
      <c r="F65" s="125"/>
      <c r="G65" s="125" t="s">
        <v>954</v>
      </c>
      <c r="H65" s="125" t="s">
        <v>955</v>
      </c>
      <c r="I65" s="125" t="s">
        <v>956</v>
      </c>
      <c r="J65" s="125" t="s">
        <v>957</v>
      </c>
    </row>
    <row r="66" customFormat="false" ht="15" hidden="false" customHeight="false" outlineLevel="0" collapsed="false">
      <c r="A66" s="0" t="s">
        <v>958</v>
      </c>
      <c r="B66" s="158" t="n">
        <f aca="false">MIN(B54:B63)</f>
        <v>0.4</v>
      </c>
      <c r="C66" s="158" t="n">
        <f aca="false">MIN(C54:C63)</f>
        <v>5.3</v>
      </c>
      <c r="D66" s="158" t="n">
        <f aca="false">MIN(D54:D63)</f>
        <v>6.6</v>
      </c>
      <c r="E66" s="158" t="n">
        <f aca="false">MIN(E54:E63)</f>
        <v>4.7</v>
      </c>
      <c r="G66" s="151" t="n">
        <f aca="false">IF(B66*$B$25+$B$37&gt;0,(B66*$B$25+$B$37)/$B$30,"NM")</f>
        <v>29.3699977777778</v>
      </c>
      <c r="H66" s="151" t="n">
        <f aca="false">IF(C66*$B$28+$B$37&gt;0,(C66*$B$28+$B$37)/$B$30,"NM")</f>
        <v>25.4180068333333</v>
      </c>
      <c r="I66" s="151" t="n">
        <f aca="false">IF(D66*$B$26+$B$37&gt;0,(D66*$B$26+$B$37)/$B$30,"NM")</f>
        <v>18.6218866666667</v>
      </c>
      <c r="J66" s="151" t="n">
        <f aca="false">IF(E66*$B$31&gt;0,E66*$B$31,"NM")</f>
        <v>9.964</v>
      </c>
    </row>
    <row r="67" customFormat="false" ht="15" hidden="false" customHeight="false" outlineLevel="0" collapsed="false">
      <c r="A67" s="0" t="s">
        <v>959</v>
      </c>
      <c r="B67" s="158" t="n">
        <f aca="false">PERCENTILE(B54:B63,0.25)</f>
        <v>0.45</v>
      </c>
      <c r="C67" s="158" t="n">
        <f aca="false">PERCENTILE(C54:C63,0.25)</f>
        <v>5.6</v>
      </c>
      <c r="D67" s="158" t="n">
        <f aca="false">PERCENTILE(D54:D63,0.25)</f>
        <v>8.2</v>
      </c>
      <c r="E67" s="158" t="n">
        <f aca="false">PERCENTILE(E54:E63,0.25)</f>
        <v>13.35</v>
      </c>
      <c r="G67" s="151" t="n">
        <f aca="false">IF(B67*$B$25+$B$37&gt;0,(B67*$B$25+$B$37)/$B$30,"NM")</f>
        <v>34.2110533333333</v>
      </c>
      <c r="H67" s="151" t="n">
        <f aca="false">IF(C67*$B$28+$B$37&gt;0,(C67*$B$28+$B$37)/$B$30,"NM")</f>
        <v>27.3864853333333</v>
      </c>
      <c r="I67" s="151" t="n">
        <f aca="false">IF(D67*$B$26+$B$37&gt;0,(D67*$B$26+$B$37)/$B$30,"NM")</f>
        <v>25.4049977777778</v>
      </c>
      <c r="J67" s="151" t="n">
        <f aca="false">IF(E67*$B$31&gt;0,E67*$B$31,"NM")</f>
        <v>28.302</v>
      </c>
    </row>
    <row r="68" customFormat="false" ht="15" hidden="false" customHeight="false" outlineLevel="0" collapsed="false">
      <c r="A68" s="123" t="s">
        <v>538</v>
      </c>
      <c r="B68" s="162" t="n">
        <f aca="false">AVERAGE(B54:B63)</f>
        <v>0.657142857142857</v>
      </c>
      <c r="C68" s="162" t="n">
        <f aca="false">AVERAGE(C54:C63)</f>
        <v>7.04285714285714</v>
      </c>
      <c r="D68" s="162" t="n">
        <f aca="false">AVERAGE(D54:D63)</f>
        <v>9.95714285714286</v>
      </c>
      <c r="E68" s="162" t="n">
        <f aca="false">AVERAGE(E54:E63)</f>
        <v>14.5142857142857</v>
      </c>
      <c r="G68" s="163" t="n">
        <f aca="false">IF(B68*$B$25+$B$37&gt;0,(B68*$B$25+$B$37)/$B$30,"NM")</f>
        <v>54.2668549206349</v>
      </c>
      <c r="H68" s="163" t="n">
        <f aca="false">IF(C68*$B$28+$B$37&gt;0,(C68*$B$28+$B$37)/$B$30,"NM")</f>
        <v>36.853929547619</v>
      </c>
      <c r="I68" s="163" t="n">
        <f aca="false">IF(D68*$B$26+$B$37&gt;0,(D68*$B$26+$B$37)/$B$30,"NM")</f>
        <v>32.8543073015873</v>
      </c>
      <c r="J68" s="163" t="n">
        <f aca="false">IF(E68*$B$31&gt;0,E68*$B$31,"NM")</f>
        <v>30.7702857142857</v>
      </c>
    </row>
    <row r="69" customFormat="false" ht="15" hidden="false" customHeight="false" outlineLevel="0" collapsed="false">
      <c r="A69" s="0" t="s">
        <v>960</v>
      </c>
      <c r="B69" s="158" t="n">
        <f aca="false">MEDIAN(B54:B63)</f>
        <v>0.7</v>
      </c>
      <c r="C69" s="158" t="n">
        <f aca="false">MEDIAN(C54:C63)</f>
        <v>7</v>
      </c>
      <c r="D69" s="158" t="n">
        <f aca="false">MEDIAN(D54:D63)</f>
        <v>10</v>
      </c>
      <c r="E69" s="158" t="n">
        <f aca="false">MEDIAN(E54:E63)</f>
        <v>14.6</v>
      </c>
      <c r="G69" s="151" t="n">
        <f aca="false">IF(B69*$B$25+$B$37&gt;0,(B69*$B$25+$B$37)/$B$30,"NM")</f>
        <v>58.4163311111111</v>
      </c>
      <c r="H69" s="151" t="n">
        <f aca="false">IF(C69*$B$28+$B$37&gt;0,(C69*$B$28+$B$37)/$B$30,"NM")</f>
        <v>36.5727183333333</v>
      </c>
      <c r="I69" s="151" t="n">
        <f aca="false">IF(D69*$B$26+$B$37&gt;0,(D69*$B$26+$B$37)/$B$30,"NM")</f>
        <v>33.0359977777778</v>
      </c>
      <c r="J69" s="151" t="n">
        <f aca="false">IF(E69*$B$31&gt;0,E69*$B$31,"NM")</f>
        <v>30.952</v>
      </c>
    </row>
    <row r="70" customFormat="false" ht="15" hidden="false" customHeight="false" outlineLevel="0" collapsed="false">
      <c r="A70" s="0" t="s">
        <v>961</v>
      </c>
      <c r="B70" s="158" t="n">
        <f aca="false">PERCENTILE(B54:B63,0.75)</f>
        <v>0.85</v>
      </c>
      <c r="C70" s="158" t="n">
        <f aca="false">PERCENTILE(C54:C63,0.75)</f>
        <v>8.25</v>
      </c>
      <c r="D70" s="158" t="n">
        <f aca="false">PERCENTILE(D54:D63,0.75)</f>
        <v>11.35</v>
      </c>
      <c r="E70" s="158" t="n">
        <f aca="false">PERCENTILE(E54:E63,0.75)</f>
        <v>17.3</v>
      </c>
      <c r="G70" s="151" t="n">
        <f aca="false">IF(B70*$B$25+$B$37&gt;0,(B70*$B$25+$B$37)/$B$30,"NM")</f>
        <v>72.9394977777778</v>
      </c>
      <c r="H70" s="151" t="n">
        <f aca="false">IF(C70*$B$28+$B$37&gt;0,(C70*$B$28+$B$37)/$B$30,"NM")</f>
        <v>44.7747120833333</v>
      </c>
      <c r="I70" s="151" t="n">
        <f aca="false">IF(D70*$B$26+$B$37&gt;0,(D70*$B$26+$B$37)/$B$30,"NM")</f>
        <v>38.7592477777778</v>
      </c>
      <c r="J70" s="151" t="n">
        <f aca="false">IF(E70*$B$31&gt;0,E70*$B$31,"NM")</f>
        <v>36.676</v>
      </c>
    </row>
    <row r="71" customFormat="false" ht="15" hidden="false" customHeight="false" outlineLevel="0" collapsed="false">
      <c r="A71" s="0" t="s">
        <v>962</v>
      </c>
      <c r="B71" s="158" t="n">
        <f aca="false">MAX(B54:B63)</f>
        <v>0.9</v>
      </c>
      <c r="C71" s="158" t="n">
        <f aca="false">MAX(C54:C63)</f>
        <v>9.3</v>
      </c>
      <c r="D71" s="158" t="n">
        <f aca="false">MAX(D54:D63)</f>
        <v>14</v>
      </c>
      <c r="E71" s="158" t="n">
        <f aca="false">MAX(E54:E63)</f>
        <v>21</v>
      </c>
      <c r="G71" s="151" t="n">
        <f aca="false">IF(B71*$B$25+$B$37&gt;0,(B71*$B$25+$B$37)/$B$30,"NM")</f>
        <v>77.7805533333333</v>
      </c>
      <c r="H71" s="151" t="n">
        <f aca="false">IF(C71*$B$28+$B$37&gt;0,(C71*$B$28+$B$37)/$B$30,"NM")</f>
        <v>51.6643868333333</v>
      </c>
      <c r="I71" s="151" t="n">
        <f aca="false">IF(D71*$B$26+$B$37&gt;0,(D71*$B$26+$B$37)/$B$30,"NM")</f>
        <v>49.9937755555556</v>
      </c>
      <c r="J71" s="151" t="n">
        <f aca="false">IF(E71*$B$31&gt;0,E71*$B$31,"NM")</f>
        <v>44.52</v>
      </c>
    </row>
    <row r="72" customFormat="false" ht="15" hidden="false" customHeight="false" outlineLevel="0" collapsed="false">
      <c r="A72" s="0" t="s">
        <v>332</v>
      </c>
      <c r="B72" s="164" t="n">
        <f aca="false">COUNT(B54:B63)</f>
        <v>7</v>
      </c>
      <c r="C72" s="164" t="n">
        <f aca="false">COUNT(C54:C63)</f>
        <v>7</v>
      </c>
      <c r="D72" s="164" t="n">
        <f aca="false">COUNT(D54:D63)</f>
        <v>7</v>
      </c>
      <c r="E72" s="164" t="n">
        <f aca="false">COUNT(E54:E63)</f>
        <v>7</v>
      </c>
    </row>
    <row r="73" customFormat="false" ht="15" hidden="false" customHeight="false" outlineLevel="0" collapsed="false">
      <c r="A73" s="120" t="s">
        <v>963</v>
      </c>
    </row>
    <row r="75" customFormat="false" ht="15" hidden="false" customHeight="false" outlineLevel="0" collapsed="false">
      <c r="A75" s="125" t="s">
        <v>964</v>
      </c>
      <c r="B75" s="125" t="s">
        <v>950</v>
      </c>
      <c r="C75" s="125" t="s">
        <v>951</v>
      </c>
      <c r="D75" s="125" t="s">
        <v>952</v>
      </c>
      <c r="E75" s="125" t="s">
        <v>134</v>
      </c>
    </row>
    <row r="76" customFormat="false" ht="15" hidden="false" customHeight="false" outlineLevel="0" collapsed="false">
      <c r="A76" s="0" t="s">
        <v>965</v>
      </c>
      <c r="B76" s="161" t="n">
        <f aca="false">$B$25</f>
        <v>174278</v>
      </c>
      <c r="C76" s="161" t="n">
        <f aca="false">$B$28</f>
        <v>11810.871</v>
      </c>
      <c r="D76" s="161" t="n">
        <f aca="false">$B$26</f>
        <v>7631</v>
      </c>
      <c r="E76" s="161" t="n">
        <f aca="false">$B$31</f>
        <v>2.12</v>
      </c>
    </row>
    <row r="77" customFormat="false" ht="15" hidden="false" customHeight="false" outlineLevel="0" collapsed="false">
      <c r="A77" s="0" t="s">
        <v>966</v>
      </c>
      <c r="B77" s="150" t="n">
        <f aca="false">B68*$B$25</f>
        <v>114525.542857143</v>
      </c>
      <c r="C77" s="150" t="n">
        <f aca="false">C68*$B$28</f>
        <v>83182.2771857143</v>
      </c>
      <c r="D77" s="150" t="n">
        <f aca="false">D68*$B$26</f>
        <v>75982.9571428572</v>
      </c>
      <c r="E77" s="36" t="s">
        <v>967</v>
      </c>
    </row>
    <row r="78" customFormat="false" ht="15" hidden="false" customHeight="false" outlineLevel="0" collapsed="false">
      <c r="A78" s="0" t="s">
        <v>968</v>
      </c>
      <c r="B78" s="150" t="n">
        <f aca="false">B77+$B$37</f>
        <v>97680.3388571429</v>
      </c>
      <c r="C78" s="150" t="n">
        <f aca="false">C77+$B$37</f>
        <v>66337.0731857143</v>
      </c>
      <c r="D78" s="150" t="n">
        <f aca="false">D77+$B$37</f>
        <v>59137.7531428572</v>
      </c>
      <c r="E78" s="150" t="n">
        <f aca="false">E68*$B$31*$B$30</f>
        <v>55386.5142857143</v>
      </c>
    </row>
    <row r="79" customFormat="false" ht="15" hidden="false" customHeight="false" outlineLevel="0" collapsed="false">
      <c r="A79" s="0" t="s">
        <v>969</v>
      </c>
      <c r="B79" s="151" t="n">
        <f aca="false">G68</f>
        <v>54.2668549206349</v>
      </c>
      <c r="C79" s="151" t="n">
        <f aca="false">H68</f>
        <v>36.853929547619</v>
      </c>
      <c r="D79" s="151" t="n">
        <f aca="false">I68</f>
        <v>32.8543073015873</v>
      </c>
      <c r="E79" s="151" t="n">
        <f aca="false">J68</f>
        <v>30.7702857142857</v>
      </c>
    </row>
    <row r="82" customFormat="false" ht="15" hidden="false" customHeight="false" outlineLevel="0" collapsed="false">
      <c r="A82" s="121" t="s">
        <v>970</v>
      </c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</row>
    <row r="83" customFormat="false" ht="15" hidden="false" customHeight="false" outlineLevel="0" collapsed="false">
      <c r="A83" s="123" t="s">
        <v>971</v>
      </c>
      <c r="B83" s="165" t="n">
        <f aca="false">IF((IF(AND($D$45=1,ISNUMBER(G68)),1,0)+IF(AND($D$42=1,ISNUMBER(H68)),1,0)+IF(AND($D$43=1,ISNUMBER(I68)),1,0)+IF(AND($D$44=1,ISNUMBER(J68)),1,0))=0,"NA",(IF(AND($D$45=1,ISNUMBER(G68)),G68,0)+IF(AND($D$42=1,ISNUMBER(H68)),H68,0)+IF(AND($D$43=1,ISNUMBER(I68)),I68,0)+IF(AND($D$44=1,ISNUMBER(J68)),J68,0))/(IF(AND($D$45=1,ISNUMBER(G68)),1,0)+IF(AND($D$42=1,ISNUMBER(H68)),1,0)+IF(AND($D$43=1,ISNUMBER(I68)),1,0)+IF(AND($D$44=1,ISNUMBER(J68)),1,0)))</f>
        <v>33.4928408544974</v>
      </c>
    </row>
    <row r="84" customFormat="false" ht="15" hidden="false" customHeight="false" outlineLevel="0" collapsed="false">
      <c r="A84" s="0" t="s">
        <v>972</v>
      </c>
      <c r="B84" s="151" t="n">
        <f aca="false">IF((IF(AND($D$45=1,ISNUMBER(G67)),1,0)+IF(AND($D$42=1,ISNUMBER(H67)),1,0)+IF(AND($D$43=1,ISNUMBER(I67)),1,0)+IF(AND($D$44=1,ISNUMBER(J67)),1,0))=0,"NA",(IF(AND($D$45=1,ISNUMBER(G67)),G67,0)+IF(AND($D$42=1,ISNUMBER(H67)),H67,0)+IF(AND($D$43=1,ISNUMBER(I67)),I67,0)+IF(AND($D$44=1,ISNUMBER(J67)),J67,0))/(IF(AND($D$45=1,ISNUMBER(G67)),1,0)+IF(AND($D$42=1,ISNUMBER(H67)),1,0)+IF(AND($D$43=1,ISNUMBER(I67)),1,0)+IF(AND($D$44=1,ISNUMBER(J67)),1,0)))</f>
        <v>27.031161037037</v>
      </c>
    </row>
    <row r="85" customFormat="false" ht="15" hidden="false" customHeight="false" outlineLevel="0" collapsed="false">
      <c r="A85" s="0" t="s">
        <v>973</v>
      </c>
      <c r="B85" s="151" t="n">
        <f aca="false">IF((IF(AND($D$45=1,ISNUMBER(G70)),1,0)+IF(AND($D$42=1,ISNUMBER(H70)),1,0)+IF(AND($D$43=1,ISNUMBER(I70)),1,0)+IF(AND($D$44=1,ISNUMBER(J70)),1,0))=0,"NA",(IF(AND($D$45=1,ISNUMBER(G70)),G70,0)+IF(AND($D$42=1,ISNUMBER(H70)),H70,0)+IF(AND($D$43=1,ISNUMBER(I70)),I70,0)+IF(AND($D$44=1,ISNUMBER(J70)),J70,0))/(IF(AND($D$45=1,ISNUMBER(G70)),1,0)+IF(AND($D$42=1,ISNUMBER(H70)),1,0)+IF(AND($D$43=1,ISNUMBER(I70)),1,0)+IF(AND($D$44=1,ISNUMBER(J70)),1,0)))</f>
        <v>40.0699866203704</v>
      </c>
    </row>
    <row r="86" customFormat="false" ht="15" hidden="false" customHeight="false" outlineLevel="0" collapsed="false">
      <c r="A86" s="0" t="s">
        <v>974</v>
      </c>
      <c r="B86" s="166" t="n">
        <f aca="false">Valuación!B42</f>
        <v>33.48</v>
      </c>
    </row>
    <row r="87" customFormat="false" ht="15" hidden="false" customHeight="false" outlineLevel="0" collapsed="false">
      <c r="A87" s="0" t="s">
        <v>975</v>
      </c>
      <c r="B87" s="128" t="n">
        <f aca="false">B83/B86-1</f>
        <v>0.000383538067423972</v>
      </c>
    </row>
    <row r="88" customFormat="false" ht="15" hidden="false" customHeight="false" outlineLevel="0" collapsed="false">
      <c r="A88" s="0" t="s">
        <v>976</v>
      </c>
      <c r="B88" s="0" t="n">
        <f aca="false">SUM(D42:D45)</f>
        <v>3</v>
      </c>
    </row>
    <row r="89" customFormat="false" ht="15" hidden="false" customHeight="false" outlineLevel="0" collapsed="false">
      <c r="A89" s="120" t="s">
        <v>977</v>
      </c>
    </row>
  </sheetData>
  <mergeCells count="7">
    <mergeCell ref="F42:L42"/>
    <mergeCell ref="F43:L43"/>
    <mergeCell ref="F44:L44"/>
    <mergeCell ref="F45:L45"/>
    <mergeCell ref="F46:L46"/>
    <mergeCell ref="F47:L47"/>
    <mergeCell ref="F48:L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7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7" min="6" style="0" width="12"/>
    <col collapsed="false" customWidth="true" hidden="false" outlineLevel="0" max="9" min="8" style="0" width="10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1"/>
    <col collapsed="false" customWidth="true" hidden="false" outlineLevel="0" max="15" min="13" style="0" width="12"/>
    <col collapsed="false" customWidth="true" hidden="false" outlineLevel="0" max="16" min="16" style="0" width="50"/>
  </cols>
  <sheetData>
    <row r="1" customFormat="false" ht="17.35" hidden="false" customHeight="false" outlineLevel="0" collapsed="false">
      <c r="A1" s="119" t="s">
        <v>978</v>
      </c>
    </row>
    <row r="2" customFormat="false" ht="15" hidden="false" customHeight="false" outlineLevel="0" collapsed="false">
      <c r="A2" s="120" t="s">
        <v>979</v>
      </c>
    </row>
    <row r="3" customFormat="false" ht="15" hidden="false" customHeight="false" outlineLevel="0" collapsed="false">
      <c r="A3" s="120" t="s">
        <v>638</v>
      </c>
    </row>
    <row r="5" customFormat="false" ht="15" hidden="false" customHeight="false" outlineLevel="0" collapsed="false">
      <c r="A5" s="121" t="s">
        <v>980</v>
      </c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</row>
    <row r="6" customFormat="false" ht="15" hidden="false" customHeight="false" outlineLevel="0" collapsed="false">
      <c r="A6" s="0" t="s">
        <v>621</v>
      </c>
      <c r="C6" s="140" t="n">
        <f aca="false">'Proyección Final Soriana'!B252</f>
        <v>46296</v>
      </c>
    </row>
    <row r="7" customFormat="false" ht="15" hidden="false" customHeight="false" outlineLevel="0" collapsed="false">
      <c r="A7" s="0" t="s">
        <v>981</v>
      </c>
      <c r="C7" s="145" t="n">
        <v>3</v>
      </c>
      <c r="D7" s="36" t="s">
        <v>982</v>
      </c>
    </row>
    <row r="8" customFormat="false" ht="15" hidden="false" customHeight="false" outlineLevel="0" collapsed="false">
      <c r="A8" s="0" t="s">
        <v>983</v>
      </c>
      <c r="C8" s="167" t="n">
        <f aca="false">EDATE(C6,-12*C7)</f>
        <v>45200</v>
      </c>
    </row>
    <row r="9" customFormat="false" ht="15" hidden="false" customHeight="false" outlineLevel="0" collapsed="false">
      <c r="A9" s="0" t="s">
        <v>984</v>
      </c>
      <c r="C9" s="145" t="s">
        <v>985</v>
      </c>
      <c r="D9" s="36" t="s">
        <v>986</v>
      </c>
    </row>
    <row r="10" customFormat="false" ht="15" hidden="false" customHeight="false" outlineLevel="0" collapsed="false">
      <c r="A10" s="0" t="s">
        <v>987</v>
      </c>
      <c r="C10" s="145" t="n">
        <v>2</v>
      </c>
      <c r="D10" s="36" t="s">
        <v>988</v>
      </c>
    </row>
    <row r="12" customFormat="false" ht="15" hidden="false" customHeight="false" outlineLevel="0" collapsed="false">
      <c r="A12" s="121" t="s">
        <v>989</v>
      </c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</row>
    <row r="13" customFormat="false" ht="41.75" hidden="false" customHeight="false" outlineLevel="0" collapsed="false">
      <c r="A13" s="125" t="s">
        <v>990</v>
      </c>
      <c r="B13" s="125" t="s">
        <v>991</v>
      </c>
      <c r="C13" s="125" t="s">
        <v>992</v>
      </c>
      <c r="D13" s="125" t="s">
        <v>993</v>
      </c>
      <c r="E13" s="125" t="s">
        <v>994</v>
      </c>
      <c r="F13" s="125" t="s">
        <v>995</v>
      </c>
      <c r="G13" s="125" t="s">
        <v>996</v>
      </c>
      <c r="H13" s="125" t="s">
        <v>950</v>
      </c>
      <c r="I13" s="125" t="s">
        <v>951</v>
      </c>
      <c r="J13" s="125" t="s">
        <v>997</v>
      </c>
      <c r="K13" s="125" t="s">
        <v>998</v>
      </c>
      <c r="L13" s="125" t="s">
        <v>999</v>
      </c>
      <c r="M13" s="125" t="s">
        <v>1000</v>
      </c>
      <c r="N13" s="125" t="s">
        <v>1001</v>
      </c>
      <c r="O13" s="125" t="s">
        <v>851</v>
      </c>
      <c r="P13" s="125" t="s">
        <v>742</v>
      </c>
      <c r="Q13" s="125" t="s">
        <v>1002</v>
      </c>
    </row>
    <row r="14" customFormat="false" ht="63.75" hidden="false" customHeight="true" outlineLevel="0" collapsed="false">
      <c r="A14" s="140" t="n">
        <v>45215</v>
      </c>
      <c r="B14" s="168" t="s">
        <v>1003</v>
      </c>
      <c r="C14" s="168" t="s">
        <v>1004</v>
      </c>
      <c r="D14" s="168" t="s">
        <v>1005</v>
      </c>
      <c r="E14" s="168" t="s">
        <v>1006</v>
      </c>
      <c r="F14" s="159" t="n">
        <v>56675.3</v>
      </c>
      <c r="G14" s="159" t="n">
        <v>35348.1</v>
      </c>
      <c r="H14" s="157" t="n">
        <v>0.3</v>
      </c>
      <c r="I14" s="157" t="n">
        <v>5.2</v>
      </c>
      <c r="J14" s="145" t="s">
        <v>1007</v>
      </c>
      <c r="K14" s="0" t="str">
        <f aca="false">IF(A14&gt;=$C$8,"Sí","No")</f>
        <v>Sí</v>
      </c>
      <c r="L14" s="0" t="str">
        <f aca="false">IF(J14=$C$9,"Sí","No")</f>
        <v>No</v>
      </c>
      <c r="M14" s="0" t="str">
        <f aca="false">IF(COUNT(H14:I14)&gt;=$C$10,"Sí","No")</f>
        <v>Sí</v>
      </c>
      <c r="N14" s="145" t="s">
        <v>1008</v>
      </c>
      <c r="O14" s="124" t="n">
        <v>1</v>
      </c>
      <c r="P14" s="127" t="s">
        <v>1009</v>
      </c>
      <c r="Q14" s="169" t="s">
        <v>1010</v>
      </c>
    </row>
    <row r="15" customFormat="false" ht="63.75" hidden="false" customHeight="true" outlineLevel="0" collapsed="false">
      <c r="A15" s="140" t="n">
        <v>43657</v>
      </c>
      <c r="B15" s="168" t="s">
        <v>1011</v>
      </c>
      <c r="C15" s="168" t="s">
        <v>1012</v>
      </c>
      <c r="D15" s="168" t="s">
        <v>1013</v>
      </c>
      <c r="E15" s="168" t="s">
        <v>1014</v>
      </c>
      <c r="F15" s="159" t="n">
        <v>116983.8</v>
      </c>
      <c r="G15" s="159" t="n">
        <v>4590.5</v>
      </c>
      <c r="H15" s="157" t="n">
        <v>1.5</v>
      </c>
      <c r="I15" s="157" t="n">
        <v>11.4</v>
      </c>
      <c r="J15" s="145" t="s">
        <v>1015</v>
      </c>
      <c r="K15" s="0" t="str">
        <f aca="false">IF(A15&gt;=$C$8,"Sí","No")</f>
        <v>No</v>
      </c>
      <c r="L15" s="0" t="str">
        <f aca="false">IF(J15=$C$9,"Sí","No")</f>
        <v>No</v>
      </c>
      <c r="M15" s="0" t="str">
        <f aca="false">IF(COUNT(H15:I15)&gt;=$C$10,"Sí","No")</f>
        <v>Sí</v>
      </c>
      <c r="N15" s="145" t="s">
        <v>1016</v>
      </c>
      <c r="O15" s="124" t="n">
        <v>1</v>
      </c>
      <c r="P15" s="127" t="s">
        <v>1017</v>
      </c>
      <c r="Q15" s="169" t="s">
        <v>1018</v>
      </c>
    </row>
    <row r="16" customFormat="false" ht="63.75" hidden="false" customHeight="true" outlineLevel="0" collapsed="false">
      <c r="A16" s="140" t="n">
        <v>43642</v>
      </c>
      <c r="B16" s="168" t="s">
        <v>1019</v>
      </c>
      <c r="C16" s="168" t="s">
        <v>1004</v>
      </c>
      <c r="D16" s="168" t="s">
        <v>1020</v>
      </c>
      <c r="E16" s="168" t="s">
        <v>1021</v>
      </c>
      <c r="F16" s="159" t="n">
        <v>56675.3</v>
      </c>
      <c r="G16" s="159" t="n">
        <v>130645</v>
      </c>
      <c r="H16" s="157" t="n">
        <v>0.4</v>
      </c>
      <c r="I16" s="157" t="n">
        <v>6.3</v>
      </c>
      <c r="J16" s="145" t="s">
        <v>1007</v>
      </c>
      <c r="K16" s="0" t="str">
        <f aca="false">IF(A16&gt;=$C$8,"Sí","No")</f>
        <v>No</v>
      </c>
      <c r="L16" s="0" t="str">
        <f aca="false">IF(J16=$C$9,"Sí","No")</f>
        <v>No</v>
      </c>
      <c r="M16" s="0" t="str">
        <f aca="false">IF(COUNT(H16:I16)&gt;=$C$10,"Sí","No")</f>
        <v>Sí</v>
      </c>
      <c r="N16" s="145" t="s">
        <v>1016</v>
      </c>
      <c r="O16" s="124" t="n">
        <v>1</v>
      </c>
      <c r="P16" s="127" t="s">
        <v>1022</v>
      </c>
      <c r="Q16" s="169" t="s">
        <v>1010</v>
      </c>
    </row>
    <row r="17" customFormat="false" ht="15" hidden="false" customHeight="false" outlineLevel="0" collapsed="false">
      <c r="A17" s="123" t="s">
        <v>1023</v>
      </c>
      <c r="H17" s="157" t="n">
        <v>0.7</v>
      </c>
      <c r="I17" s="157" t="n">
        <v>7.6</v>
      </c>
      <c r="J17" s="120" t="s">
        <v>1024</v>
      </c>
    </row>
    <row r="18" customFormat="false" ht="15" hidden="false" customHeight="false" outlineLevel="0" collapsed="false">
      <c r="A18" s="120" t="s">
        <v>1025</v>
      </c>
    </row>
    <row r="20" customFormat="false" ht="15" hidden="false" customHeight="false" outlineLevel="0" collapsed="false">
      <c r="A20" s="0" t="s">
        <v>1026</v>
      </c>
      <c r="C20" s="0" t="str">
        <f aca="false">COUNTIF(K14:K16,"Sí")&amp;" de "&amp;COUNTA(B14:B16)</f>
        <v>1 de 3</v>
      </c>
    </row>
    <row r="21" customFormat="false" ht="15" hidden="false" customHeight="false" outlineLevel="0" collapsed="false">
      <c r="A21" s="0" t="s">
        <v>1027</v>
      </c>
      <c r="C21" s="0" t="str">
        <f aca="false">COUNTIF(L14:L16,"Sí")&amp;" de "&amp;COUNTA(B14:B16)</f>
        <v>0 de 3</v>
      </c>
    </row>
    <row r="22" customFormat="false" ht="15" hidden="false" customHeight="false" outlineLevel="0" collapsed="false">
      <c r="A22" s="0" t="s">
        <v>1028</v>
      </c>
      <c r="C22" s="0" t="str">
        <f aca="false">COUNTIF(N14:N16,"Sí")&amp;" de "&amp;COUNTA(B14:B16)</f>
        <v>1 de 3</v>
      </c>
    </row>
    <row r="23" customFormat="false" ht="15" hidden="false" customHeight="false" outlineLevel="0" collapsed="false">
      <c r="A23" s="0" t="s">
        <v>1029</v>
      </c>
      <c r="C23" s="170" t="n">
        <f aca="false">H14/I14</f>
        <v>0.0576923076923077</v>
      </c>
      <c r="D23" s="170" t="n">
        <f aca="false">H15/I15</f>
        <v>0.131578947368421</v>
      </c>
      <c r="E23" s="170" t="n">
        <f aca="false">H16/I16</f>
        <v>0.0634920634920635</v>
      </c>
    </row>
    <row r="25" customFormat="false" ht="15" hidden="false" customHeight="false" outlineLevel="0" collapsed="false">
      <c r="A25" s="121" t="s">
        <v>1030</v>
      </c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</row>
    <row r="26" customFormat="false" ht="15" hidden="false" customHeight="false" outlineLevel="0" collapsed="false">
      <c r="A26" s="123" t="s">
        <v>1031</v>
      </c>
    </row>
    <row r="27" customFormat="false" ht="15" hidden="false" customHeight="false" outlineLevel="0" collapsed="false">
      <c r="A27" s="0" t="str">
        <f aca="false">C14</f>
        <v>Almacenes Éxito S.A.</v>
      </c>
      <c r="H27" s="158" t="n">
        <f aca="false">IF($O$14=1,H14,"")</f>
        <v>0.3</v>
      </c>
      <c r="I27" s="158" t="n">
        <f aca="false">IF($O$14=1,I14,"")</f>
        <v>5.2</v>
      </c>
    </row>
    <row r="28" customFormat="false" ht="15" hidden="false" customHeight="false" outlineLevel="0" collapsed="false">
      <c r="A28" s="0" t="str">
        <f aca="false">C15</f>
        <v>InRetail Perú Corp.</v>
      </c>
      <c r="H28" s="158" t="n">
        <f aca="false">IF($O$15=1,H15,"")</f>
        <v>1.5</v>
      </c>
      <c r="I28" s="158" t="n">
        <f aca="false">IF($O$15=1,I15,"")</f>
        <v>11.4</v>
      </c>
    </row>
    <row r="29" customFormat="false" ht="15" hidden="false" customHeight="false" outlineLevel="0" collapsed="false">
      <c r="A29" s="0" t="str">
        <f aca="false">C16</f>
        <v>Almacenes Éxito S.A.</v>
      </c>
      <c r="H29" s="158" t="n">
        <f aca="false">IF($O$16=1,H16,"")</f>
        <v>0.4</v>
      </c>
      <c r="I29" s="158" t="n">
        <f aca="false">IF($O$16=1,I16,"")</f>
        <v>6.3</v>
      </c>
    </row>
    <row r="31" customFormat="false" ht="28.35" hidden="false" customHeight="false" outlineLevel="0" collapsed="false">
      <c r="A31" s="125" t="s">
        <v>1032</v>
      </c>
      <c r="B31" s="125"/>
      <c r="C31" s="125"/>
      <c r="D31" s="125"/>
      <c r="E31" s="125"/>
      <c r="F31" s="125"/>
      <c r="G31" s="125"/>
      <c r="H31" s="125" t="s">
        <v>950</v>
      </c>
      <c r="I31" s="125" t="s">
        <v>951</v>
      </c>
      <c r="J31" s="125" t="s">
        <v>1033</v>
      </c>
      <c r="K31" s="125" t="s">
        <v>1034</v>
      </c>
    </row>
    <row r="32" customFormat="false" ht="15" hidden="false" customHeight="false" outlineLevel="0" collapsed="false">
      <c r="A32" s="0" t="s">
        <v>958</v>
      </c>
      <c r="H32" s="158" t="n">
        <f aca="false">MIN(H27:H29)</f>
        <v>0.3</v>
      </c>
      <c r="I32" s="158" t="n">
        <f aca="false">MIN(I27:I29)</f>
        <v>5.2</v>
      </c>
      <c r="J32" s="151" t="n">
        <f aca="false">IF(H32*'Trading Comps'!$B$25+'Trading Comps'!$B$37&gt;0,(H32*'Trading Comps'!$B$25+'Trading Comps'!$B$37)/'Trading Comps'!$B$30,"NM")</f>
        <v>19.6878866666667</v>
      </c>
      <c r="K32" s="151" t="n">
        <f aca="false">IF(I32*'Trading Comps'!$B$28+'Trading Comps'!$B$37&gt;0,(I32*'Trading Comps'!$B$28+'Trading Comps'!$B$37)/'Trading Comps'!$B$30,"NM")</f>
        <v>24.7618473333333</v>
      </c>
    </row>
    <row r="33" customFormat="false" ht="15" hidden="false" customHeight="false" outlineLevel="0" collapsed="false">
      <c r="A33" s="0" t="s">
        <v>959</v>
      </c>
      <c r="H33" s="158" t="n">
        <f aca="false">PERCENTILE(H27:H29,0.25)</f>
        <v>0.35</v>
      </c>
      <c r="I33" s="158" t="n">
        <f aca="false">PERCENTILE(I27:I29,0.25)</f>
        <v>5.75</v>
      </c>
      <c r="J33" s="151" t="n">
        <f aca="false">IF(H33*'Trading Comps'!$B$25+'Trading Comps'!$B$37&gt;0,(H33*'Trading Comps'!$B$25+'Trading Comps'!$B$37)/'Trading Comps'!$B$30,"NM")</f>
        <v>24.5289422222222</v>
      </c>
      <c r="K33" s="151" t="n">
        <f aca="false">IF(I33*'Trading Comps'!$B$28+'Trading Comps'!$B$37&gt;0,(I33*'Trading Comps'!$B$28+'Trading Comps'!$B$37)/'Trading Comps'!$B$30,"NM")</f>
        <v>28.3707245833333</v>
      </c>
    </row>
    <row r="34" customFormat="false" ht="15" hidden="false" customHeight="false" outlineLevel="0" collapsed="false">
      <c r="A34" s="123" t="s">
        <v>538</v>
      </c>
      <c r="H34" s="162" t="n">
        <f aca="false">AVERAGE(H27:H29)</f>
        <v>0.733333333333333</v>
      </c>
      <c r="I34" s="162" t="n">
        <f aca="false">AVERAGE(I27:I29)</f>
        <v>7.63333333333333</v>
      </c>
      <c r="J34" s="163" t="n">
        <f aca="false">IF(H34*'Trading Comps'!$B$25+'Trading Comps'!$B$37&gt;0,(H34*'Trading Comps'!$B$25+'Trading Comps'!$B$37)/'Trading Comps'!$B$30,"NM")</f>
        <v>61.6437014814815</v>
      </c>
      <c r="K34" s="163" t="n">
        <f aca="false">IF(I34*'Trading Comps'!$B$28+'Trading Comps'!$B$37&gt;0,(I34*'Trading Comps'!$B$28+'Trading Comps'!$B$37)/'Trading Comps'!$B$30,"NM")</f>
        <v>40.7283951666667</v>
      </c>
    </row>
    <row r="35" customFormat="false" ht="15" hidden="false" customHeight="false" outlineLevel="0" collapsed="false">
      <c r="A35" s="0" t="s">
        <v>960</v>
      </c>
      <c r="H35" s="158" t="n">
        <f aca="false">MEDIAN(H27:H29)</f>
        <v>0.4</v>
      </c>
      <c r="I35" s="158" t="n">
        <f aca="false">MEDIAN(I27:I29)</f>
        <v>6.3</v>
      </c>
      <c r="J35" s="151" t="n">
        <f aca="false">IF(H35*'Trading Comps'!$B$25+'Trading Comps'!$B$37&gt;0,(H35*'Trading Comps'!$B$25+'Trading Comps'!$B$37)/'Trading Comps'!$B$30,"NM")</f>
        <v>29.3699977777778</v>
      </c>
      <c r="K35" s="151" t="n">
        <f aca="false">IF(I35*'Trading Comps'!$B$28+'Trading Comps'!$B$37&gt;0,(I35*'Trading Comps'!$B$28+'Trading Comps'!$B$37)/'Trading Comps'!$B$30,"NM")</f>
        <v>31.9796018333333</v>
      </c>
    </row>
    <row r="36" customFormat="false" ht="15" hidden="false" customHeight="false" outlineLevel="0" collapsed="false">
      <c r="A36" s="0" t="s">
        <v>961</v>
      </c>
      <c r="H36" s="158" t="n">
        <f aca="false">PERCENTILE(H27:H29,0.75)</f>
        <v>0.95</v>
      </c>
      <c r="I36" s="158" t="n">
        <f aca="false">PERCENTILE(I27:I29,0.75)</f>
        <v>8.85</v>
      </c>
      <c r="J36" s="151" t="n">
        <f aca="false">IF(H36*'Trading Comps'!$B$25+'Trading Comps'!$B$37&gt;0,(H36*'Trading Comps'!$B$25+'Trading Comps'!$B$37)/'Trading Comps'!$B$30,"NM")</f>
        <v>82.6216088888889</v>
      </c>
      <c r="K36" s="151" t="n">
        <f aca="false">IF(I36*'Trading Comps'!$B$28+'Trading Comps'!$B$37&gt;0,(I36*'Trading Comps'!$B$28+'Trading Comps'!$B$37)/'Trading Comps'!$B$30,"NM")</f>
        <v>48.7116690833333</v>
      </c>
    </row>
    <row r="37" customFormat="false" ht="15" hidden="false" customHeight="false" outlineLevel="0" collapsed="false">
      <c r="A37" s="0" t="s">
        <v>962</v>
      </c>
      <c r="H37" s="158" t="n">
        <f aca="false">MAX(H27:H29)</f>
        <v>1.5</v>
      </c>
      <c r="I37" s="158" t="n">
        <f aca="false">MAX(I27:I29)</f>
        <v>11.4</v>
      </c>
      <c r="J37" s="151" t="n">
        <f aca="false">IF(H37*'Trading Comps'!$B$25+'Trading Comps'!$B$37&gt;0,(H37*'Trading Comps'!$B$25+'Trading Comps'!$B$37)/'Trading Comps'!$B$30,"NM")</f>
        <v>135.87322</v>
      </c>
      <c r="K37" s="151" t="n">
        <f aca="false">IF(I37*'Trading Comps'!$B$28+'Trading Comps'!$B$37&gt;0,(I37*'Trading Comps'!$B$28+'Trading Comps'!$B$37)/'Trading Comps'!$B$30,"NM")</f>
        <v>65.4437363333333</v>
      </c>
    </row>
    <row r="38" customFormat="false" ht="15" hidden="false" customHeight="false" outlineLevel="0" collapsed="false">
      <c r="A38" s="0" t="s">
        <v>332</v>
      </c>
      <c r="H38" s="164" t="n">
        <f aca="false">COUNT(H27:H29)</f>
        <v>3</v>
      </c>
      <c r="I38" s="164" t="n">
        <f aca="false">COUNT(I27:I29)</f>
        <v>3</v>
      </c>
    </row>
    <row r="41" customFormat="false" ht="28.35" hidden="false" customHeight="false" outlineLevel="0" collapsed="false">
      <c r="A41" s="125" t="s">
        <v>964</v>
      </c>
      <c r="B41" s="125"/>
      <c r="C41" s="125"/>
      <c r="D41" s="125"/>
      <c r="E41" s="125"/>
      <c r="F41" s="125"/>
      <c r="G41" s="125"/>
      <c r="H41" s="125" t="s">
        <v>950</v>
      </c>
      <c r="I41" s="125" t="s">
        <v>951</v>
      </c>
    </row>
    <row r="42" customFormat="false" ht="15" hidden="false" customHeight="false" outlineLevel="0" collapsed="false">
      <c r="A42" s="0" t="s">
        <v>1035</v>
      </c>
      <c r="H42" s="158" t="n">
        <f aca="false">H34</f>
        <v>0.733333333333333</v>
      </c>
      <c r="I42" s="158" t="n">
        <f aca="false">I34</f>
        <v>7.63333333333333</v>
      </c>
    </row>
    <row r="43" customFormat="false" ht="15" hidden="false" customHeight="false" outlineLevel="0" collapsed="false">
      <c r="A43" s="0" t="s">
        <v>1036</v>
      </c>
      <c r="H43" s="150" t="n">
        <f aca="false">'Trading Comps'!$B$25</f>
        <v>174278</v>
      </c>
      <c r="I43" s="150" t="n">
        <f aca="false">'Trading Comps'!$B$28</f>
        <v>11810.871</v>
      </c>
    </row>
    <row r="44" customFormat="false" ht="15" hidden="false" customHeight="false" outlineLevel="0" collapsed="false">
      <c r="A44" s="0" t="s">
        <v>966</v>
      </c>
      <c r="H44" s="150" t="n">
        <f aca="false">H42*H43</f>
        <v>127803.866666667</v>
      </c>
      <c r="I44" s="150" t="n">
        <f aca="false">I42*I43</f>
        <v>90156.3153</v>
      </c>
    </row>
    <row r="45" customFormat="false" ht="15" hidden="false" customHeight="false" outlineLevel="0" collapsed="false">
      <c r="A45" s="0" t="s">
        <v>1037</v>
      </c>
      <c r="H45" s="150" t="n">
        <f aca="false">'Trading Comps'!$B$37</f>
        <v>-16845.204</v>
      </c>
      <c r="I45" s="150" t="n">
        <f aca="false">'Trading Comps'!$B$37</f>
        <v>-16845.204</v>
      </c>
    </row>
    <row r="46" customFormat="false" ht="15" hidden="false" customHeight="false" outlineLevel="0" collapsed="false">
      <c r="A46" s="123" t="s">
        <v>968</v>
      </c>
      <c r="H46" s="150" t="n">
        <f aca="false">H44+H45</f>
        <v>110958.662666667</v>
      </c>
      <c r="I46" s="150" t="n">
        <f aca="false">I44+I45</f>
        <v>73311.1113</v>
      </c>
    </row>
    <row r="47" customFormat="false" ht="15" hidden="false" customHeight="false" outlineLevel="0" collapsed="false">
      <c r="A47" s="123" t="s">
        <v>969</v>
      </c>
      <c r="H47" s="151" t="n">
        <f aca="false">J34</f>
        <v>61.6437014814815</v>
      </c>
      <c r="I47" s="151" t="n">
        <f aca="false">K34</f>
        <v>40.7283951666667</v>
      </c>
    </row>
    <row r="49" customFormat="false" ht="15" hidden="false" customHeight="false" outlineLevel="0" collapsed="false">
      <c r="A49" s="121" t="s">
        <v>1038</v>
      </c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</row>
    <row r="50" customFormat="false" ht="15" hidden="false" customHeight="false" outlineLevel="0" collapsed="false">
      <c r="A50" s="125" t="s">
        <v>929</v>
      </c>
      <c r="B50" s="125"/>
      <c r="C50" s="125" t="s">
        <v>932</v>
      </c>
      <c r="D50" s="125" t="s">
        <v>933</v>
      </c>
      <c r="E50" s="125" t="s">
        <v>934</v>
      </c>
    </row>
    <row r="51" customFormat="false" ht="15" hidden="false" customHeight="false" outlineLevel="0" collapsed="false">
      <c r="A51" s="0" t="s">
        <v>951</v>
      </c>
      <c r="C51" s="124" t="n">
        <v>1</v>
      </c>
      <c r="D51" s="36" t="s">
        <v>936</v>
      </c>
      <c r="E51" s="36" t="s">
        <v>1039</v>
      </c>
    </row>
    <row r="52" customFormat="false" ht="15" hidden="false" customHeight="false" outlineLevel="0" collapsed="false">
      <c r="A52" s="0" t="s">
        <v>950</v>
      </c>
      <c r="C52" s="124" t="n">
        <v>0</v>
      </c>
      <c r="D52" s="36" t="s">
        <v>941</v>
      </c>
      <c r="E52" s="36" t="s">
        <v>1040</v>
      </c>
    </row>
    <row r="54" customFormat="false" ht="15" hidden="false" customHeight="false" outlineLevel="0" collapsed="false">
      <c r="A54" s="123" t="s">
        <v>1041</v>
      </c>
      <c r="E54" s="165" t="n">
        <f aca="false">IF((C51+C52)=0,"NA",(IF(C51=1,K34,0)+IF(C52=1,J34,0))/(C51+C52))</f>
        <v>40.7283951666667</v>
      </c>
    </row>
    <row r="55" customFormat="false" ht="15" hidden="false" customHeight="false" outlineLevel="0" collapsed="false">
      <c r="A55" s="0" t="s">
        <v>1042</v>
      </c>
      <c r="E55" s="151" t="n">
        <f aca="false">K32</f>
        <v>24.7618473333333</v>
      </c>
      <c r="F55" s="151" t="n">
        <f aca="false">K37</f>
        <v>65.4437363333333</v>
      </c>
    </row>
    <row r="57" customFormat="false" ht="15" hidden="false" customHeight="false" outlineLevel="0" collapsed="false">
      <c r="A57" s="171" t="s">
        <v>1043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5" min="3" style="0" width="14"/>
    <col collapsed="false" customWidth="true" hidden="false" outlineLevel="0" max="6" min="6" style="0" width="70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19" t="s">
        <v>1044</v>
      </c>
    </row>
    <row r="2" customFormat="false" ht="15" hidden="false" customHeight="false" outlineLevel="0" collapsed="false">
      <c r="A2" s="120" t="s">
        <v>1045</v>
      </c>
    </row>
    <row r="3" customFormat="false" ht="15" hidden="false" customHeight="false" outlineLevel="0" collapsed="false">
      <c r="A3" s="120" t="s">
        <v>638</v>
      </c>
    </row>
    <row r="5" customFormat="false" ht="28.35" hidden="false" customHeight="false" outlineLevel="0" collapsed="false">
      <c r="A5" s="125" t="s">
        <v>1046</v>
      </c>
      <c r="B5" s="125" t="s">
        <v>303</v>
      </c>
      <c r="C5" s="125" t="s">
        <v>1047</v>
      </c>
      <c r="D5" s="125" t="s">
        <v>1048</v>
      </c>
      <c r="E5" s="125" t="s">
        <v>1049</v>
      </c>
      <c r="F5" s="125" t="s">
        <v>1050</v>
      </c>
      <c r="G5" s="125" t="s">
        <v>1051</v>
      </c>
    </row>
    <row r="6" customFormat="false" ht="43.5" hidden="false" customHeight="true" outlineLevel="0" collapsed="false">
      <c r="A6" s="123" t="s">
        <v>1052</v>
      </c>
      <c r="B6" s="166" t="n">
        <f aca="false">'Proyección Final Soriana'!B265</f>
        <v>32.41476081702</v>
      </c>
      <c r="C6" s="172" t="n">
        <v>0.5</v>
      </c>
      <c r="D6" s="170" t="n">
        <f aca="false">1/3</f>
        <v>0.333333333333333</v>
      </c>
      <c r="E6" s="151" t="n">
        <f aca="false">IF(ISNUMBER(B6),B6*C6,0)</f>
        <v>16.20738040851</v>
      </c>
      <c r="F6" s="127" t="s">
        <v>1053</v>
      </c>
      <c r="G6" s="123" t="str">
        <f aca="false">IF(C6&gt;0,"Sí","No (referencia)")</f>
        <v>Sí</v>
      </c>
    </row>
    <row r="7" customFormat="false" ht="43.5" hidden="false" customHeight="true" outlineLevel="0" collapsed="false">
      <c r="A7" s="123" t="s">
        <v>1054</v>
      </c>
      <c r="B7" s="166" t="n">
        <f aca="false">'Trading Comps'!B83</f>
        <v>33.4928408544974</v>
      </c>
      <c r="C7" s="172" t="n">
        <v>0.5</v>
      </c>
      <c r="D7" s="170" t="n">
        <f aca="false">1/3</f>
        <v>0.333333333333333</v>
      </c>
      <c r="E7" s="151" t="n">
        <f aca="false">IF(ISNUMBER(B7),B7*C7,0)</f>
        <v>16.7464204272487</v>
      </c>
      <c r="F7" s="127" t="s">
        <v>1055</v>
      </c>
      <c r="G7" s="123" t="str">
        <f aca="false">IF(C7&gt;0,"Sí","No (referencia)")</f>
        <v>Sí</v>
      </c>
    </row>
    <row r="8" customFormat="false" ht="43.5" hidden="false" customHeight="true" outlineLevel="0" collapsed="false">
      <c r="A8" s="123" t="s">
        <v>1056</v>
      </c>
      <c r="B8" s="166" t="n">
        <f aca="false">'Precedent Transactions'!E54</f>
        <v>40.7283951666667</v>
      </c>
      <c r="C8" s="172" t="n">
        <v>0</v>
      </c>
      <c r="D8" s="170" t="n">
        <f aca="false">1/3</f>
        <v>0.333333333333333</v>
      </c>
      <c r="E8" s="151" t="n">
        <f aca="false">IF(ISNUMBER(B8),B8*C8,0)</f>
        <v>0</v>
      </c>
      <c r="F8" s="127" t="s">
        <v>1057</v>
      </c>
      <c r="G8" s="123" t="str">
        <f aca="false">IF(C8&gt;0,"Sí","No (referencia)")</f>
        <v>No (referencia)</v>
      </c>
    </row>
    <row r="9" customFormat="false" ht="15" hidden="false" customHeight="false" outlineLevel="0" collapsed="false">
      <c r="A9" s="0" t="s">
        <v>1058</v>
      </c>
      <c r="C9" s="173" t="n">
        <f aca="false">SUM(C6:C8)</f>
        <v>1</v>
      </c>
      <c r="D9" s="170" t="n">
        <f aca="false">SUM(D6:D8)</f>
        <v>1</v>
      </c>
    </row>
    <row r="11" customFormat="false" ht="28.35" hidden="false" customHeight="false" outlineLevel="0" collapsed="false">
      <c r="A11" s="123" t="s">
        <v>1059</v>
      </c>
      <c r="B11" s="165" t="n">
        <f aca="false">IF(ABS(C9-1)&gt;0.000000001,"Los pesos deben sumar 100%",IF(SUMPRODUCT((C6:C8&gt;0)*(1-ISNUMBER(B6:B8)))&gt;0,"NA: método con peso sin precio",SUMPRODUCT(B6:B8,C6:C8)))</f>
        <v>32.9538008357587</v>
      </c>
      <c r="F11" s="127" t="s">
        <v>1060</v>
      </c>
    </row>
    <row r="12" customFormat="false" ht="15" hidden="false" customHeight="false" outlineLevel="0" collapsed="false">
      <c r="A12" s="0" t="s">
        <v>1061</v>
      </c>
      <c r="B12" s="166" t="n">
        <f aca="false">Valuación!B42</f>
        <v>33.48</v>
      </c>
    </row>
    <row r="13" customFormat="false" ht="15" hidden="false" customHeight="false" outlineLevel="0" collapsed="false">
      <c r="A13" s="0" t="s">
        <v>1062</v>
      </c>
      <c r="B13" s="151" t="n">
        <f aca="false">B11-B12</f>
        <v>-0.526199164241341</v>
      </c>
    </row>
    <row r="14" customFormat="false" ht="15" hidden="false" customHeight="false" outlineLevel="0" collapsed="false">
      <c r="A14" s="0" t="s">
        <v>1063</v>
      </c>
      <c r="B14" s="128" t="n">
        <f aca="false">B11/B12-1</f>
        <v>-0.0157168209152133</v>
      </c>
    </row>
    <row r="16" customFormat="false" ht="15" hidden="false" customHeight="false" outlineLevel="0" collapsed="false">
      <c r="A16" s="0" t="s">
        <v>1064</v>
      </c>
      <c r="B16" s="151" t="n">
        <f aca="false">SUMPRODUCT(B6:B8,D6:D8)/D9</f>
        <v>35.5453322793947</v>
      </c>
      <c r="F16" s="36" t="s">
        <v>1065</v>
      </c>
    </row>
    <row r="18" customFormat="false" ht="15" hidden="false" customHeight="false" outlineLevel="0" collapsed="false">
      <c r="A18" s="121" t="s">
        <v>1066</v>
      </c>
      <c r="B18" s="122"/>
      <c r="C18" s="122"/>
      <c r="D18" s="122"/>
      <c r="E18" s="122"/>
      <c r="F18" s="122"/>
    </row>
    <row r="19" customFormat="false" ht="15" hidden="false" customHeight="false" outlineLevel="0" collapsed="false">
      <c r="A19" s="125" t="s">
        <v>1046</v>
      </c>
      <c r="B19" s="125" t="s">
        <v>1067</v>
      </c>
      <c r="C19" s="125" t="s">
        <v>1068</v>
      </c>
      <c r="D19" s="125" t="s">
        <v>1069</v>
      </c>
      <c r="E19" s="125"/>
      <c r="F19" s="125" t="s">
        <v>1070</v>
      </c>
    </row>
    <row r="20" customFormat="false" ht="15" hidden="false" customHeight="false" outlineLevel="0" collapsed="false">
      <c r="A20" s="0" t="s">
        <v>1071</v>
      </c>
      <c r="B20" s="151" t="n">
        <f aca="false">MIN(Validación!E9:G9)</f>
        <v>32.1277266764072</v>
      </c>
      <c r="C20" s="151" t="n">
        <f aca="false">B6</f>
        <v>32.41476081702</v>
      </c>
      <c r="D20" s="151" t="n">
        <f aca="false">MAX(Validación!E9:G9)</f>
        <v>32.9826142335012</v>
      </c>
      <c r="F20" s="36" t="s">
        <v>1072</v>
      </c>
    </row>
    <row r="21" customFormat="false" ht="15" hidden="false" customHeight="false" outlineLevel="0" collapsed="false">
      <c r="A21" s="0" t="s">
        <v>1054</v>
      </c>
      <c r="B21" s="151" t="n">
        <f aca="false">'Trading Comps'!B84</f>
        <v>27.031161037037</v>
      </c>
      <c r="C21" s="151" t="n">
        <f aca="false">B7</f>
        <v>33.4928408544974</v>
      </c>
      <c r="D21" s="151" t="n">
        <f aca="false">'Trading Comps'!B85</f>
        <v>40.0699866203704</v>
      </c>
      <c r="F21" s="36" t="s">
        <v>1073</v>
      </c>
    </row>
    <row r="22" customFormat="false" ht="15" hidden="false" customHeight="false" outlineLevel="0" collapsed="false">
      <c r="A22" s="0" t="s">
        <v>1074</v>
      </c>
      <c r="B22" s="151" t="n">
        <f aca="false">'Precedent Transactions'!E55</f>
        <v>24.7618473333333</v>
      </c>
      <c r="C22" s="151" t="n">
        <f aca="false">B8</f>
        <v>40.7283951666667</v>
      </c>
      <c r="D22" s="151" t="n">
        <f aca="false">'Precedent Transactions'!F55</f>
        <v>65.4437363333333</v>
      </c>
      <c r="F22" s="36" t="s">
        <v>1075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8" min="2" style="0" width="16"/>
    <col collapsed="false" customWidth="true" hidden="false" outlineLevel="0" max="9" min="9" style="0" width="60"/>
  </cols>
  <sheetData>
    <row r="1" customFormat="false" ht="17.35" hidden="false" customHeight="false" outlineLevel="0" collapsed="false">
      <c r="A1" s="119" t="s">
        <v>1076</v>
      </c>
    </row>
    <row r="2" customFormat="false" ht="15" hidden="false" customHeight="false" outlineLevel="0" collapsed="false">
      <c r="A2" s="120" t="s">
        <v>1077</v>
      </c>
    </row>
    <row r="3" customFormat="false" ht="15" hidden="false" customHeight="false" outlineLevel="0" collapsed="false">
      <c r="A3" s="120" t="s">
        <v>638</v>
      </c>
    </row>
    <row r="5" customFormat="false" ht="15" hidden="false" customHeight="false" outlineLevel="0" collapsed="false">
      <c r="A5" s="121" t="s">
        <v>1078</v>
      </c>
      <c r="B5" s="122"/>
      <c r="C5" s="122"/>
      <c r="D5" s="122"/>
      <c r="E5" s="122"/>
      <c r="F5" s="122"/>
      <c r="G5" s="122"/>
      <c r="H5" s="122"/>
      <c r="I5" s="122"/>
    </row>
    <row r="6" customFormat="false" ht="28.35" hidden="false" customHeight="false" outlineLevel="0" collapsed="false">
      <c r="A6" s="125" t="s">
        <v>1079</v>
      </c>
      <c r="B6" s="125" t="s">
        <v>1080</v>
      </c>
      <c r="C6" s="125" t="s">
        <v>1081</v>
      </c>
      <c r="D6" s="125" t="s">
        <v>1082</v>
      </c>
      <c r="E6" s="125" t="s">
        <v>709</v>
      </c>
      <c r="F6" s="125" t="s">
        <v>1083</v>
      </c>
      <c r="G6" s="125" t="s">
        <v>715</v>
      </c>
      <c r="H6" s="125" t="s">
        <v>1084</v>
      </c>
      <c r="I6" s="125" t="s">
        <v>1085</v>
      </c>
    </row>
    <row r="7" customFormat="false" ht="55.2" hidden="false" customHeight="false" outlineLevel="0" collapsed="false">
      <c r="A7" s="0" t="s">
        <v>1086</v>
      </c>
      <c r="B7" s="0" t="s">
        <v>1087</v>
      </c>
      <c r="C7" s="152" t="n">
        <v>0.0393</v>
      </c>
      <c r="D7" s="152" t="n">
        <v>0.0393</v>
      </c>
      <c r="E7" s="152" t="n">
        <v>0.0326</v>
      </c>
      <c r="F7" s="152" t="n">
        <v>0.0351</v>
      </c>
      <c r="G7" s="152" t="n">
        <v>0.04</v>
      </c>
      <c r="H7" s="152" t="n">
        <v>0.0351</v>
      </c>
      <c r="I7" s="127" t="s">
        <v>1088</v>
      </c>
    </row>
    <row r="8" customFormat="false" ht="15" hidden="false" customHeight="false" outlineLevel="0" collapsed="false">
      <c r="A8" s="0" t="s">
        <v>1089</v>
      </c>
      <c r="B8" s="0" t="s">
        <v>1090</v>
      </c>
      <c r="C8" s="141" t="n">
        <v>0.8</v>
      </c>
      <c r="D8" s="141" t="n">
        <v>0.65</v>
      </c>
      <c r="E8" s="141" t="n">
        <v>0.65</v>
      </c>
      <c r="F8" s="141" t="n">
        <v>0.65</v>
      </c>
      <c r="G8" s="141" t="n">
        <v>0.65</v>
      </c>
      <c r="H8" s="141" t="n">
        <v>0.8</v>
      </c>
    </row>
    <row r="9" customFormat="false" ht="15" hidden="false" customHeight="false" outlineLevel="0" collapsed="false">
      <c r="A9" s="0" t="s">
        <v>1091</v>
      </c>
      <c r="B9" s="0" t="s">
        <v>1092</v>
      </c>
      <c r="C9" s="174" t="n">
        <v>31.1644164222087</v>
      </c>
      <c r="D9" s="174" t="n">
        <v>32.7626697691937</v>
      </c>
      <c r="E9" s="174" t="n">
        <v>32.1277266764072</v>
      </c>
      <c r="F9" s="174" t="n">
        <v>32.41476081702</v>
      </c>
      <c r="G9" s="174" t="n">
        <v>32.9826142335012</v>
      </c>
      <c r="H9" s="174" t="n">
        <v>30.8320001045245</v>
      </c>
    </row>
    <row r="10" customFormat="false" ht="15" hidden="false" customHeight="false" outlineLevel="0" collapsed="false">
      <c r="A10" s="0" t="s">
        <v>826</v>
      </c>
      <c r="B10" s="0" t="s">
        <v>1093</v>
      </c>
      <c r="C10" s="159" t="n">
        <v>56095.9495599756</v>
      </c>
      <c r="D10" s="159" t="n">
        <v>58972.8055845486</v>
      </c>
      <c r="E10" s="159" t="n">
        <v>57829.9080175329</v>
      </c>
      <c r="F10" s="159" t="n">
        <v>58346.5694706359</v>
      </c>
      <c r="G10" s="159" t="n">
        <v>59368.7056203021</v>
      </c>
      <c r="H10" s="159" t="n">
        <v>55497.600188144</v>
      </c>
    </row>
    <row r="11" customFormat="false" ht="15" hidden="false" customHeight="false" outlineLevel="0" collapsed="false">
      <c r="A11" s="0" t="s">
        <v>825</v>
      </c>
      <c r="B11" s="0" t="s">
        <v>1094</v>
      </c>
      <c r="C11" s="159" t="n">
        <v>66235.7966207374</v>
      </c>
      <c r="D11" s="159" t="n">
        <v>69137.9010885246</v>
      </c>
      <c r="E11" s="159" t="n">
        <v>68089.7859171204</v>
      </c>
      <c r="F11" s="159" t="n">
        <v>68563.6049722872</v>
      </c>
      <c r="G11" s="159" t="n">
        <v>69500.9777257914</v>
      </c>
      <c r="H11" s="159" t="n">
        <v>65689.3600289305</v>
      </c>
    </row>
    <row r="12" customFormat="false" ht="15" hidden="false" customHeight="false" outlineLevel="0" collapsed="false">
      <c r="A12" s="0" t="s">
        <v>822</v>
      </c>
      <c r="B12" s="0" t="s">
        <v>1095</v>
      </c>
      <c r="C12" s="175" t="n">
        <v>0.118773444494561</v>
      </c>
      <c r="D12" s="175" t="n">
        <v>0.113514860954063</v>
      </c>
      <c r="E12" s="175" t="n">
        <v>0.11339818682361</v>
      </c>
      <c r="F12" s="175" t="n">
        <v>0.113451071262412</v>
      </c>
      <c r="G12" s="175" t="n">
        <v>0.113553863142439</v>
      </c>
      <c r="H12" s="175" t="n">
        <v>0.118703481777349</v>
      </c>
    </row>
    <row r="13" customFormat="false" ht="15" hidden="false" customHeight="false" outlineLevel="0" collapsed="false">
      <c r="A13" s="0" t="s">
        <v>821</v>
      </c>
      <c r="B13" s="0" t="s">
        <v>1096</v>
      </c>
      <c r="C13" s="175" t="n">
        <v>0.139513805920387</v>
      </c>
      <c r="D13" s="175" t="n">
        <v>0.130542172411849</v>
      </c>
      <c r="E13" s="175" t="n">
        <v>0.13068375792413</v>
      </c>
      <c r="F13" s="175" t="n">
        <v>0.130619401464674</v>
      </c>
      <c r="G13" s="175" t="n">
        <v>0.130495166234384</v>
      </c>
      <c r="H13" s="175" t="n">
        <v>0.139617200207656</v>
      </c>
    </row>
    <row r="14" customFormat="false" ht="15" hidden="false" customHeight="false" outlineLevel="0" collapsed="false">
      <c r="A14" s="0" t="s">
        <v>820</v>
      </c>
      <c r="B14" s="0" t="s">
        <v>1097</v>
      </c>
      <c r="C14" s="135" t="n">
        <v>1.04831692483184</v>
      </c>
      <c r="D14" s="135" t="n">
        <v>0.836221570020082</v>
      </c>
      <c r="E14" s="135" t="n">
        <v>0.839568745251305</v>
      </c>
      <c r="F14" s="135" t="n">
        <v>0.838047315949747</v>
      </c>
      <c r="G14" s="135" t="n">
        <v>0.835110312869608</v>
      </c>
      <c r="H14" s="135" t="n">
        <v>1.05076123422354</v>
      </c>
    </row>
    <row r="15" customFormat="false" ht="15" hidden="false" customHeight="false" outlineLevel="0" collapsed="false">
      <c r="A15" s="0" t="s">
        <v>823</v>
      </c>
      <c r="B15" s="0" t="s">
        <v>1098</v>
      </c>
      <c r="C15" s="175" t="n">
        <v>0.125008009155719</v>
      </c>
      <c r="D15" s="175" t="n">
        <v>0.119198962792971</v>
      </c>
      <c r="E15" s="175" t="n">
        <v>0.119198962792971</v>
      </c>
      <c r="F15" s="175" t="n">
        <v>0.119198962792971</v>
      </c>
      <c r="G15" s="175" t="n">
        <v>0.119198962792971</v>
      </c>
      <c r="H15" s="175" t="n">
        <v>0.125008009155719</v>
      </c>
    </row>
    <row r="16" customFormat="false" ht="15" hidden="false" customHeight="false" outlineLevel="0" collapsed="false">
      <c r="A16" s="0" t="s">
        <v>824</v>
      </c>
      <c r="B16" s="0" t="s">
        <v>1099</v>
      </c>
      <c r="C16" s="175" t="n">
        <v>0.138293538829152</v>
      </c>
      <c r="D16" s="175" t="n">
        <v>0.130207875298686</v>
      </c>
      <c r="E16" s="175" t="n">
        <v>0.130207875298686</v>
      </c>
      <c r="F16" s="175" t="n">
        <v>0.130207875298686</v>
      </c>
      <c r="G16" s="175" t="n">
        <v>0.130207875298686</v>
      </c>
      <c r="H16" s="175" t="n">
        <v>0.138293538829152</v>
      </c>
    </row>
    <row r="17" customFormat="false" ht="15" hidden="false" customHeight="false" outlineLevel="0" collapsed="false">
      <c r="A17" s="0" t="s">
        <v>1100</v>
      </c>
      <c r="B17" s="0" t="s">
        <v>1101</v>
      </c>
      <c r="C17" s="159" t="n">
        <v>6469.96939527314</v>
      </c>
      <c r="D17" s="159" t="n">
        <v>6469.96939527314</v>
      </c>
      <c r="E17" s="159" t="n">
        <v>6352.19247252571</v>
      </c>
      <c r="F17" s="159" t="n">
        <v>6405.89773459684</v>
      </c>
      <c r="G17" s="159" t="n">
        <v>6512.20180212189</v>
      </c>
      <c r="H17" s="159" t="n">
        <v>6405.89773459684</v>
      </c>
    </row>
    <row r="18" customFormat="false" ht="15" hidden="false" customHeight="false" outlineLevel="0" collapsed="false">
      <c r="A18" s="0" t="s">
        <v>1102</v>
      </c>
      <c r="B18" s="0" t="s">
        <v>1103</v>
      </c>
      <c r="C18" s="159" t="n">
        <v>178318.181982077</v>
      </c>
      <c r="D18" s="159" t="n">
        <v>178318.181982077</v>
      </c>
      <c r="E18" s="159" t="n">
        <v>174699.565467782</v>
      </c>
      <c r="F18" s="159" t="n">
        <v>176368.459696609</v>
      </c>
      <c r="G18" s="159" t="n">
        <v>179676.459366934</v>
      </c>
      <c r="H18" s="159" t="n">
        <v>176368.459696609</v>
      </c>
    </row>
    <row r="19" customFormat="false" ht="15" hidden="false" customHeight="false" outlineLevel="0" collapsed="false">
      <c r="A19" s="0" t="s">
        <v>828</v>
      </c>
      <c r="B19" s="0" t="s">
        <v>1104</v>
      </c>
      <c r="C19" s="174" t="n">
        <v>32.328628638353</v>
      </c>
      <c r="D19" s="174" t="n">
        <v>33.1277553118455</v>
      </c>
      <c r="E19" s="174" t="n">
        <v>32.8102837654523</v>
      </c>
      <c r="F19" s="174" t="n">
        <v>32.9538008357587</v>
      </c>
      <c r="G19" s="174" t="n">
        <v>33.2377275439993</v>
      </c>
      <c r="H19" s="174" t="n">
        <v>32.1624204795109</v>
      </c>
    </row>
    <row r="21" customFormat="false" ht="15" hidden="false" customHeight="false" outlineLevel="0" collapsed="false">
      <c r="A21" s="121" t="s">
        <v>1105</v>
      </c>
      <c r="B21" s="122"/>
      <c r="C21" s="122"/>
      <c r="D21" s="122"/>
      <c r="E21" s="122"/>
      <c r="F21" s="122"/>
      <c r="G21" s="122"/>
      <c r="H21" s="122"/>
      <c r="I21" s="122"/>
    </row>
    <row r="22" customFormat="false" ht="41.75" hidden="false" customHeight="false" outlineLevel="0" collapsed="false">
      <c r="A22" s="125" t="s">
        <v>1106</v>
      </c>
      <c r="B22" s="125" t="s">
        <v>1107</v>
      </c>
      <c r="C22" s="125" t="s">
        <v>1108</v>
      </c>
      <c r="D22" s="125" t="s">
        <v>834</v>
      </c>
      <c r="E22" s="125" t="s">
        <v>1109</v>
      </c>
      <c r="F22" s="125"/>
      <c r="G22" s="125" t="s">
        <v>933</v>
      </c>
      <c r="H22" s="125" t="s">
        <v>1110</v>
      </c>
    </row>
    <row r="23" customFormat="false" ht="28.35" hidden="false" customHeight="false" outlineLevel="0" collapsed="false">
      <c r="A23" s="0" t="s">
        <v>1111</v>
      </c>
      <c r="B23" s="132" t="n">
        <f aca="false">SUMPRODUCT(ABS('Proyección Final Soriana'!B97:G97))</f>
        <v>0</v>
      </c>
      <c r="C23" s="132" t="n">
        <v>0</v>
      </c>
      <c r="D23" s="176" t="n">
        <f aca="false">IF(AND(ISNUMBER(B23),ISNUMBER(C23)),B23-C23,"n/a")</f>
        <v>0</v>
      </c>
      <c r="E23" s="0" t="n">
        <v>0.5</v>
      </c>
      <c r="G23" s="123" t="str">
        <f aca="false">IF(ISNUMBER(D23),IF(ABS(D23)&lt;=E23,"PASS","FAIL"),"FAIL")</f>
        <v>PASS</v>
      </c>
      <c r="H23" s="127" t="s">
        <v>1112</v>
      </c>
    </row>
    <row r="24" customFormat="false" ht="41.75" hidden="false" customHeight="false" outlineLevel="0" collapsed="false">
      <c r="A24" s="0" t="s">
        <v>1113</v>
      </c>
      <c r="B24" s="132" t="n">
        <f aca="false">'Proyección Final Soriana'!B126-'Proyección Final Soriana'!B123</f>
        <v>0.0784510712624125</v>
      </c>
      <c r="C24" s="132" t="s">
        <v>1114</v>
      </c>
      <c r="G24" s="123" t="str">
        <f aca="false">IF(B24&gt;0,"PASS","FAIL")</f>
        <v>PASS</v>
      </c>
      <c r="H24" s="127" t="s">
        <v>1115</v>
      </c>
    </row>
    <row r="25" customFormat="false" ht="28.35" hidden="false" customHeight="false" outlineLevel="0" collapsed="false">
      <c r="A25" s="0" t="s">
        <v>1116</v>
      </c>
      <c r="B25" s="132" t="n">
        <f aca="false">ABS('Proyección Final Soriana'!G219-'Proyección Final Soriana'!G218)</f>
        <v>7.11620870563756E-008</v>
      </c>
      <c r="C25" s="132" t="n">
        <v>0</v>
      </c>
      <c r="D25" s="176" t="n">
        <f aca="false">IF(AND(ISNUMBER(B25),ISNUMBER(C25)),B25-C25,"n/a")</f>
        <v>7.11620870563756E-008</v>
      </c>
      <c r="E25" s="0" t="n">
        <v>1E-006</v>
      </c>
      <c r="G25" s="123" t="str">
        <f aca="false">IF(ISNUMBER(D25),IF(ABS(D25)&lt;=E25,"PASS","FAIL"),"FAIL")</f>
        <v>PASS</v>
      </c>
      <c r="H25" s="127" t="s">
        <v>1117</v>
      </c>
    </row>
    <row r="26" customFormat="false" ht="28.35" hidden="false" customHeight="false" outlineLevel="0" collapsed="false">
      <c r="A26" s="0" t="s">
        <v>1118</v>
      </c>
      <c r="B26" s="132" t="n">
        <f aca="false">'Proyección Final Soriana'!B134</f>
        <v>23066.2909319912</v>
      </c>
      <c r="C26" s="132" t="n">
        <f aca="false">SUMPRODUCT('Proyección Final Soriana'!C117:G117,'Proyección Final Soriana'!C119:G119)</f>
        <v>23066.2909319912</v>
      </c>
      <c r="D26" s="176" t="n">
        <f aca="false">IF(AND(ISNUMBER(B26),ISNUMBER(C26)),B26-C26,"n/a")</f>
        <v>0</v>
      </c>
      <c r="E26" s="0" t="n">
        <v>1E-006</v>
      </c>
      <c r="G26" s="123" t="str">
        <f aca="false">IF(ISNUMBER(D26),IF(ABS(D26)&lt;=E26,"PASS","FAIL"),"FAIL")</f>
        <v>PASS</v>
      </c>
      <c r="H26" s="127" t="s">
        <v>1119</v>
      </c>
    </row>
    <row r="27" customFormat="false" ht="28.35" hidden="false" customHeight="false" outlineLevel="0" collapsed="false">
      <c r="A27" s="0" t="s">
        <v>1120</v>
      </c>
      <c r="B27" s="132" t="n">
        <f aca="false">'Proyección Final Soriana'!G119</f>
        <v>0.584311337061889</v>
      </c>
      <c r="C27" s="132" t="n">
        <f aca="false">1/(1+'Proyección Final Soriana'!B126)^5</f>
        <v>0.584311337061889</v>
      </c>
      <c r="D27" s="176" t="n">
        <f aca="false">IF(AND(ISNUMBER(B27),ISNUMBER(C27)),B27-C27,"n/a")</f>
        <v>0</v>
      </c>
      <c r="E27" s="0" t="n">
        <v>1E-012</v>
      </c>
      <c r="G27" s="123" t="str">
        <f aca="false">IF(ISNUMBER(D27),IF(ABS(D27)&lt;=E27,"PASS","FAIL"),"FAIL")</f>
        <v>PASS</v>
      </c>
      <c r="H27" s="127" t="s">
        <v>1121</v>
      </c>
    </row>
    <row r="28" customFormat="false" ht="15" hidden="false" customHeight="false" outlineLevel="0" collapsed="false">
      <c r="A28" s="0" t="s">
        <v>1122</v>
      </c>
      <c r="B28" s="132" t="n">
        <f aca="false">'Proyección Final Soriana'!B129</f>
        <v>84512.601913753</v>
      </c>
      <c r="C28" s="132" t="n">
        <f aca="false">'Proyección Final Soriana'!G117*(1+'Proyección Final Soriana'!B123)/('Proyección Final Soriana'!B126-'Proyección Final Soriana'!B123)</f>
        <v>84512.601913753</v>
      </c>
      <c r="D28" s="176" t="n">
        <f aca="false">IF(AND(ISNUMBER(B28),ISNUMBER(C28)),B28-C28,"n/a")</f>
        <v>0</v>
      </c>
      <c r="E28" s="0" t="n">
        <v>1E-006</v>
      </c>
      <c r="G28" s="123" t="str">
        <f aca="false">IF(ISNUMBER(D28),IF(ABS(D28)&lt;=E28,"PASS","FAIL"),"FAIL")</f>
        <v>PASS</v>
      </c>
      <c r="H28" s="127" t="s">
        <v>1123</v>
      </c>
    </row>
    <row r="29" customFormat="false" ht="28.35" hidden="false" customHeight="false" outlineLevel="0" collapsed="false">
      <c r="A29" s="0" t="s">
        <v>1124</v>
      </c>
      <c r="B29" s="132" t="n">
        <f aca="false">'Proyección Final Soriana'!G117</f>
        <v>6405.89773459684</v>
      </c>
      <c r="C29" s="132" t="n">
        <f aca="false">'Proyección Final Soriana'!G73*(1-'Proyección Final Soriana'!G55)-'Proyección Final Soriana'!G72+'Proyección Final Soriana'!G104+('Proyección Final Soriana'!G102+'Proyección Final Soriana'!G103+'Proyección Final Soriana'!G105)</f>
        <v>6405.89773459684</v>
      </c>
      <c r="D29" s="176" t="n">
        <f aca="false">IF(AND(ISNUMBER(B29),ISNUMBER(C29)),B29-C29,"n/a")</f>
        <v>0</v>
      </c>
      <c r="E29" s="0" t="n">
        <v>1E-006</v>
      </c>
      <c r="G29" s="123" t="str">
        <f aca="false">IF(ISNUMBER(D29),IF(ABS(D29)&lt;=E29,"PASS","FAIL"),"FAIL")</f>
        <v>PASS</v>
      </c>
      <c r="H29" s="127" t="s">
        <v>1125</v>
      </c>
    </row>
    <row r="30" customFormat="false" ht="28.35" hidden="false" customHeight="false" outlineLevel="0" collapsed="false">
      <c r="A30" s="0" t="s">
        <v>1126</v>
      </c>
      <c r="B30" s="132" t="n">
        <f aca="false">'Proyección Final Soriana'!B262</f>
        <v>56563.7399360682</v>
      </c>
      <c r="C30" s="132" t="n">
        <f aca="false">'Proyección Final Soriana'!B258-(Datos!F25+Datos!F26)-(Datos!F27+Datos!F28)+Datos!F17</f>
        <v>56563.7399360682</v>
      </c>
      <c r="D30" s="176" t="n">
        <f aca="false">IF(AND(ISNUMBER(B30),ISNUMBER(C30)),B30-C30,"n/a")</f>
        <v>0</v>
      </c>
      <c r="E30" s="0" t="n">
        <v>1E-006</v>
      </c>
      <c r="G30" s="123" t="str">
        <f aca="false">IF(ISNUMBER(D30),IF(ABS(D30)&lt;=E30,"PASS","FAIL"),"FAIL")</f>
        <v>PASS</v>
      </c>
      <c r="H30" s="127" t="s">
        <v>1127</v>
      </c>
    </row>
    <row r="31" customFormat="false" ht="68.65" hidden="false" customHeight="false" outlineLevel="0" collapsed="false">
      <c r="A31" s="0" t="s">
        <v>1128</v>
      </c>
      <c r="B31" s="132" t="n">
        <f aca="false">'Proyección Final Soriana'!B257</f>
        <v>1060.497</v>
      </c>
      <c r="C31" s="132" t="n">
        <f aca="false">-((Datos!E15+Datos!F15)-(Datos!E16+Datos!F16))</f>
        <v>1060.497</v>
      </c>
      <c r="D31" s="176" t="n">
        <f aca="false">IF(AND(ISNUMBER(B31),ISNUMBER(C31)),B31-C31,"n/a")</f>
        <v>0</v>
      </c>
      <c r="E31" s="0" t="n">
        <v>1E-009</v>
      </c>
      <c r="G31" s="123" t="str">
        <f aca="false">IF(ISNUMBER(D31),IF(ABS(D31)&lt;=E31,"PASS","FAIL"),"FAIL")</f>
        <v>PASS</v>
      </c>
      <c r="H31" s="127" t="s">
        <v>1129</v>
      </c>
    </row>
    <row r="32" customFormat="false" ht="15" hidden="false" customHeight="false" outlineLevel="0" collapsed="false">
      <c r="A32" s="0" t="s">
        <v>1130</v>
      </c>
      <c r="B32" s="132" t="n">
        <f aca="false">'Proyección Final Soriana'!B265</f>
        <v>32.41476081702</v>
      </c>
      <c r="C32" s="132" t="n">
        <f aca="false">'Proyección Final Soriana'!B263/WACC!B17</f>
        <v>32.41476081702</v>
      </c>
      <c r="D32" s="176" t="n">
        <f aca="false">IF(AND(ISNUMBER(B32),ISNUMBER(C32)),B32-C32,"n/a")</f>
        <v>0</v>
      </c>
      <c r="E32" s="0" t="n">
        <v>1E-009</v>
      </c>
      <c r="G32" s="123" t="str">
        <f aca="false">IF(ISNUMBER(D32),IF(ABS(D32)&lt;=E32,"PASS","FAIL"),"FAIL")</f>
        <v>PASS</v>
      </c>
      <c r="H32" s="127" t="s">
        <v>1131</v>
      </c>
    </row>
    <row r="33" customFormat="false" ht="68.65" hidden="false" customHeight="false" outlineLevel="0" collapsed="false">
      <c r="A33" s="0" t="s">
        <v>1132</v>
      </c>
      <c r="B33" s="132" t="n">
        <f aca="false">'Proyección Final Soriana'!B265</f>
        <v>32.41476081702</v>
      </c>
      <c r="C33" s="132" t="n">
        <f aca="false">IF(AND(Inflación!$B$6=0,'Beta y Kd'!$B$27=0),C9,IF(AND(Inflación!$B$6=0,'Beta y Kd'!$B$27=1),D9,IF(AND(Inflación!$B$6=1,'Beta y Kd'!$B$27=1),E9,IF(AND(Inflación!$B$6=2,'Beta y Kd'!$B$27=1),F9,IF(AND(Inflación!$B$6=3,'Beta y Kd'!$B$27=1),G9,IF(AND(Inflación!$B$6=2,'Beta y Kd'!$B$27=0),H9,"sin registro"))))))</f>
        <v>32.41476081702</v>
      </c>
      <c r="D33" s="176" t="n">
        <f aca="false">IF(AND(ISNUMBER(B33),ISNUMBER(C33)),B33-C33,"n/a")</f>
        <v>0</v>
      </c>
      <c r="E33" s="0" t="n">
        <v>1E-006</v>
      </c>
      <c r="G33" s="123" t="str">
        <f aca="false">IF(ISNUMBER(D33),IF(ABS(D33)&lt;=E33,"PASS","FAIL"),"FAIL")</f>
        <v>PASS</v>
      </c>
      <c r="H33" s="127" t="s">
        <v>1133</v>
      </c>
    </row>
    <row r="34" customFormat="false" ht="95.5" hidden="false" customHeight="false" outlineLevel="0" collapsed="false">
      <c r="A34" s="0" t="s">
        <v>1134</v>
      </c>
      <c r="B34" s="132" t="n">
        <f aca="false">C9</f>
        <v>31.1644164222087</v>
      </c>
      <c r="C34" s="132" t="n">
        <v>31.1644164222087</v>
      </c>
      <c r="D34" s="176" t="n">
        <f aca="false">IF(AND(ISNUMBER(B34),ISNUMBER(C34)),B34-C34,"n/a")</f>
        <v>0</v>
      </c>
      <c r="E34" s="0" t="n">
        <v>1E-006</v>
      </c>
      <c r="G34" s="123" t="str">
        <f aca="false">IF(ISNUMBER(D34),IF(ABS(D34)&lt;=E34,"PASS","FAIL"),"FAIL")</f>
        <v>PASS</v>
      </c>
      <c r="H34" s="127" t="s">
        <v>1135</v>
      </c>
    </row>
    <row r="35" customFormat="false" ht="95.5" hidden="false" customHeight="false" outlineLevel="0" collapsed="false">
      <c r="A35" s="0" t="s">
        <v>1136</v>
      </c>
      <c r="B35" s="132" t="n">
        <f aca="false">IF(AND(E9&lt;F9,F9&lt;G9),1,0)</f>
        <v>1</v>
      </c>
      <c r="C35" s="132" t="n">
        <v>1</v>
      </c>
      <c r="D35" s="176" t="n">
        <f aca="false">IF(AND(ISNUMBER(B35),ISNUMBER(C35)),B35-C35,"n/a")</f>
        <v>0</v>
      </c>
      <c r="E35" s="0" t="n">
        <v>0</v>
      </c>
      <c r="G35" s="123" t="str">
        <f aca="false">IF(ISNUMBER(D35),IF(ABS(D35)&lt;=E35,"PASS","FAIL"),"FAIL")</f>
        <v>PASS</v>
      </c>
      <c r="H35" s="127" t="s">
        <v>1137</v>
      </c>
    </row>
    <row r="36" customFormat="false" ht="41.75" hidden="false" customHeight="false" outlineLevel="0" collapsed="false">
      <c r="A36" s="0" t="s">
        <v>1138</v>
      </c>
      <c r="B36" s="132" t="n">
        <f aca="false">'Beta y Kd'!B18</f>
        <v>0.647803675992488</v>
      </c>
      <c r="C36" s="132" t="n">
        <f aca="false">'Beta y Kd'!B15</f>
        <v>0.65</v>
      </c>
      <c r="D36" s="176" t="n">
        <f aca="false">IF(AND(ISNUMBER(B36),ISNUMBER(C36)),B36-C36,"n/a")</f>
        <v>-0.00219632400751191</v>
      </c>
      <c r="E36" s="0" t="n">
        <v>0.005</v>
      </c>
      <c r="G36" s="123" t="str">
        <f aca="false">IF(ISNUMBER(D36),IF(ABS(D36)&lt;=E36,"PASS","FAIL"),"FAIL")</f>
        <v>PASS</v>
      </c>
      <c r="H36" s="127" t="s">
        <v>1139</v>
      </c>
    </row>
    <row r="37" customFormat="false" ht="28.35" hidden="false" customHeight="false" outlineLevel="0" collapsed="false">
      <c r="A37" s="0" t="s">
        <v>1140</v>
      </c>
      <c r="B37" s="132" t="n">
        <f aca="false">'Beta y Kd'!B28</f>
        <v>0.65</v>
      </c>
      <c r="C37" s="132" t="n">
        <f aca="false">IF('Beta y Kd'!$B$27=1,'Beta y Kd'!B15,'Beta y Kd'!B26)</f>
        <v>0.65</v>
      </c>
      <c r="D37" s="176" t="n">
        <f aca="false">IF(AND(ISNUMBER(B37),ISNUMBER(C37)),B37-C37,"n/a")</f>
        <v>0</v>
      </c>
      <c r="E37" s="0" t="n">
        <v>0</v>
      </c>
      <c r="G37" s="123" t="str">
        <f aca="false">IF(ISNUMBER(D37),IF(ABS(D37)&lt;=E37,"PASS","FAIL"),"FAIL")</f>
        <v>PASS</v>
      </c>
      <c r="H37" s="127" t="s">
        <v>1141</v>
      </c>
    </row>
    <row r="38" customFormat="false" ht="55.2" hidden="false" customHeight="false" outlineLevel="0" collapsed="false">
      <c r="A38" s="0" t="s">
        <v>1142</v>
      </c>
      <c r="B38" s="132" t="n">
        <f aca="false">WACC!B28</f>
        <v>0.828318564980751</v>
      </c>
      <c r="C38" s="132" t="n">
        <f aca="false">WACC!B9*(1+(1-WACC!B10)*WACC!B23)</f>
        <v>0.828318564980751</v>
      </c>
      <c r="D38" s="176" t="n">
        <f aca="false">IF(AND(ISNUMBER(B38),ISNUMBER(C38)),B38-C38,"n/a")</f>
        <v>0</v>
      </c>
      <c r="E38" s="0" t="n">
        <v>1E-012</v>
      </c>
      <c r="G38" s="123" t="str">
        <f aca="false">IF(ISNUMBER(D38),IF(ABS(D38)&lt;=E38,"PASS","FAIL"),"FAIL")</f>
        <v>PASS</v>
      </c>
      <c r="H38" s="127" t="s">
        <v>1143</v>
      </c>
    </row>
    <row r="39" customFormat="false" ht="55.2" hidden="false" customHeight="false" outlineLevel="0" collapsed="false">
      <c r="A39" s="0" t="s">
        <v>1144</v>
      </c>
      <c r="B39" s="132" t="n">
        <f aca="false">'Proyección Final Soriana'!E219</f>
        <v>0.838047315949747</v>
      </c>
      <c r="C39" s="132" t="n">
        <f aca="false">'Proyección Final Soriana'!B212*(1+(1-'Proyección Final Soriana'!B207)*'Proyección Final Soriana'!B209/'Proyección Final Soriana'!C219)</f>
        <v>0.838047315949747</v>
      </c>
      <c r="D39" s="176" t="n">
        <f aca="false">IF(AND(ISNUMBER(B39),ISNUMBER(C39)),B39-C39,"n/a")</f>
        <v>0</v>
      </c>
      <c r="E39" s="0" t="n">
        <v>1E-012</v>
      </c>
      <c r="G39" s="123" t="str">
        <f aca="false">IF(ISNUMBER(D39),IF(ABS(D39)&lt;=E39,"PASS","FAIL"),"FAIL")</f>
        <v>PASS</v>
      </c>
      <c r="H39" s="127" t="s">
        <v>1145</v>
      </c>
    </row>
    <row r="40" customFormat="false" ht="15" hidden="false" customHeight="false" outlineLevel="0" collapsed="false">
      <c r="A40" s="0" t="s">
        <v>1146</v>
      </c>
      <c r="B40" s="132" t="n">
        <f aca="false">'Proyección Final Soriana'!F219</f>
        <v>0.130619401464674</v>
      </c>
      <c r="C40" s="132" t="n">
        <f aca="false">'Proyección Final Soriana'!B210+'Proyección Final Soriana'!E219*'Proyección Final Soriana'!B211</f>
        <v>0.130619401464674</v>
      </c>
      <c r="D40" s="176" t="n">
        <f aca="false">IF(AND(ISNUMBER(B40),ISNUMBER(C40)),B40-C40,"n/a")</f>
        <v>0</v>
      </c>
      <c r="E40" s="0" t="n">
        <v>1E-012</v>
      </c>
      <c r="G40" s="123" t="str">
        <f aca="false">IF(ISNUMBER(D40),IF(ABS(D40)&lt;=E40,"PASS","FAIL"),"FAIL")</f>
        <v>PASS</v>
      </c>
      <c r="H40" s="127" t="s">
        <v>807</v>
      </c>
    </row>
    <row r="41" customFormat="false" ht="55.2" hidden="false" customHeight="false" outlineLevel="0" collapsed="false">
      <c r="A41" s="0" t="s">
        <v>1147</v>
      </c>
      <c r="B41" s="132" t="n">
        <f aca="false">'Proyección Final Soriana'!C61</f>
        <v>0.1</v>
      </c>
      <c r="C41" s="132" t="n">
        <f aca="false">(Datos!E10+Datos!F10)*2/Datos!F29</f>
        <v>0.0986484820696688</v>
      </c>
      <c r="D41" s="176" t="n">
        <f aca="false">IF(AND(ISNUMBER(B41),ISNUMBER(C41)),B41-C41,"n/a")</f>
        <v>0.00135151793033124</v>
      </c>
      <c r="E41" s="0" t="n">
        <v>0.005</v>
      </c>
      <c r="G41" s="123" t="str">
        <f aca="false">IF(ISNUMBER(D41),IF(ABS(D41)&lt;=E41,"PASS","FAIL"),"FAIL")</f>
        <v>PASS</v>
      </c>
      <c r="H41" s="127" t="s">
        <v>1148</v>
      </c>
    </row>
    <row r="42" customFormat="false" ht="41.75" hidden="false" customHeight="false" outlineLevel="0" collapsed="false">
      <c r="A42" s="0" t="s">
        <v>1149</v>
      </c>
      <c r="B42" s="132" t="n">
        <f aca="false">SUMPRODUCT(ABS('Proyección Final Soriana'!C10:G10-Inflación!B13:F13))</f>
        <v>0</v>
      </c>
      <c r="C42" s="132" t="n">
        <v>0</v>
      </c>
      <c r="D42" s="176" t="n">
        <f aca="false">IF(AND(ISNUMBER(B42),ISNUMBER(C42)),B42-C42,"n/a")</f>
        <v>0</v>
      </c>
      <c r="E42" s="0" t="n">
        <v>1E-012</v>
      </c>
      <c r="G42" s="123" t="str">
        <f aca="false">IF(ISNUMBER(D42),IF(ABS(D42)&lt;=E42,"PASS","FAIL"),"FAIL")</f>
        <v>PASS</v>
      </c>
      <c r="H42" s="127" t="s">
        <v>1150</v>
      </c>
    </row>
    <row r="43" customFormat="false" ht="28.35" hidden="false" customHeight="false" outlineLevel="0" collapsed="false">
      <c r="A43" s="0" t="s">
        <v>1151</v>
      </c>
      <c r="B43" s="132" t="n">
        <f aca="false">Inflación!B48</f>
        <v>0.0351</v>
      </c>
      <c r="C43" s="132" t="n">
        <f aca="false">ROUND(Inflación!C33*EXP(Inflación!D33*5),2)/100</f>
        <v>0.0351</v>
      </c>
      <c r="D43" s="176" t="n">
        <f aca="false">IF(AND(ISNUMBER(B43),ISNUMBER(C43)),B43-C43,"n/a")</f>
        <v>0</v>
      </c>
      <c r="E43" s="0" t="n">
        <v>1E-012</v>
      </c>
      <c r="G43" s="123" t="str">
        <f aca="false">IF(ISNUMBER(D43),IF(ABS(D43)&lt;=E43,"PASS","FAIL"),"FAIL")</f>
        <v>PASS</v>
      </c>
      <c r="H43" s="127" t="s">
        <v>1152</v>
      </c>
    </row>
    <row r="44" customFormat="false" ht="41.75" hidden="false" customHeight="false" outlineLevel="0" collapsed="false">
      <c r="A44" s="0" t="s">
        <v>1153</v>
      </c>
      <c r="B44" s="132" t="n">
        <f aca="false">Inflación!G33</f>
        <v>0.0350871363974646</v>
      </c>
      <c r="C44" s="132" t="n">
        <v>0.0351</v>
      </c>
      <c r="D44" s="176" t="n">
        <f aca="false">IF(AND(ISNUMBER(B44),ISNUMBER(C44)),B44-C44,"n/a")</f>
        <v>-1.2863602535447E-005</v>
      </c>
      <c r="E44" s="0" t="n">
        <v>0.0001</v>
      </c>
      <c r="G44" s="123" t="str">
        <f aca="false">IF(ISNUMBER(D44),IF(ABS(D44)&lt;=E44,"PASS","FAIL"),"FAIL")</f>
        <v>PASS</v>
      </c>
      <c r="H44" s="127" t="s">
        <v>1154</v>
      </c>
    </row>
    <row r="45" customFormat="false" ht="28.35" hidden="false" customHeight="false" outlineLevel="0" collapsed="false">
      <c r="A45" s="0" t="s">
        <v>1155</v>
      </c>
      <c r="B45" s="132" t="n">
        <f aca="false">Inflación!G32</f>
        <v>0.0350405233912861</v>
      </c>
      <c r="C45" s="132" t="n">
        <v>0.0350807936283421</v>
      </c>
      <c r="D45" s="176" t="n">
        <f aca="false">IF(AND(ISNUMBER(B45),ISNUMBER(C45)),B45-C45,"n/a")</f>
        <v>-4.02702370559255E-005</v>
      </c>
      <c r="E45" s="0" t="n">
        <v>0.0001</v>
      </c>
      <c r="G45" s="123" t="str">
        <f aca="false">IF(ISNUMBER(D45),IF(ABS(D45)&lt;=E45,"PASS","FAIL"),"FAIL")</f>
        <v>PASS</v>
      </c>
      <c r="H45" s="127" t="s">
        <v>1156</v>
      </c>
    </row>
    <row r="46" customFormat="false" ht="28.35" hidden="false" customHeight="false" outlineLevel="0" collapsed="false">
      <c r="A46" s="0" t="s">
        <v>1157</v>
      </c>
      <c r="B46" s="132" t="n">
        <f aca="false">Inflación!G36</f>
        <v>0.0326787650364365</v>
      </c>
      <c r="C46" s="132" t="n">
        <v>0.0326787671112565</v>
      </c>
      <c r="D46" s="176" t="n">
        <f aca="false">IF(AND(ISNUMBER(B46),ISNUMBER(C46)),B46-C46,"n/a")</f>
        <v>-2.07481996861159E-009</v>
      </c>
      <c r="E46" s="0" t="n">
        <v>1E-008</v>
      </c>
      <c r="G46" s="123" t="str">
        <f aca="false">IF(ISNUMBER(D46),IF(ABS(D46)&lt;=E46,"PASS","FAIL"),"FAIL")</f>
        <v>PASS</v>
      </c>
      <c r="H46" s="127" t="s">
        <v>1158</v>
      </c>
    </row>
    <row r="47" customFormat="false" ht="15" hidden="false" customHeight="false" outlineLevel="0" collapsed="false">
      <c r="A47" s="0" t="s">
        <v>1159</v>
      </c>
      <c r="B47" s="132" t="n">
        <f aca="false">VF_BETA_HISTORICA</f>
        <v>0.0414619566109314</v>
      </c>
      <c r="C47" s="132" t="n">
        <v>0.0414619566109315</v>
      </c>
      <c r="D47" s="176" t="n">
        <f aca="false">IF(AND(ISNUMBER(B47),ISNUMBER(C47)),B47-C47,"n/a")</f>
        <v>0</v>
      </c>
      <c r="E47" s="0" t="n">
        <v>1E-009</v>
      </c>
      <c r="G47" s="123" t="str">
        <f aca="false">IF(ISNUMBER(D47),IF(ABS(D47)&lt;=E47,"PASS","FAIL"),"FAIL")</f>
        <v>PASS</v>
      </c>
      <c r="H47" s="127" t="s">
        <v>1160</v>
      </c>
    </row>
    <row r="48" customFormat="false" ht="55.2" hidden="false" customHeight="false" outlineLevel="0" collapsed="false">
      <c r="A48" s="0" t="s">
        <v>1161</v>
      </c>
      <c r="B48" s="132" t="n">
        <f aca="false">'Trading Comps'!N21</f>
        <v>7.21</v>
      </c>
      <c r="C48" s="132" t="n">
        <f aca="false">'Trading Comps'!N20</f>
        <v>7.2</v>
      </c>
      <c r="D48" s="176" t="n">
        <f aca="false">IF(AND(ISNUMBER(B48),ISNUMBER(C48)),B48-C48,"n/a")</f>
        <v>0.0099999999999989</v>
      </c>
      <c r="E48" s="0" t="n">
        <v>0.051</v>
      </c>
      <c r="G48" s="123" t="str">
        <f aca="false">IF(ISNUMBER(D48),IF(ABS(D48)&lt;=E48,"PASS","FAIL"),"FAIL")</f>
        <v>PASS</v>
      </c>
      <c r="H48" s="127" t="s">
        <v>1162</v>
      </c>
    </row>
    <row r="49" customFormat="false" ht="15" hidden="false" customHeight="false" outlineLevel="0" collapsed="false">
      <c r="A49" s="0" t="s">
        <v>1163</v>
      </c>
      <c r="B49" s="132" t="n">
        <f aca="false">'Trading Comps'!P21</f>
        <v>14.61</v>
      </c>
      <c r="C49" s="132" t="n">
        <f aca="false">'Trading Comps'!P20</f>
        <v>14.6</v>
      </c>
      <c r="D49" s="176" t="n">
        <f aca="false">IF(AND(ISNUMBER(B49),ISNUMBER(C49)),B49-C49,"n/a")</f>
        <v>0.00999999999999979</v>
      </c>
      <c r="E49" s="0" t="n">
        <v>0.051</v>
      </c>
      <c r="G49" s="123" t="str">
        <f aca="false">IF(ISNUMBER(D49),IF(ABS(D49)&lt;=E49,"PASS","FAIL"),"FAIL")</f>
        <v>PASS</v>
      </c>
      <c r="H49" s="127" t="s">
        <v>1164</v>
      </c>
    </row>
    <row r="50" customFormat="false" ht="41.75" hidden="false" customHeight="false" outlineLevel="0" collapsed="false">
      <c r="A50" s="0" t="s">
        <v>1165</v>
      </c>
      <c r="B50" s="132" t="n">
        <f aca="false">'Trading Comps'!C68</f>
        <v>7.04285714285714</v>
      </c>
      <c r="C50" s="132" t="n">
        <f aca="false">SUMPRODUCT('Trading Comps'!N7:N16,'Trading Comps'!K7:K16)/SUM('Trading Comps'!K7:K16)</f>
        <v>7.04285714285714</v>
      </c>
      <c r="D50" s="176" t="n">
        <f aca="false">IF(AND(ISNUMBER(B50),ISNUMBER(C50)),B50-C50,"n/a")</f>
        <v>0</v>
      </c>
      <c r="E50" s="0" t="n">
        <v>1E-009</v>
      </c>
      <c r="G50" s="123" t="str">
        <f aca="false">IF(ISNUMBER(D50),IF(ABS(D50)&lt;=E50,"PASS","FAIL"),"FAIL")</f>
        <v>PASS</v>
      </c>
      <c r="H50" s="127" t="s">
        <v>1166</v>
      </c>
    </row>
    <row r="51" customFormat="false" ht="41.75" hidden="false" customHeight="false" outlineLevel="0" collapsed="false">
      <c r="A51" s="0" t="s">
        <v>1167</v>
      </c>
      <c r="B51" s="132" t="n">
        <f aca="false">'Trading Comps'!H68</f>
        <v>36.853929547619</v>
      </c>
      <c r="C51" s="132" t="n">
        <f aca="false">('Trading Comps'!C68*'Trading Comps'!B28+'Trading Comps'!B37)/'Trading Comps'!B30</f>
        <v>36.853929547619</v>
      </c>
      <c r="D51" s="176" t="n">
        <f aca="false">IF(AND(ISNUMBER(B51),ISNUMBER(C51)),B51-C51,"n/a")</f>
        <v>0</v>
      </c>
      <c r="E51" s="0" t="n">
        <v>1E-009</v>
      </c>
      <c r="G51" s="123" t="str">
        <f aca="false">IF(ISNUMBER(D51),IF(ABS(D51)&lt;=E51,"PASS","FAIL"),"FAIL")</f>
        <v>PASS</v>
      </c>
      <c r="H51" s="127" t="s">
        <v>1168</v>
      </c>
    </row>
    <row r="52" customFormat="false" ht="41.75" hidden="false" customHeight="false" outlineLevel="0" collapsed="false">
      <c r="A52" s="0" t="s">
        <v>1169</v>
      </c>
      <c r="B52" s="132" t="n">
        <f aca="false">'Trading Comps'!B83</f>
        <v>33.4928408544974</v>
      </c>
      <c r="C52" s="132" t="n">
        <f aca="false">AVERAGE('Trading Comps'!H68:J68)</f>
        <v>33.4928408544974</v>
      </c>
      <c r="D52" s="176" t="n">
        <f aca="false">IF(AND(ISNUMBER(B52),ISNUMBER(C52)),B52-C52,"n/a")</f>
        <v>0</v>
      </c>
      <c r="E52" s="0" t="n">
        <v>1E-009</v>
      </c>
      <c r="G52" s="123" t="str">
        <f aca="false">IF(ISNUMBER(D52),IF(ABS(D52)&lt;=E52,"PASS","FAIL"),"FAIL")</f>
        <v>PASS</v>
      </c>
      <c r="H52" s="127" t="s">
        <v>1170</v>
      </c>
    </row>
    <row r="53" customFormat="false" ht="28.35" hidden="false" customHeight="false" outlineLevel="0" collapsed="false">
      <c r="A53" s="0" t="s">
        <v>1171</v>
      </c>
      <c r="B53" s="132" t="n">
        <f aca="false">'Trading Comps'!C72</f>
        <v>7</v>
      </c>
      <c r="C53" s="132" t="n">
        <v>7</v>
      </c>
      <c r="D53" s="176" t="n">
        <f aca="false">IF(AND(ISNUMBER(B53),ISNUMBER(C53)),B53-C53,"n/a")</f>
        <v>0</v>
      </c>
      <c r="E53" s="0" t="n">
        <v>0</v>
      </c>
      <c r="G53" s="123" t="str">
        <f aca="false">IF(ISNUMBER(D53),IF(ABS(D53)&lt;=E53,"PASS","FAIL"),"FAIL")</f>
        <v>PASS</v>
      </c>
      <c r="H53" s="127" t="s">
        <v>1172</v>
      </c>
    </row>
    <row r="54" customFormat="false" ht="28.35" hidden="false" customHeight="false" outlineLevel="0" collapsed="false">
      <c r="A54" s="0" t="s">
        <v>1173</v>
      </c>
      <c r="B54" s="132" t="n">
        <f aca="false">'Precedent Transactions'!I34</f>
        <v>7.63333333333333</v>
      </c>
      <c r="C54" s="132" t="n">
        <f aca="false">'Precedent Transactions'!I17</f>
        <v>7.6</v>
      </c>
      <c r="D54" s="176" t="n">
        <f aca="false">IF(AND(ISNUMBER(B54),ISNUMBER(C54)),B54-C54,"n/a")</f>
        <v>0.0333333333333332</v>
      </c>
      <c r="E54" s="0" t="n">
        <v>0.051</v>
      </c>
      <c r="G54" s="123" t="str">
        <f aca="false">IF(ISNUMBER(D54),IF(ABS(D54)&lt;=E54,"PASS","FAIL"),"FAIL")</f>
        <v>PASS</v>
      </c>
      <c r="H54" s="127" t="s">
        <v>1174</v>
      </c>
    </row>
    <row r="55" customFormat="false" ht="15" hidden="false" customHeight="false" outlineLevel="0" collapsed="false">
      <c r="A55" s="0" t="s">
        <v>1175</v>
      </c>
      <c r="B55" s="132" t="n">
        <f aca="false">'Precedent Transactions'!H34</f>
        <v>0.733333333333333</v>
      </c>
      <c r="C55" s="132" t="n">
        <f aca="false">'Precedent Transactions'!H17</f>
        <v>0.7</v>
      </c>
      <c r="D55" s="176" t="n">
        <f aca="false">IF(AND(ISNUMBER(B55),ISNUMBER(C55)),B55-C55,"n/a")</f>
        <v>0.0333333333333334</v>
      </c>
      <c r="E55" s="0" t="n">
        <v>0.051</v>
      </c>
      <c r="G55" s="123" t="str">
        <f aca="false">IF(ISNUMBER(D55),IF(ABS(D55)&lt;=E55,"PASS","FAIL"),"FAIL")</f>
        <v>PASS</v>
      </c>
      <c r="H55" s="127" t="s">
        <v>1164</v>
      </c>
    </row>
    <row r="56" customFormat="false" ht="15" hidden="false" customHeight="false" outlineLevel="0" collapsed="false">
      <c r="A56" s="0" t="s">
        <v>1176</v>
      </c>
      <c r="B56" s="132" t="n">
        <f aca="false">'Valuación Combinada'!C9</f>
        <v>1</v>
      </c>
      <c r="C56" s="132" t="n">
        <v>1</v>
      </c>
      <c r="D56" s="176" t="n">
        <f aca="false">IF(AND(ISNUMBER(B56),ISNUMBER(C56)),B56-C56,"n/a")</f>
        <v>0</v>
      </c>
      <c r="E56" s="0" t="n">
        <v>1E-012</v>
      </c>
      <c r="G56" s="123" t="str">
        <f aca="false">IF(ISNUMBER(D56),IF(ABS(D56)&lt;=E56,"PASS","FAIL"),"FAIL")</f>
        <v>PASS</v>
      </c>
      <c r="H56" s="127" t="s">
        <v>1177</v>
      </c>
    </row>
    <row r="57" customFormat="false" ht="41.75" hidden="false" customHeight="false" outlineLevel="0" collapsed="false">
      <c r="A57" s="0" t="s">
        <v>1178</v>
      </c>
      <c r="B57" s="132" t="n">
        <f aca="false">'Valuación Combinada'!B11</f>
        <v>32.9538008357587</v>
      </c>
      <c r="C57" s="132" t="n">
        <f aca="false">'Valuación Combinada'!B6*'Valuación Combinada'!C6+'Valuación Combinada'!B7*'Valuación Combinada'!C7+IF(ISNUMBER('Valuación Combinada'!B8),'Valuación Combinada'!B8*'Valuación Combinada'!C8,0)</f>
        <v>32.9538008357587</v>
      </c>
      <c r="D57" s="176" t="n">
        <f aca="false">IF(AND(ISNUMBER(B57),ISNUMBER(C57)),B57-C57,"n/a")</f>
        <v>0</v>
      </c>
      <c r="E57" s="0" t="n">
        <v>1E-009</v>
      </c>
      <c r="G57" s="123" t="str">
        <f aca="false">IF(ISNUMBER(D57),IF(ABS(D57)&lt;=E57,"PASS","FAIL"),"FAIL")</f>
        <v>PASS</v>
      </c>
      <c r="H57" s="127" t="s">
        <v>1179</v>
      </c>
    </row>
    <row r="58" customFormat="false" ht="41.75" hidden="false" customHeight="false" outlineLevel="0" collapsed="false">
      <c r="A58" s="0" t="s">
        <v>1180</v>
      </c>
      <c r="B58" s="132" t="n">
        <f aca="false">'Precedent Transactions'!K34</f>
        <v>40.7283951666667</v>
      </c>
      <c r="C58" s="132" t="n">
        <f aca="false">('Precedent Transactions'!I34*'Trading Comps'!B28+'Trading Comps'!B37)/'Trading Comps'!B30</f>
        <v>40.7283951666667</v>
      </c>
      <c r="D58" s="176" t="n">
        <f aca="false">IF(AND(ISNUMBER(B58),ISNUMBER(C58)),B58-C58,"n/a")</f>
        <v>0</v>
      </c>
      <c r="E58" s="0" t="n">
        <v>1E-009</v>
      </c>
      <c r="G58" s="123" t="str">
        <f aca="false">IF(ISNUMBER(D58),IF(ABS(D58)&lt;=E58,"PASS","FAIL"),"FAIL")</f>
        <v>PASS</v>
      </c>
      <c r="H58" s="127" t="s">
        <v>1181</v>
      </c>
    </row>
    <row r="59" customFormat="false" ht="28.35" hidden="false" customHeight="false" outlineLevel="0" collapsed="false">
      <c r="A59" s="0" t="s">
        <v>1182</v>
      </c>
      <c r="B59" s="132" t="n">
        <f aca="false">'Precedent Transactions'!I46</f>
        <v>73311.1113</v>
      </c>
      <c r="C59" s="132" t="n">
        <f aca="false">'Precedent Transactions'!I44+'Trading Comps'!B37</f>
        <v>73311.1113</v>
      </c>
      <c r="D59" s="176" t="n">
        <f aca="false">IF(AND(ISNUMBER(B59),ISNUMBER(C59)),B59-C59,"n/a")</f>
        <v>0</v>
      </c>
      <c r="E59" s="0" t="n">
        <v>1E-009</v>
      </c>
      <c r="G59" s="123" t="str">
        <f aca="false">IF(ISNUMBER(D59),IF(ABS(D59)&lt;=E59,"PASS","FAIL"),"FAIL")</f>
        <v>PASS</v>
      </c>
      <c r="H59" s="127" t="s">
        <v>1183</v>
      </c>
    </row>
    <row r="60" customFormat="false" ht="28.35" hidden="false" customHeight="false" outlineLevel="0" collapsed="false">
      <c r="A60" s="0" t="s">
        <v>1184</v>
      </c>
      <c r="B60" s="132" t="n">
        <f aca="false">'Trading Comps'!C78</f>
        <v>66337.0731857143</v>
      </c>
      <c r="C60" s="132" t="n">
        <f aca="false">'Trading Comps'!C77+'Trading Comps'!B37</f>
        <v>66337.0731857143</v>
      </c>
      <c r="D60" s="176" t="n">
        <f aca="false">IF(AND(ISNUMBER(B60),ISNUMBER(C60)),B60-C60,"n/a")</f>
        <v>0</v>
      </c>
      <c r="E60" s="0" t="n">
        <v>1E-009</v>
      </c>
      <c r="G60" s="123" t="str">
        <f aca="false">IF(ISNUMBER(D60),IF(ABS(D60)&lt;=E60,"PASS","FAIL"),"FAIL")</f>
        <v>PASS</v>
      </c>
      <c r="H60" s="127" t="s">
        <v>1183</v>
      </c>
    </row>
    <row r="61" customFormat="false" ht="28.35" hidden="false" customHeight="false" outlineLevel="0" collapsed="false">
      <c r="A61" s="0" t="s">
        <v>1185</v>
      </c>
      <c r="B61" s="132" t="n">
        <f aca="false">'Valuación Combinada'!C8</f>
        <v>0</v>
      </c>
      <c r="C61" s="132" t="n">
        <v>0</v>
      </c>
      <c r="D61" s="176" t="n">
        <f aca="false">IF(AND(ISNUMBER(B61),ISNUMBER(C61)),B61-C61,"n/a")</f>
        <v>0</v>
      </c>
      <c r="E61" s="0" t="n">
        <v>0</v>
      </c>
      <c r="G61" s="123" t="str">
        <f aca="false">IF(ISNUMBER(D61),IF(ABS(D61)&lt;=E61,"PASS","FAIL"),"FAIL")</f>
        <v>PASS</v>
      </c>
      <c r="H61" s="127" t="s">
        <v>1186</v>
      </c>
    </row>
    <row r="63" customFormat="false" ht="15" hidden="false" customHeight="false" outlineLevel="0" collapsed="false">
      <c r="A63" s="123" t="s">
        <v>1187</v>
      </c>
      <c r="B63" s="123" t="str">
        <f aca="false">COUNTIF(G23:G61,"PASS")&amp;" PASS de "&amp;COUNTA(A23:A61)</f>
        <v>39 PASS de 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70"/>
  </cols>
  <sheetData>
    <row r="1" customFormat="false" ht="17.35" hidden="false" customHeight="false" outlineLevel="0" collapsed="false">
      <c r="A1" s="119" t="s">
        <v>1188</v>
      </c>
    </row>
    <row r="2" customFormat="false" ht="15" hidden="false" customHeight="false" outlineLevel="0" collapsed="false">
      <c r="A2" s="120" t="s">
        <v>1189</v>
      </c>
    </row>
    <row r="3" customFormat="false" ht="15" hidden="false" customHeight="false" outlineLevel="0" collapsed="false">
      <c r="A3" s="120" t="s">
        <v>638</v>
      </c>
    </row>
    <row r="5" customFormat="false" ht="28.35" hidden="false" customHeight="false" outlineLevel="0" collapsed="false">
      <c r="A5" s="125" t="s">
        <v>1190</v>
      </c>
      <c r="B5" s="125" t="s">
        <v>1191</v>
      </c>
      <c r="C5" s="125" t="s">
        <v>78</v>
      </c>
      <c r="D5" s="125" t="s">
        <v>60</v>
      </c>
      <c r="E5" s="125" t="s">
        <v>1192</v>
      </c>
      <c r="F5" s="125" t="s">
        <v>930</v>
      </c>
      <c r="G5" s="125" t="s">
        <v>754</v>
      </c>
    </row>
    <row r="6" customFormat="false" ht="28.35" hidden="false" customHeight="false" outlineLevel="0" collapsed="false">
      <c r="A6" s="127" t="s">
        <v>1193</v>
      </c>
      <c r="B6" s="127" t="s">
        <v>1194</v>
      </c>
      <c r="C6" s="127" t="s">
        <v>1195</v>
      </c>
      <c r="D6" s="127" t="s">
        <v>1196</v>
      </c>
      <c r="E6" s="127" t="s">
        <v>1197</v>
      </c>
      <c r="F6" s="127" t="s">
        <v>1198</v>
      </c>
      <c r="G6" s="127" t="s">
        <v>1199</v>
      </c>
    </row>
    <row r="7" customFormat="false" ht="15" hidden="false" customHeight="false" outlineLevel="0" collapsed="false">
      <c r="A7" s="127" t="s">
        <v>1200</v>
      </c>
      <c r="B7" s="127" t="s">
        <v>1201</v>
      </c>
      <c r="C7" s="127" t="s">
        <v>1202</v>
      </c>
      <c r="D7" s="127" t="s">
        <v>1196</v>
      </c>
      <c r="E7" s="127" t="s">
        <v>1197</v>
      </c>
      <c r="F7" s="127" t="s">
        <v>685</v>
      </c>
      <c r="G7" s="127" t="s">
        <v>1203</v>
      </c>
    </row>
    <row r="8" customFormat="false" ht="28.35" hidden="false" customHeight="false" outlineLevel="0" collapsed="false">
      <c r="A8" s="127" t="s">
        <v>1204</v>
      </c>
      <c r="B8" s="127" t="s">
        <v>1205</v>
      </c>
      <c r="C8" s="127" t="s">
        <v>1206</v>
      </c>
      <c r="D8" s="127" t="s">
        <v>1196</v>
      </c>
      <c r="E8" s="127" t="s">
        <v>1197</v>
      </c>
      <c r="F8" s="127" t="s">
        <v>1207</v>
      </c>
      <c r="G8" s="127" t="s">
        <v>1208</v>
      </c>
    </row>
    <row r="9" customFormat="false" ht="28.35" hidden="false" customHeight="false" outlineLevel="0" collapsed="false">
      <c r="A9" s="127" t="s">
        <v>1209</v>
      </c>
      <c r="B9" s="127" t="s">
        <v>1210</v>
      </c>
      <c r="C9" s="127" t="s">
        <v>1211</v>
      </c>
      <c r="D9" s="127" t="s">
        <v>579</v>
      </c>
      <c r="E9" s="127" t="s">
        <v>1197</v>
      </c>
      <c r="F9" s="127" t="s">
        <v>1207</v>
      </c>
      <c r="G9" s="127" t="s">
        <v>1212</v>
      </c>
    </row>
    <row r="10" customFormat="false" ht="28.35" hidden="false" customHeight="false" outlineLevel="0" collapsed="false">
      <c r="A10" s="127" t="s">
        <v>1213</v>
      </c>
      <c r="B10" s="127" t="s">
        <v>1214</v>
      </c>
      <c r="C10" s="127" t="s">
        <v>1215</v>
      </c>
      <c r="D10" s="127" t="s">
        <v>1216</v>
      </c>
      <c r="E10" s="127" t="s">
        <v>1197</v>
      </c>
      <c r="F10" s="127" t="s">
        <v>1217</v>
      </c>
      <c r="G10" s="127" t="s">
        <v>1218</v>
      </c>
    </row>
    <row r="11" customFormat="false" ht="41.75" hidden="false" customHeight="false" outlineLevel="0" collapsed="false">
      <c r="A11" s="127" t="s">
        <v>1219</v>
      </c>
      <c r="B11" s="127" t="s">
        <v>1220</v>
      </c>
      <c r="C11" s="127" t="s">
        <v>1221</v>
      </c>
      <c r="D11" s="127" t="s">
        <v>1222</v>
      </c>
      <c r="E11" s="127" t="s">
        <v>1223</v>
      </c>
      <c r="F11" s="127" t="s">
        <v>1198</v>
      </c>
      <c r="G11" s="127" t="s">
        <v>1224</v>
      </c>
    </row>
    <row r="12" customFormat="false" ht="15" hidden="false" customHeight="false" outlineLevel="0" collapsed="false">
      <c r="A12" s="127" t="s">
        <v>1225</v>
      </c>
      <c r="B12" s="127" t="s">
        <v>1226</v>
      </c>
      <c r="C12" s="127" t="s">
        <v>1227</v>
      </c>
      <c r="D12" s="127" t="s">
        <v>579</v>
      </c>
      <c r="E12" s="127" t="s">
        <v>1223</v>
      </c>
      <c r="F12" s="127" t="s">
        <v>1217</v>
      </c>
      <c r="G12" s="127" t="s">
        <v>1228</v>
      </c>
    </row>
    <row r="13" customFormat="false" ht="41.75" hidden="false" customHeight="false" outlineLevel="0" collapsed="false">
      <c r="A13" s="127" t="s">
        <v>1229</v>
      </c>
      <c r="B13" s="127" t="s">
        <v>1230</v>
      </c>
      <c r="C13" s="127" t="s">
        <v>1231</v>
      </c>
      <c r="D13" s="127" t="s">
        <v>1216</v>
      </c>
      <c r="E13" s="127" t="s">
        <v>1232</v>
      </c>
      <c r="F13" s="127" t="s">
        <v>1207</v>
      </c>
      <c r="G13" s="127" t="s">
        <v>1233</v>
      </c>
    </row>
    <row r="14" customFormat="false" ht="15" hidden="false" customHeight="false" outlineLevel="0" collapsed="false">
      <c r="A14" s="127" t="s">
        <v>1234</v>
      </c>
      <c r="B14" s="127" t="s">
        <v>1235</v>
      </c>
      <c r="C14" s="127" t="s">
        <v>1236</v>
      </c>
      <c r="D14" s="127" t="s">
        <v>579</v>
      </c>
      <c r="E14" s="127" t="s">
        <v>1232</v>
      </c>
      <c r="F14" s="127" t="s">
        <v>1237</v>
      </c>
      <c r="G14" s="127" t="s">
        <v>1238</v>
      </c>
    </row>
    <row r="15" customFormat="false" ht="15" hidden="false" customHeight="false" outlineLevel="0" collapsed="false">
      <c r="A15" s="127" t="s">
        <v>804</v>
      </c>
      <c r="B15" s="127" t="s">
        <v>1239</v>
      </c>
      <c r="C15" s="127" t="s">
        <v>1240</v>
      </c>
      <c r="D15" s="127" t="s">
        <v>579</v>
      </c>
      <c r="E15" s="127" t="s">
        <v>1232</v>
      </c>
      <c r="F15" s="127" t="s">
        <v>1237</v>
      </c>
      <c r="G15" s="127" t="s">
        <v>1241</v>
      </c>
    </row>
    <row r="16" customFormat="false" ht="15" hidden="false" customHeight="false" outlineLevel="0" collapsed="false">
      <c r="A16" s="127" t="s">
        <v>1242</v>
      </c>
      <c r="B16" s="127" t="s">
        <v>1243</v>
      </c>
      <c r="C16" s="127" t="s">
        <v>1244</v>
      </c>
      <c r="D16" s="127" t="s">
        <v>579</v>
      </c>
      <c r="E16" s="127" t="s">
        <v>1232</v>
      </c>
      <c r="F16" s="127" t="s">
        <v>1237</v>
      </c>
      <c r="G16" s="127" t="s">
        <v>1245</v>
      </c>
    </row>
    <row r="17" customFormat="false" ht="15" hidden="false" customHeight="false" outlineLevel="0" collapsed="false">
      <c r="A17" s="127" t="s">
        <v>1246</v>
      </c>
      <c r="B17" s="127" t="s">
        <v>1054</v>
      </c>
      <c r="C17" s="127" t="s">
        <v>1247</v>
      </c>
      <c r="D17" s="127" t="s">
        <v>1248</v>
      </c>
      <c r="E17" s="127" t="s">
        <v>1223</v>
      </c>
      <c r="F17" s="127" t="s">
        <v>1198</v>
      </c>
      <c r="G17" s="127" t="s">
        <v>1249</v>
      </c>
    </row>
    <row r="18" customFormat="false" ht="15" hidden="false" customHeight="false" outlineLevel="0" collapsed="false">
      <c r="A18" s="127" t="s">
        <v>1250</v>
      </c>
      <c r="B18" s="127" t="s">
        <v>1056</v>
      </c>
      <c r="C18" s="127" t="s">
        <v>1251</v>
      </c>
      <c r="D18" s="127" t="s">
        <v>579</v>
      </c>
      <c r="E18" s="127" t="s">
        <v>1252</v>
      </c>
      <c r="F18" s="127" t="s">
        <v>1198</v>
      </c>
      <c r="G18" s="127" t="s">
        <v>1253</v>
      </c>
    </row>
    <row r="19" customFormat="false" ht="15" hidden="false" customHeight="false" outlineLevel="0" collapsed="false">
      <c r="A19" s="127" t="s">
        <v>1254</v>
      </c>
      <c r="B19" s="127" t="s">
        <v>1255</v>
      </c>
      <c r="C19" s="127" t="s">
        <v>1256</v>
      </c>
      <c r="D19" s="127" t="s">
        <v>1248</v>
      </c>
      <c r="E19" s="127" t="s">
        <v>1257</v>
      </c>
      <c r="F19" s="127" t="s">
        <v>1198</v>
      </c>
      <c r="G19" s="127" t="s">
        <v>1258</v>
      </c>
    </row>
    <row r="20" customFormat="false" ht="28.35" hidden="false" customHeight="false" outlineLevel="0" collapsed="false">
      <c r="A20" s="127" t="s">
        <v>1259</v>
      </c>
      <c r="B20" s="127" t="s">
        <v>1260</v>
      </c>
      <c r="C20" s="127" t="s">
        <v>1261</v>
      </c>
      <c r="D20" s="127" t="s">
        <v>579</v>
      </c>
      <c r="E20" s="127" t="s">
        <v>1232</v>
      </c>
      <c r="F20" s="127" t="s">
        <v>1207</v>
      </c>
      <c r="G20" s="127" t="s">
        <v>1262</v>
      </c>
    </row>
    <row r="22" customFormat="false" ht="15" hidden="false" customHeight="false" outlineLevel="0" collapsed="false">
      <c r="A22" s="121" t="s">
        <v>1263</v>
      </c>
      <c r="B22" s="122"/>
      <c r="C22" s="122"/>
      <c r="D22" s="122"/>
      <c r="E22" s="122"/>
      <c r="F22" s="122"/>
      <c r="G22" s="122"/>
    </row>
    <row r="23" customFormat="false" ht="30" hidden="false" customHeight="true" outlineLevel="0" collapsed="false">
      <c r="A23" s="130" t="s">
        <v>1264</v>
      </c>
      <c r="B23" s="130"/>
      <c r="C23" s="130"/>
      <c r="D23" s="130"/>
      <c r="E23" s="130"/>
      <c r="F23" s="130"/>
      <c r="G23" s="130"/>
    </row>
    <row r="24" customFormat="false" ht="30" hidden="false" customHeight="true" outlineLevel="0" collapsed="false">
      <c r="A24" s="130" t="s">
        <v>1265</v>
      </c>
      <c r="B24" s="130"/>
      <c r="C24" s="130"/>
      <c r="D24" s="130"/>
      <c r="E24" s="130"/>
      <c r="F24" s="130"/>
      <c r="G24" s="130"/>
    </row>
    <row r="25" customFormat="false" ht="30" hidden="false" customHeight="true" outlineLevel="0" collapsed="false">
      <c r="A25" s="130" t="s">
        <v>1266</v>
      </c>
      <c r="B25" s="130"/>
      <c r="C25" s="130"/>
      <c r="D25" s="130"/>
      <c r="E25" s="130"/>
      <c r="F25" s="130"/>
      <c r="G25" s="130"/>
    </row>
    <row r="26" customFormat="false" ht="30" hidden="false" customHeight="true" outlineLevel="0" collapsed="false">
      <c r="A26" s="130" t="s">
        <v>1267</v>
      </c>
      <c r="B26" s="130"/>
      <c r="C26" s="130"/>
      <c r="D26" s="130"/>
      <c r="E26" s="130"/>
      <c r="F26" s="130"/>
      <c r="G26" s="130"/>
    </row>
  </sheetData>
  <mergeCells count="4">
    <mergeCell ref="A23:G23"/>
    <mergeCell ref="A24:G24"/>
    <mergeCell ref="A25:G25"/>
    <mergeCell ref="A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2026-09-28T13:20:55Z</dcterms:created>
  <dc:creator>Adrian Fermin ⠀</dc:creator>
  <dc:description/>
  <dc:language>en-US</dc:language>
  <cp:lastModifiedBy>Aarón Ponce Flores</cp:lastModifiedBy>
  <dcterms:modified xsi:type="dcterms:W3CDTF">2026-10-08T15:27:25Z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